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7E58B79D-CCB2-49C9-B561-7B4DEFBB954F}" xr6:coauthVersionLast="47" xr6:coauthVersionMax="47" xr10:uidLastSave="{00000000-0000-0000-0000-000000000000}"/>
  <bookViews>
    <workbookView xWindow="-108" yWindow="-108" windowWidth="23256" windowHeight="12456" tabRatio="500" firstSheet="14" activeTab="17" xr2:uid="{00000000-000D-0000-FFFF-FFFF00000000}"/>
  </bookViews>
  <sheets>
    <sheet name="Sources" sheetId="6" r:id="rId1"/>
    <sheet name="Company Overview" sheetId="21" r:id="rId2"/>
    <sheet name="Industry Overview" sheetId="22" r:id="rId3"/>
    <sheet name="Raw Data" sheetId="1" r:id="rId4"/>
    <sheet name="CF Assumptions" sheetId="2" r:id="rId5"/>
    <sheet name="IS ,BS Assumptions" sheetId="3" r:id="rId6"/>
    <sheet name="Financial Statements" sheetId="4" r:id="rId7"/>
    <sheet name="PPE Schedule" sheetId="5" r:id="rId8"/>
    <sheet name="Beta" sheetId="7" r:id="rId9"/>
    <sheet name="WACC" sheetId="8" r:id="rId10"/>
    <sheet name="EVA" sheetId="20" r:id="rId11"/>
    <sheet name="DCF Valuation" sheetId="9" r:id="rId12"/>
    <sheet name="Relative Valuation" sheetId="15" r:id="rId13"/>
    <sheet name="All Ratios Forecast" sheetId="10" r:id="rId14"/>
    <sheet name="Key Ratios Forecast" sheetId="11" r:id="rId15"/>
    <sheet name="Peer master data" sheetId="13" r:id="rId16"/>
    <sheet name="Dashboard Peer Comparison" sheetId="14" state="hidden" r:id="rId17"/>
    <sheet name="DashBoard Peer Company" sheetId="19" r:id="rId18"/>
  </sheets>
  <definedNames>
    <definedName name="Slicer_Company_Name">#N/A</definedName>
    <definedName name="Slicer_Year">#N/A</definedName>
  </definedNames>
  <calcPr calcId="191029" iterateDelta="1E-4"/>
  <pivotCaches>
    <pivotCache cacheId="1"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0" l="1"/>
  <c r="B5" i="10"/>
  <c r="B4" i="10"/>
  <c r="C7" i="10"/>
  <c r="B21" i="20"/>
  <c r="B20" i="20"/>
  <c r="B19" i="20"/>
  <c r="B18" i="20"/>
  <c r="C6" i="20"/>
  <c r="D6" i="20"/>
  <c r="E6" i="20"/>
  <c r="F6" i="20"/>
  <c r="G6" i="20"/>
  <c r="H6" i="20"/>
  <c r="B6" i="20"/>
  <c r="B7" i="9"/>
  <c r="J10" i="15"/>
  <c r="J6" i="15"/>
  <c r="J7" i="15"/>
  <c r="J8" i="15"/>
  <c r="J5" i="15"/>
  <c r="J11" i="15" s="1"/>
  <c r="H6" i="15"/>
  <c r="H7" i="15"/>
  <c r="H8" i="15"/>
  <c r="H5" i="15"/>
  <c r="E7" i="15"/>
  <c r="E8" i="15"/>
  <c r="E5" i="15"/>
  <c r="M5" i="15" s="1"/>
  <c r="D6" i="15"/>
  <c r="E6" i="15" s="1"/>
  <c r="D7" i="15"/>
  <c r="D8" i="15"/>
  <c r="D5" i="15"/>
  <c r="M10" i="15" l="1"/>
  <c r="M11" i="15"/>
  <c r="K5" i="15"/>
  <c r="L5" i="15"/>
  <c r="L11" i="15" l="1"/>
  <c r="L10" i="15"/>
  <c r="K10" i="15"/>
  <c r="K11" i="15"/>
  <c r="J11" i="3" l="1"/>
  <c r="K11" i="3"/>
  <c r="L11" i="3"/>
  <c r="M11" i="3"/>
  <c r="I11" i="3"/>
  <c r="M27" i="10"/>
  <c r="M28" i="10"/>
  <c r="M29" i="10"/>
  <c r="I27" i="10"/>
  <c r="J27" i="10"/>
  <c r="K27" i="10"/>
  <c r="L27" i="10"/>
  <c r="I28" i="10"/>
  <c r="J28" i="10"/>
  <c r="K28" i="10"/>
  <c r="L28" i="10"/>
  <c r="I29" i="10"/>
  <c r="J29" i="10"/>
  <c r="K29" i="10"/>
  <c r="L29" i="10"/>
  <c r="B10" i="9" l="1"/>
  <c r="K29" i="9" s="1"/>
  <c r="G29" i="9"/>
  <c r="B5" i="9"/>
  <c r="C22" i="9" s="1"/>
  <c r="B20" i="8"/>
  <c r="B15" i="8"/>
  <c r="B16" i="8" s="1"/>
  <c r="C26" i="8" s="1"/>
  <c r="B14" i="8"/>
  <c r="B13" i="8"/>
  <c r="G2482" i="7"/>
  <c r="C2482" i="7"/>
  <c r="G2481" i="7"/>
  <c r="C2481" i="7"/>
  <c r="G2480" i="7"/>
  <c r="C2480" i="7"/>
  <c r="G2479" i="7"/>
  <c r="C2479" i="7"/>
  <c r="G2478" i="7"/>
  <c r="C2478" i="7"/>
  <c r="G2477" i="7"/>
  <c r="C2477" i="7"/>
  <c r="G2476" i="7"/>
  <c r="C2476" i="7"/>
  <c r="G2475" i="7"/>
  <c r="C2475" i="7"/>
  <c r="G2474" i="7"/>
  <c r="C2474" i="7"/>
  <c r="G2473" i="7"/>
  <c r="C2473" i="7"/>
  <c r="G2472" i="7"/>
  <c r="C2472" i="7"/>
  <c r="G2471" i="7"/>
  <c r="C2471" i="7"/>
  <c r="G2470" i="7"/>
  <c r="C2470" i="7"/>
  <c r="G2469" i="7"/>
  <c r="C2469" i="7"/>
  <c r="G2468" i="7"/>
  <c r="C2468" i="7"/>
  <c r="G2467" i="7"/>
  <c r="C2467" i="7"/>
  <c r="G2466" i="7"/>
  <c r="C2466" i="7"/>
  <c r="G2465" i="7"/>
  <c r="C2465" i="7"/>
  <c r="G2464" i="7"/>
  <c r="C2464" i="7"/>
  <c r="G2463" i="7"/>
  <c r="C2463" i="7"/>
  <c r="G2462" i="7"/>
  <c r="C2462" i="7"/>
  <c r="G2461" i="7"/>
  <c r="C2461" i="7"/>
  <c r="G2460" i="7"/>
  <c r="C2460" i="7"/>
  <c r="G2459" i="7"/>
  <c r="C2459" i="7"/>
  <c r="G2458" i="7"/>
  <c r="C2458" i="7"/>
  <c r="G2457" i="7"/>
  <c r="C2457" i="7"/>
  <c r="G2456" i="7"/>
  <c r="C2456" i="7"/>
  <c r="G2455" i="7"/>
  <c r="C2455" i="7"/>
  <c r="G2454" i="7"/>
  <c r="C2454" i="7"/>
  <c r="G2453" i="7"/>
  <c r="C2453" i="7"/>
  <c r="G2452" i="7"/>
  <c r="C2452" i="7"/>
  <c r="G2451" i="7"/>
  <c r="C2451" i="7"/>
  <c r="G2450" i="7"/>
  <c r="C2450" i="7"/>
  <c r="G2449" i="7"/>
  <c r="C2449" i="7"/>
  <c r="G2448" i="7"/>
  <c r="C2448" i="7"/>
  <c r="G2447" i="7"/>
  <c r="C2447" i="7"/>
  <c r="G2446" i="7"/>
  <c r="C2446" i="7"/>
  <c r="G2445" i="7"/>
  <c r="C2445" i="7"/>
  <c r="G2444" i="7"/>
  <c r="C2444" i="7"/>
  <c r="G2443" i="7"/>
  <c r="C2443" i="7"/>
  <c r="G2442" i="7"/>
  <c r="C2442" i="7"/>
  <c r="G2441" i="7"/>
  <c r="C2441" i="7"/>
  <c r="G2440" i="7"/>
  <c r="C2440" i="7"/>
  <c r="G2439" i="7"/>
  <c r="C2439" i="7"/>
  <c r="G2438" i="7"/>
  <c r="C2438" i="7"/>
  <c r="G2437" i="7"/>
  <c r="C2437" i="7"/>
  <c r="G2436" i="7"/>
  <c r="C2436" i="7"/>
  <c r="G2435" i="7"/>
  <c r="C2435" i="7"/>
  <c r="G2434" i="7"/>
  <c r="C2434" i="7"/>
  <c r="G2433" i="7"/>
  <c r="C2433" i="7"/>
  <c r="G2432" i="7"/>
  <c r="C2432" i="7"/>
  <c r="G2431" i="7"/>
  <c r="C2431" i="7"/>
  <c r="G2430" i="7"/>
  <c r="C2430" i="7"/>
  <c r="G2429" i="7"/>
  <c r="C2429" i="7"/>
  <c r="G2428" i="7"/>
  <c r="C2428" i="7"/>
  <c r="G2427" i="7"/>
  <c r="C2427" i="7"/>
  <c r="G2426" i="7"/>
  <c r="C2426" i="7"/>
  <c r="G2425" i="7"/>
  <c r="C2425" i="7"/>
  <c r="G2424" i="7"/>
  <c r="C2424" i="7"/>
  <c r="G2423" i="7"/>
  <c r="C2423" i="7"/>
  <c r="G2422" i="7"/>
  <c r="C2422" i="7"/>
  <c r="G2421" i="7"/>
  <c r="C2421" i="7"/>
  <c r="G2420" i="7"/>
  <c r="C2420" i="7"/>
  <c r="G2419" i="7"/>
  <c r="C2419" i="7"/>
  <c r="G2418" i="7"/>
  <c r="C2418" i="7"/>
  <c r="G2417" i="7"/>
  <c r="C2417" i="7"/>
  <c r="G2416" i="7"/>
  <c r="C2416" i="7"/>
  <c r="G2415" i="7"/>
  <c r="C2415" i="7"/>
  <c r="G2414" i="7"/>
  <c r="C2414" i="7"/>
  <c r="G2413" i="7"/>
  <c r="C2413" i="7"/>
  <c r="G2412" i="7"/>
  <c r="C2412" i="7"/>
  <c r="G2411" i="7"/>
  <c r="C2411" i="7"/>
  <c r="G2410" i="7"/>
  <c r="C2410" i="7"/>
  <c r="G2409" i="7"/>
  <c r="C2409" i="7"/>
  <c r="G2408" i="7"/>
  <c r="C2408" i="7"/>
  <c r="G2407" i="7"/>
  <c r="C2407" i="7"/>
  <c r="G2406" i="7"/>
  <c r="C2406" i="7"/>
  <c r="G2405" i="7"/>
  <c r="C2405" i="7"/>
  <c r="G2404" i="7"/>
  <c r="C2404" i="7"/>
  <c r="G2403" i="7"/>
  <c r="C2403" i="7"/>
  <c r="G2402" i="7"/>
  <c r="C2402" i="7"/>
  <c r="G2401" i="7"/>
  <c r="C2401" i="7"/>
  <c r="G2400" i="7"/>
  <c r="C2400" i="7"/>
  <c r="G2399" i="7"/>
  <c r="C2399" i="7"/>
  <c r="G2398" i="7"/>
  <c r="C2398" i="7"/>
  <c r="G2397" i="7"/>
  <c r="C2397" i="7"/>
  <c r="G2396" i="7"/>
  <c r="C2396" i="7"/>
  <c r="G2395" i="7"/>
  <c r="C2395" i="7"/>
  <c r="G2394" i="7"/>
  <c r="C2394" i="7"/>
  <c r="G2393" i="7"/>
  <c r="C2393" i="7"/>
  <c r="G2392" i="7"/>
  <c r="C2392" i="7"/>
  <c r="G2391" i="7"/>
  <c r="C2391" i="7"/>
  <c r="G2390" i="7"/>
  <c r="C2390" i="7"/>
  <c r="G2389" i="7"/>
  <c r="C2389" i="7"/>
  <c r="G2388" i="7"/>
  <c r="C2388" i="7"/>
  <c r="G2387" i="7"/>
  <c r="C2387" i="7"/>
  <c r="G2386" i="7"/>
  <c r="C2386" i="7"/>
  <c r="G2385" i="7"/>
  <c r="C2385" i="7"/>
  <c r="G2384" i="7"/>
  <c r="C2384" i="7"/>
  <c r="G2383" i="7"/>
  <c r="C2383" i="7"/>
  <c r="G2382" i="7"/>
  <c r="C2382" i="7"/>
  <c r="G2381" i="7"/>
  <c r="C2381" i="7"/>
  <c r="G2380" i="7"/>
  <c r="C2380" i="7"/>
  <c r="G2379" i="7"/>
  <c r="C2379" i="7"/>
  <c r="G2378" i="7"/>
  <c r="C2378" i="7"/>
  <c r="G2377" i="7"/>
  <c r="C2377" i="7"/>
  <c r="G2376" i="7"/>
  <c r="C2376" i="7"/>
  <c r="G2375" i="7"/>
  <c r="C2375" i="7"/>
  <c r="G2374" i="7"/>
  <c r="C2374" i="7"/>
  <c r="G2373" i="7"/>
  <c r="C2373" i="7"/>
  <c r="G2372" i="7"/>
  <c r="C2372" i="7"/>
  <c r="G2371" i="7"/>
  <c r="C2371" i="7"/>
  <c r="G2370" i="7"/>
  <c r="C2370" i="7"/>
  <c r="G2369" i="7"/>
  <c r="C2369" i="7"/>
  <c r="G2368" i="7"/>
  <c r="C2368" i="7"/>
  <c r="G2367" i="7"/>
  <c r="C2367" i="7"/>
  <c r="G2366" i="7"/>
  <c r="C2366" i="7"/>
  <c r="G2365" i="7"/>
  <c r="C2365" i="7"/>
  <c r="G2364" i="7"/>
  <c r="C2364" i="7"/>
  <c r="G2363" i="7"/>
  <c r="C2363" i="7"/>
  <c r="G2362" i="7"/>
  <c r="C2362" i="7"/>
  <c r="G2361" i="7"/>
  <c r="C2361" i="7"/>
  <c r="G2360" i="7"/>
  <c r="C2360" i="7"/>
  <c r="G2359" i="7"/>
  <c r="C2359" i="7"/>
  <c r="G2358" i="7"/>
  <c r="C2358" i="7"/>
  <c r="G2357" i="7"/>
  <c r="C2357" i="7"/>
  <c r="G2356" i="7"/>
  <c r="C2356" i="7"/>
  <c r="G2355" i="7"/>
  <c r="C2355" i="7"/>
  <c r="G2354" i="7"/>
  <c r="C2354" i="7"/>
  <c r="G2353" i="7"/>
  <c r="C2353" i="7"/>
  <c r="G2352" i="7"/>
  <c r="C2352" i="7"/>
  <c r="G2351" i="7"/>
  <c r="C2351" i="7"/>
  <c r="G2350" i="7"/>
  <c r="C2350" i="7"/>
  <c r="G2349" i="7"/>
  <c r="C2349" i="7"/>
  <c r="G2348" i="7"/>
  <c r="C2348" i="7"/>
  <c r="G2347" i="7"/>
  <c r="C2347" i="7"/>
  <c r="G2346" i="7"/>
  <c r="C2346" i="7"/>
  <c r="G2345" i="7"/>
  <c r="C2345" i="7"/>
  <c r="G2344" i="7"/>
  <c r="C2344" i="7"/>
  <c r="G2343" i="7"/>
  <c r="C2343" i="7"/>
  <c r="G2342" i="7"/>
  <c r="C2342" i="7"/>
  <c r="G2341" i="7"/>
  <c r="C2341" i="7"/>
  <c r="G2340" i="7"/>
  <c r="C2340" i="7"/>
  <c r="G2339" i="7"/>
  <c r="C2339" i="7"/>
  <c r="G2338" i="7"/>
  <c r="C2338" i="7"/>
  <c r="G2337" i="7"/>
  <c r="C2337" i="7"/>
  <c r="G2336" i="7"/>
  <c r="C2336" i="7"/>
  <c r="G2335" i="7"/>
  <c r="C2335" i="7"/>
  <c r="G2334" i="7"/>
  <c r="C2334" i="7"/>
  <c r="G2333" i="7"/>
  <c r="C2333" i="7"/>
  <c r="G2332" i="7"/>
  <c r="C2332" i="7"/>
  <c r="G2331" i="7"/>
  <c r="C2331" i="7"/>
  <c r="G2330" i="7"/>
  <c r="C2330" i="7"/>
  <c r="G2329" i="7"/>
  <c r="C2329" i="7"/>
  <c r="G2328" i="7"/>
  <c r="C2328" i="7"/>
  <c r="G2327" i="7"/>
  <c r="C2327" i="7"/>
  <c r="G2326" i="7"/>
  <c r="C2326" i="7"/>
  <c r="G2325" i="7"/>
  <c r="C2325" i="7"/>
  <c r="G2324" i="7"/>
  <c r="C2324" i="7"/>
  <c r="G2323" i="7"/>
  <c r="C2323" i="7"/>
  <c r="G2322" i="7"/>
  <c r="C2322" i="7"/>
  <c r="G2321" i="7"/>
  <c r="C2321" i="7"/>
  <c r="G2320" i="7"/>
  <c r="C2320" i="7"/>
  <c r="G2319" i="7"/>
  <c r="C2319" i="7"/>
  <c r="G2318" i="7"/>
  <c r="C2318" i="7"/>
  <c r="G2317" i="7"/>
  <c r="C2317" i="7"/>
  <c r="G2316" i="7"/>
  <c r="C2316" i="7"/>
  <c r="G2315" i="7"/>
  <c r="C2315" i="7"/>
  <c r="G2314" i="7"/>
  <c r="C2314" i="7"/>
  <c r="G2313" i="7"/>
  <c r="C2313" i="7"/>
  <c r="G2312" i="7"/>
  <c r="C2312" i="7"/>
  <c r="G2311" i="7"/>
  <c r="C2311" i="7"/>
  <c r="G2310" i="7"/>
  <c r="C2310" i="7"/>
  <c r="G2309" i="7"/>
  <c r="C2309" i="7"/>
  <c r="G2308" i="7"/>
  <c r="C2308" i="7"/>
  <c r="G2307" i="7"/>
  <c r="C2307" i="7"/>
  <c r="G2306" i="7"/>
  <c r="C2306" i="7"/>
  <c r="G2305" i="7"/>
  <c r="C2305" i="7"/>
  <c r="G2304" i="7"/>
  <c r="C2304" i="7"/>
  <c r="G2303" i="7"/>
  <c r="C2303" i="7"/>
  <c r="G2302" i="7"/>
  <c r="C2302" i="7"/>
  <c r="G2301" i="7"/>
  <c r="C2301" i="7"/>
  <c r="G2300" i="7"/>
  <c r="C2300" i="7"/>
  <c r="G2299" i="7"/>
  <c r="C2299" i="7"/>
  <c r="G2298" i="7"/>
  <c r="C2298" i="7"/>
  <c r="G2297" i="7"/>
  <c r="C2297" i="7"/>
  <c r="G2296" i="7"/>
  <c r="C2296" i="7"/>
  <c r="G2295" i="7"/>
  <c r="C2295" i="7"/>
  <c r="G2294" i="7"/>
  <c r="C2294" i="7"/>
  <c r="G2293" i="7"/>
  <c r="C2293" i="7"/>
  <c r="G2292" i="7"/>
  <c r="C2292" i="7"/>
  <c r="G2291" i="7"/>
  <c r="C2291" i="7"/>
  <c r="G2290" i="7"/>
  <c r="C2290" i="7"/>
  <c r="G2289" i="7"/>
  <c r="C2289" i="7"/>
  <c r="G2288" i="7"/>
  <c r="C2288" i="7"/>
  <c r="G2287" i="7"/>
  <c r="C2287" i="7"/>
  <c r="G2286" i="7"/>
  <c r="C2286" i="7"/>
  <c r="G2285" i="7"/>
  <c r="C2285" i="7"/>
  <c r="G2284" i="7"/>
  <c r="C2284" i="7"/>
  <c r="G2283" i="7"/>
  <c r="C2283" i="7"/>
  <c r="G2282" i="7"/>
  <c r="C2282" i="7"/>
  <c r="G2281" i="7"/>
  <c r="C2281" i="7"/>
  <c r="G2280" i="7"/>
  <c r="C2280" i="7"/>
  <c r="G2279" i="7"/>
  <c r="C2279" i="7"/>
  <c r="G2278" i="7"/>
  <c r="C2278" i="7"/>
  <c r="G2277" i="7"/>
  <c r="C2277" i="7"/>
  <c r="G2276" i="7"/>
  <c r="C2276" i="7"/>
  <c r="G2275" i="7"/>
  <c r="C2275" i="7"/>
  <c r="G2274" i="7"/>
  <c r="C2274" i="7"/>
  <c r="G2273" i="7"/>
  <c r="C2273" i="7"/>
  <c r="G2272" i="7"/>
  <c r="C2272" i="7"/>
  <c r="G2271" i="7"/>
  <c r="C2271" i="7"/>
  <c r="G2270" i="7"/>
  <c r="C2270" i="7"/>
  <c r="G2269" i="7"/>
  <c r="C2269" i="7"/>
  <c r="G2268" i="7"/>
  <c r="C2268" i="7"/>
  <c r="G2267" i="7"/>
  <c r="C2267" i="7"/>
  <c r="G2266" i="7"/>
  <c r="C2266" i="7"/>
  <c r="G2265" i="7"/>
  <c r="C2265" i="7"/>
  <c r="G2264" i="7"/>
  <c r="C2264" i="7"/>
  <c r="G2263" i="7"/>
  <c r="C2263" i="7"/>
  <c r="G2262" i="7"/>
  <c r="C2262" i="7"/>
  <c r="G2261" i="7"/>
  <c r="C2261" i="7"/>
  <c r="G2260" i="7"/>
  <c r="C2260" i="7"/>
  <c r="G2259" i="7"/>
  <c r="C2259" i="7"/>
  <c r="G2258" i="7"/>
  <c r="C2258" i="7"/>
  <c r="G2257" i="7"/>
  <c r="C2257" i="7"/>
  <c r="G2256" i="7"/>
  <c r="C2256" i="7"/>
  <c r="G2255" i="7"/>
  <c r="C2255" i="7"/>
  <c r="G2254" i="7"/>
  <c r="C2254" i="7"/>
  <c r="G2253" i="7"/>
  <c r="C2253" i="7"/>
  <c r="G2252" i="7"/>
  <c r="C2252" i="7"/>
  <c r="G2251" i="7"/>
  <c r="C2251" i="7"/>
  <c r="G2250" i="7"/>
  <c r="C2250" i="7"/>
  <c r="G2249" i="7"/>
  <c r="C2249" i="7"/>
  <c r="G2248" i="7"/>
  <c r="C2248" i="7"/>
  <c r="G2247" i="7"/>
  <c r="C2247" i="7"/>
  <c r="G2246" i="7"/>
  <c r="C2246" i="7"/>
  <c r="G2245" i="7"/>
  <c r="C2245" i="7"/>
  <c r="G2244" i="7"/>
  <c r="C2244" i="7"/>
  <c r="G2243" i="7"/>
  <c r="C2243" i="7"/>
  <c r="G2242" i="7"/>
  <c r="C2242" i="7"/>
  <c r="G2241" i="7"/>
  <c r="C2241" i="7"/>
  <c r="G2240" i="7"/>
  <c r="C2240" i="7"/>
  <c r="G2239" i="7"/>
  <c r="C2239" i="7"/>
  <c r="G2238" i="7"/>
  <c r="C2238" i="7"/>
  <c r="G2237" i="7"/>
  <c r="C2237" i="7"/>
  <c r="G2236" i="7"/>
  <c r="C2236" i="7"/>
  <c r="G2235" i="7"/>
  <c r="C2235" i="7"/>
  <c r="G2234" i="7"/>
  <c r="C2234" i="7"/>
  <c r="G2233" i="7"/>
  <c r="C2233" i="7"/>
  <c r="G2232" i="7"/>
  <c r="C2232" i="7"/>
  <c r="G2231" i="7"/>
  <c r="C2231" i="7"/>
  <c r="G2230" i="7"/>
  <c r="C2230" i="7"/>
  <c r="G2229" i="7"/>
  <c r="C2229" i="7"/>
  <c r="G2228" i="7"/>
  <c r="C2228" i="7"/>
  <c r="G2227" i="7"/>
  <c r="C2227" i="7"/>
  <c r="G2226" i="7"/>
  <c r="C2226" i="7"/>
  <c r="G2225" i="7"/>
  <c r="C2225" i="7"/>
  <c r="G2224" i="7"/>
  <c r="C2224" i="7"/>
  <c r="G2223" i="7"/>
  <c r="C2223" i="7"/>
  <c r="G2222" i="7"/>
  <c r="C2222" i="7"/>
  <c r="G2221" i="7"/>
  <c r="C2221" i="7"/>
  <c r="G2220" i="7"/>
  <c r="C2220" i="7"/>
  <c r="G2219" i="7"/>
  <c r="C2219" i="7"/>
  <c r="G2218" i="7"/>
  <c r="C2218" i="7"/>
  <c r="G2217" i="7"/>
  <c r="C2217" i="7"/>
  <c r="G2216" i="7"/>
  <c r="C2216" i="7"/>
  <c r="G2215" i="7"/>
  <c r="C2215" i="7"/>
  <c r="G2214" i="7"/>
  <c r="C2214" i="7"/>
  <c r="G2213" i="7"/>
  <c r="C2213" i="7"/>
  <c r="G2212" i="7"/>
  <c r="C2212" i="7"/>
  <c r="G2211" i="7"/>
  <c r="C2211" i="7"/>
  <c r="G2210" i="7"/>
  <c r="C2210" i="7"/>
  <c r="G2209" i="7"/>
  <c r="C2209" i="7"/>
  <c r="G2208" i="7"/>
  <c r="C2208" i="7"/>
  <c r="G2207" i="7"/>
  <c r="C2207" i="7"/>
  <c r="G2206" i="7"/>
  <c r="C2206" i="7"/>
  <c r="G2205" i="7"/>
  <c r="C2205" i="7"/>
  <c r="G2204" i="7"/>
  <c r="C2204" i="7"/>
  <c r="G2203" i="7"/>
  <c r="C2203" i="7"/>
  <c r="G2202" i="7"/>
  <c r="C2202" i="7"/>
  <c r="G2201" i="7"/>
  <c r="C2201" i="7"/>
  <c r="G2200" i="7"/>
  <c r="C2200" i="7"/>
  <c r="G2199" i="7"/>
  <c r="C2199" i="7"/>
  <c r="G2198" i="7"/>
  <c r="C2198" i="7"/>
  <c r="G2197" i="7"/>
  <c r="C2197" i="7"/>
  <c r="G2196" i="7"/>
  <c r="C2196" i="7"/>
  <c r="G2195" i="7"/>
  <c r="C2195" i="7"/>
  <c r="G2194" i="7"/>
  <c r="C2194" i="7"/>
  <c r="G2193" i="7"/>
  <c r="C2193" i="7"/>
  <c r="G2192" i="7"/>
  <c r="C2192" i="7"/>
  <c r="G2191" i="7"/>
  <c r="C2191" i="7"/>
  <c r="G2190" i="7"/>
  <c r="C2190" i="7"/>
  <c r="G2189" i="7"/>
  <c r="C2189" i="7"/>
  <c r="G2188" i="7"/>
  <c r="C2188" i="7"/>
  <c r="G2187" i="7"/>
  <c r="C2187" i="7"/>
  <c r="G2186" i="7"/>
  <c r="C2186" i="7"/>
  <c r="G2185" i="7"/>
  <c r="C2185" i="7"/>
  <c r="G2184" i="7"/>
  <c r="C2184" i="7"/>
  <c r="G2183" i="7"/>
  <c r="C2183" i="7"/>
  <c r="G2182" i="7"/>
  <c r="C2182" i="7"/>
  <c r="G2181" i="7"/>
  <c r="C2181" i="7"/>
  <c r="G2180" i="7"/>
  <c r="C2180" i="7"/>
  <c r="G2179" i="7"/>
  <c r="C2179" i="7"/>
  <c r="G2178" i="7"/>
  <c r="C2178" i="7"/>
  <c r="G2177" i="7"/>
  <c r="C2177" i="7"/>
  <c r="G2176" i="7"/>
  <c r="C2176" i="7"/>
  <c r="G2175" i="7"/>
  <c r="C2175" i="7"/>
  <c r="G2174" i="7"/>
  <c r="C2174" i="7"/>
  <c r="G2173" i="7"/>
  <c r="C2173" i="7"/>
  <c r="G2172" i="7"/>
  <c r="C2172" i="7"/>
  <c r="G2171" i="7"/>
  <c r="C2171" i="7"/>
  <c r="G2170" i="7"/>
  <c r="C2170" i="7"/>
  <c r="G2169" i="7"/>
  <c r="C2169" i="7"/>
  <c r="G2168" i="7"/>
  <c r="C2168" i="7"/>
  <c r="G2167" i="7"/>
  <c r="C2167" i="7"/>
  <c r="G2166" i="7"/>
  <c r="C2166" i="7"/>
  <c r="G2165" i="7"/>
  <c r="C2165" i="7"/>
  <c r="G2164" i="7"/>
  <c r="C2164" i="7"/>
  <c r="G2163" i="7"/>
  <c r="C2163" i="7"/>
  <c r="G2162" i="7"/>
  <c r="C2162" i="7"/>
  <c r="G2161" i="7"/>
  <c r="C2161" i="7"/>
  <c r="G2160" i="7"/>
  <c r="C2160" i="7"/>
  <c r="G2159" i="7"/>
  <c r="C2159" i="7"/>
  <c r="G2158" i="7"/>
  <c r="C2158" i="7"/>
  <c r="G2157" i="7"/>
  <c r="C2157" i="7"/>
  <c r="G2156" i="7"/>
  <c r="C2156" i="7"/>
  <c r="G2155" i="7"/>
  <c r="C2155" i="7"/>
  <c r="G2154" i="7"/>
  <c r="C2154" i="7"/>
  <c r="G2153" i="7"/>
  <c r="C2153" i="7"/>
  <c r="G2152" i="7"/>
  <c r="C2152" i="7"/>
  <c r="G2151" i="7"/>
  <c r="C2151" i="7"/>
  <c r="G2150" i="7"/>
  <c r="C2150" i="7"/>
  <c r="G2149" i="7"/>
  <c r="C2149" i="7"/>
  <c r="G2148" i="7"/>
  <c r="C2148" i="7"/>
  <c r="G2147" i="7"/>
  <c r="C2147" i="7"/>
  <c r="G2146" i="7"/>
  <c r="C2146" i="7"/>
  <c r="G2145" i="7"/>
  <c r="C2145" i="7"/>
  <c r="G2144" i="7"/>
  <c r="C2144" i="7"/>
  <c r="G2143" i="7"/>
  <c r="C2143" i="7"/>
  <c r="G2142" i="7"/>
  <c r="C2142" i="7"/>
  <c r="G2141" i="7"/>
  <c r="C2141" i="7"/>
  <c r="G2140" i="7"/>
  <c r="C2140" i="7"/>
  <c r="G2139" i="7"/>
  <c r="C2139" i="7"/>
  <c r="G2138" i="7"/>
  <c r="C2138" i="7"/>
  <c r="G2137" i="7"/>
  <c r="C2137" i="7"/>
  <c r="G2136" i="7"/>
  <c r="C2136" i="7"/>
  <c r="G2135" i="7"/>
  <c r="C2135" i="7"/>
  <c r="G2134" i="7"/>
  <c r="C2134" i="7"/>
  <c r="G2133" i="7"/>
  <c r="C2133" i="7"/>
  <c r="G2132" i="7"/>
  <c r="C2132" i="7"/>
  <c r="G2131" i="7"/>
  <c r="C2131" i="7"/>
  <c r="G2130" i="7"/>
  <c r="C2130" i="7"/>
  <c r="G2129" i="7"/>
  <c r="C2129" i="7"/>
  <c r="G2128" i="7"/>
  <c r="C2128" i="7"/>
  <c r="G2127" i="7"/>
  <c r="C2127" i="7"/>
  <c r="G2126" i="7"/>
  <c r="C2126" i="7"/>
  <c r="G2125" i="7"/>
  <c r="C2125" i="7"/>
  <c r="G2124" i="7"/>
  <c r="C2124" i="7"/>
  <c r="G2123" i="7"/>
  <c r="C2123" i="7"/>
  <c r="G2122" i="7"/>
  <c r="C2122" i="7"/>
  <c r="G2121" i="7"/>
  <c r="C2121" i="7"/>
  <c r="G2120" i="7"/>
  <c r="C2120" i="7"/>
  <c r="G2119" i="7"/>
  <c r="C2119" i="7"/>
  <c r="G2118" i="7"/>
  <c r="C2118" i="7"/>
  <c r="G2117" i="7"/>
  <c r="C2117" i="7"/>
  <c r="G2116" i="7"/>
  <c r="C2116" i="7"/>
  <c r="G2115" i="7"/>
  <c r="C2115" i="7"/>
  <c r="G2114" i="7"/>
  <c r="C2114" i="7"/>
  <c r="G2113" i="7"/>
  <c r="C2113" i="7"/>
  <c r="G2112" i="7"/>
  <c r="C2112" i="7"/>
  <c r="G2111" i="7"/>
  <c r="C2111" i="7"/>
  <c r="G2110" i="7"/>
  <c r="C2110" i="7"/>
  <c r="G2109" i="7"/>
  <c r="C2109" i="7"/>
  <c r="G2108" i="7"/>
  <c r="C2108" i="7"/>
  <c r="G2107" i="7"/>
  <c r="C2107" i="7"/>
  <c r="G2106" i="7"/>
  <c r="C2106" i="7"/>
  <c r="G2105" i="7"/>
  <c r="C2105" i="7"/>
  <c r="G2104" i="7"/>
  <c r="C2104" i="7"/>
  <c r="G2103" i="7"/>
  <c r="C2103" i="7"/>
  <c r="G2102" i="7"/>
  <c r="C2102" i="7"/>
  <c r="G2101" i="7"/>
  <c r="C2101" i="7"/>
  <c r="G2100" i="7"/>
  <c r="C2100" i="7"/>
  <c r="G2099" i="7"/>
  <c r="C2099" i="7"/>
  <c r="G2098" i="7"/>
  <c r="C2098" i="7"/>
  <c r="G2097" i="7"/>
  <c r="C2097" i="7"/>
  <c r="G2096" i="7"/>
  <c r="C2096" i="7"/>
  <c r="G2095" i="7"/>
  <c r="C2095" i="7"/>
  <c r="G2094" i="7"/>
  <c r="C2094" i="7"/>
  <c r="G2093" i="7"/>
  <c r="C2093" i="7"/>
  <c r="G2092" i="7"/>
  <c r="C2092" i="7"/>
  <c r="G2091" i="7"/>
  <c r="C2091" i="7"/>
  <c r="G2090" i="7"/>
  <c r="C2090" i="7"/>
  <c r="G2089" i="7"/>
  <c r="C2089" i="7"/>
  <c r="G2088" i="7"/>
  <c r="C2088" i="7"/>
  <c r="G2087" i="7"/>
  <c r="C2087" i="7"/>
  <c r="G2086" i="7"/>
  <c r="C2086" i="7"/>
  <c r="G2085" i="7"/>
  <c r="C2085" i="7"/>
  <c r="G2084" i="7"/>
  <c r="C2084" i="7"/>
  <c r="G2083" i="7"/>
  <c r="C2083" i="7"/>
  <c r="G2082" i="7"/>
  <c r="C2082" i="7"/>
  <c r="G2081" i="7"/>
  <c r="C2081" i="7"/>
  <c r="G2080" i="7"/>
  <c r="C2080" i="7"/>
  <c r="G2079" i="7"/>
  <c r="C2079" i="7"/>
  <c r="G2078" i="7"/>
  <c r="C2078" i="7"/>
  <c r="G2077" i="7"/>
  <c r="C2077" i="7"/>
  <c r="G2076" i="7"/>
  <c r="C2076" i="7"/>
  <c r="G2075" i="7"/>
  <c r="C2075" i="7"/>
  <c r="G2074" i="7"/>
  <c r="C2074" i="7"/>
  <c r="G2073" i="7"/>
  <c r="C2073" i="7"/>
  <c r="G2072" i="7"/>
  <c r="C2072" i="7"/>
  <c r="G2071" i="7"/>
  <c r="C2071" i="7"/>
  <c r="G2070" i="7"/>
  <c r="C2070" i="7"/>
  <c r="G2069" i="7"/>
  <c r="C2069" i="7"/>
  <c r="G2068" i="7"/>
  <c r="C2068" i="7"/>
  <c r="G2067" i="7"/>
  <c r="C2067" i="7"/>
  <c r="G2066" i="7"/>
  <c r="C2066" i="7"/>
  <c r="G2065" i="7"/>
  <c r="C2065" i="7"/>
  <c r="G2064" i="7"/>
  <c r="C2064" i="7"/>
  <c r="G2063" i="7"/>
  <c r="C2063" i="7"/>
  <c r="G2062" i="7"/>
  <c r="C2062" i="7"/>
  <c r="G2061" i="7"/>
  <c r="C2061" i="7"/>
  <c r="G2060" i="7"/>
  <c r="C2060" i="7"/>
  <c r="G2059" i="7"/>
  <c r="C2059" i="7"/>
  <c r="G2058" i="7"/>
  <c r="C2058" i="7"/>
  <c r="G2057" i="7"/>
  <c r="C2057" i="7"/>
  <c r="G2056" i="7"/>
  <c r="C2056" i="7"/>
  <c r="G2055" i="7"/>
  <c r="C2055" i="7"/>
  <c r="G2054" i="7"/>
  <c r="C2054" i="7"/>
  <c r="G2053" i="7"/>
  <c r="C2053" i="7"/>
  <c r="G2052" i="7"/>
  <c r="C2052" i="7"/>
  <c r="G2051" i="7"/>
  <c r="C2051" i="7"/>
  <c r="G2050" i="7"/>
  <c r="C2050" i="7"/>
  <c r="G2049" i="7"/>
  <c r="C2049" i="7"/>
  <c r="G2048" i="7"/>
  <c r="C2048" i="7"/>
  <c r="G2047" i="7"/>
  <c r="C2047" i="7"/>
  <c r="G2046" i="7"/>
  <c r="C2046" i="7"/>
  <c r="G2045" i="7"/>
  <c r="C2045" i="7"/>
  <c r="G2044" i="7"/>
  <c r="C2044" i="7"/>
  <c r="G2043" i="7"/>
  <c r="C2043" i="7"/>
  <c r="G2042" i="7"/>
  <c r="C2042" i="7"/>
  <c r="G2041" i="7"/>
  <c r="C2041" i="7"/>
  <c r="G2040" i="7"/>
  <c r="C2040" i="7"/>
  <c r="G2039" i="7"/>
  <c r="C2039" i="7"/>
  <c r="G2038" i="7"/>
  <c r="C2038" i="7"/>
  <c r="G2037" i="7"/>
  <c r="C2037" i="7"/>
  <c r="G2036" i="7"/>
  <c r="C2036" i="7"/>
  <c r="G2035" i="7"/>
  <c r="C2035" i="7"/>
  <c r="G2034" i="7"/>
  <c r="C2034" i="7"/>
  <c r="G2033" i="7"/>
  <c r="C2033" i="7"/>
  <c r="G2032" i="7"/>
  <c r="C2032" i="7"/>
  <c r="G2031" i="7"/>
  <c r="C2031" i="7"/>
  <c r="G2030" i="7"/>
  <c r="C2030" i="7"/>
  <c r="G2029" i="7"/>
  <c r="C2029" i="7"/>
  <c r="G2028" i="7"/>
  <c r="C2028" i="7"/>
  <c r="G2027" i="7"/>
  <c r="C2027" i="7"/>
  <c r="G2026" i="7"/>
  <c r="C2026" i="7"/>
  <c r="G2025" i="7"/>
  <c r="C2025" i="7"/>
  <c r="G2024" i="7"/>
  <c r="C2024" i="7"/>
  <c r="G2023" i="7"/>
  <c r="C2023" i="7"/>
  <c r="G2022" i="7"/>
  <c r="C2022" i="7"/>
  <c r="G2021" i="7"/>
  <c r="C2021" i="7"/>
  <c r="G2020" i="7"/>
  <c r="C2020" i="7"/>
  <c r="G2019" i="7"/>
  <c r="C2019" i="7"/>
  <c r="G2018" i="7"/>
  <c r="C2018" i="7"/>
  <c r="G2017" i="7"/>
  <c r="C2017" i="7"/>
  <c r="G2016" i="7"/>
  <c r="C2016" i="7"/>
  <c r="G2015" i="7"/>
  <c r="C2015" i="7"/>
  <c r="G2014" i="7"/>
  <c r="C2014" i="7"/>
  <c r="G2013" i="7"/>
  <c r="C2013" i="7"/>
  <c r="G2012" i="7"/>
  <c r="C2012" i="7"/>
  <c r="G2011" i="7"/>
  <c r="C2011" i="7"/>
  <c r="G2010" i="7"/>
  <c r="C2010" i="7"/>
  <c r="G2009" i="7"/>
  <c r="C2009" i="7"/>
  <c r="G2008" i="7"/>
  <c r="C2008" i="7"/>
  <c r="G2007" i="7"/>
  <c r="C2007" i="7"/>
  <c r="G2006" i="7"/>
  <c r="C2006" i="7"/>
  <c r="G2005" i="7"/>
  <c r="C2005" i="7"/>
  <c r="G2004" i="7"/>
  <c r="C2004" i="7"/>
  <c r="G2003" i="7"/>
  <c r="C2003" i="7"/>
  <c r="G2002" i="7"/>
  <c r="C2002" i="7"/>
  <c r="G2001" i="7"/>
  <c r="C2001" i="7"/>
  <c r="G2000" i="7"/>
  <c r="C2000" i="7"/>
  <c r="G1999" i="7"/>
  <c r="C1999" i="7"/>
  <c r="G1998" i="7"/>
  <c r="C1998" i="7"/>
  <c r="G1997" i="7"/>
  <c r="C1997" i="7"/>
  <c r="G1996" i="7"/>
  <c r="C1996" i="7"/>
  <c r="G1995" i="7"/>
  <c r="C1995" i="7"/>
  <c r="G1994" i="7"/>
  <c r="C1994" i="7"/>
  <c r="G1993" i="7"/>
  <c r="C1993" i="7"/>
  <c r="G1992" i="7"/>
  <c r="C1992" i="7"/>
  <c r="G1991" i="7"/>
  <c r="C1991" i="7"/>
  <c r="G1990" i="7"/>
  <c r="C1990" i="7"/>
  <c r="G1989" i="7"/>
  <c r="C1989" i="7"/>
  <c r="G1988" i="7"/>
  <c r="C1988" i="7"/>
  <c r="G1987" i="7"/>
  <c r="C1987" i="7"/>
  <c r="G1986" i="7"/>
  <c r="C1986" i="7"/>
  <c r="G1985" i="7"/>
  <c r="C1985" i="7"/>
  <c r="G1984" i="7"/>
  <c r="C1984" i="7"/>
  <c r="G1983" i="7"/>
  <c r="C1983" i="7"/>
  <c r="G1982" i="7"/>
  <c r="C1982" i="7"/>
  <c r="G1981" i="7"/>
  <c r="C1981" i="7"/>
  <c r="G1980" i="7"/>
  <c r="C1980" i="7"/>
  <c r="G1979" i="7"/>
  <c r="C1979" i="7"/>
  <c r="G1978" i="7"/>
  <c r="C1978" i="7"/>
  <c r="G1977" i="7"/>
  <c r="C1977" i="7"/>
  <c r="G1976" i="7"/>
  <c r="C1976" i="7"/>
  <c r="G1975" i="7"/>
  <c r="C1975" i="7"/>
  <c r="G1974" i="7"/>
  <c r="C1974" i="7"/>
  <c r="G1973" i="7"/>
  <c r="C1973" i="7"/>
  <c r="G1972" i="7"/>
  <c r="C1972" i="7"/>
  <c r="G1971" i="7"/>
  <c r="C1971" i="7"/>
  <c r="G1970" i="7"/>
  <c r="C1970" i="7"/>
  <c r="G1969" i="7"/>
  <c r="C1969" i="7"/>
  <c r="G1968" i="7"/>
  <c r="C1968" i="7"/>
  <c r="G1967" i="7"/>
  <c r="C1967" i="7"/>
  <c r="G1966" i="7"/>
  <c r="C1966" i="7"/>
  <c r="G1965" i="7"/>
  <c r="C1965" i="7"/>
  <c r="G1964" i="7"/>
  <c r="C1964" i="7"/>
  <c r="G1963" i="7"/>
  <c r="C1963" i="7"/>
  <c r="G1962" i="7"/>
  <c r="C1962" i="7"/>
  <c r="G1961" i="7"/>
  <c r="C1961" i="7"/>
  <c r="G1960" i="7"/>
  <c r="C1960" i="7"/>
  <c r="G1959" i="7"/>
  <c r="C1959" i="7"/>
  <c r="G1958" i="7"/>
  <c r="C1958" i="7"/>
  <c r="G1957" i="7"/>
  <c r="C1957" i="7"/>
  <c r="G1956" i="7"/>
  <c r="C1956" i="7"/>
  <c r="G1955" i="7"/>
  <c r="C1955" i="7"/>
  <c r="G1954" i="7"/>
  <c r="C1954" i="7"/>
  <c r="G1953" i="7"/>
  <c r="C1953" i="7"/>
  <c r="G1952" i="7"/>
  <c r="C1952" i="7"/>
  <c r="G1951" i="7"/>
  <c r="C1951" i="7"/>
  <c r="G1950" i="7"/>
  <c r="C1950" i="7"/>
  <c r="G1949" i="7"/>
  <c r="C1949" i="7"/>
  <c r="G1948" i="7"/>
  <c r="C1948" i="7"/>
  <c r="G1947" i="7"/>
  <c r="C1947" i="7"/>
  <c r="G1946" i="7"/>
  <c r="C1946" i="7"/>
  <c r="G1945" i="7"/>
  <c r="C1945" i="7"/>
  <c r="G1944" i="7"/>
  <c r="C1944" i="7"/>
  <c r="G1943" i="7"/>
  <c r="C1943" i="7"/>
  <c r="G1942" i="7"/>
  <c r="C1942" i="7"/>
  <c r="G1941" i="7"/>
  <c r="C1941" i="7"/>
  <c r="G1940" i="7"/>
  <c r="C1940" i="7"/>
  <c r="G1939" i="7"/>
  <c r="C1939" i="7"/>
  <c r="G1938" i="7"/>
  <c r="C1938" i="7"/>
  <c r="G1937" i="7"/>
  <c r="C1937" i="7"/>
  <c r="G1936" i="7"/>
  <c r="C1936" i="7"/>
  <c r="G1935" i="7"/>
  <c r="C1935" i="7"/>
  <c r="G1934" i="7"/>
  <c r="C1934" i="7"/>
  <c r="G1933" i="7"/>
  <c r="C1933" i="7"/>
  <c r="G1932" i="7"/>
  <c r="C1932" i="7"/>
  <c r="G1931" i="7"/>
  <c r="C1931" i="7"/>
  <c r="G1930" i="7"/>
  <c r="C1930" i="7"/>
  <c r="G1929" i="7"/>
  <c r="C1929" i="7"/>
  <c r="G1928" i="7"/>
  <c r="C1928" i="7"/>
  <c r="G1927" i="7"/>
  <c r="C1927" i="7"/>
  <c r="G1926" i="7"/>
  <c r="C1926" i="7"/>
  <c r="G1925" i="7"/>
  <c r="C1925" i="7"/>
  <c r="G1924" i="7"/>
  <c r="C1924" i="7"/>
  <c r="G1923" i="7"/>
  <c r="C1923" i="7"/>
  <c r="G1922" i="7"/>
  <c r="C1922" i="7"/>
  <c r="G1921" i="7"/>
  <c r="C1921" i="7"/>
  <c r="G1920" i="7"/>
  <c r="C1920" i="7"/>
  <c r="G1919" i="7"/>
  <c r="C1919" i="7"/>
  <c r="G1918" i="7"/>
  <c r="C1918" i="7"/>
  <c r="G1917" i="7"/>
  <c r="C1917" i="7"/>
  <c r="G1916" i="7"/>
  <c r="C1916" i="7"/>
  <c r="G1915" i="7"/>
  <c r="C1915" i="7"/>
  <c r="G1914" i="7"/>
  <c r="C1914" i="7"/>
  <c r="G1913" i="7"/>
  <c r="C1913" i="7"/>
  <c r="G1912" i="7"/>
  <c r="C1912" i="7"/>
  <c r="G1911" i="7"/>
  <c r="C1911" i="7"/>
  <c r="G1910" i="7"/>
  <c r="C1910" i="7"/>
  <c r="G1909" i="7"/>
  <c r="C1909" i="7"/>
  <c r="G1908" i="7"/>
  <c r="C1908" i="7"/>
  <c r="G1907" i="7"/>
  <c r="C1907" i="7"/>
  <c r="G1906" i="7"/>
  <c r="C1906" i="7"/>
  <c r="G1905" i="7"/>
  <c r="C1905" i="7"/>
  <c r="G1904" i="7"/>
  <c r="C1904" i="7"/>
  <c r="G1903" i="7"/>
  <c r="C1903" i="7"/>
  <c r="G1902" i="7"/>
  <c r="C1902" i="7"/>
  <c r="G1901" i="7"/>
  <c r="C1901" i="7"/>
  <c r="G1900" i="7"/>
  <c r="C1900" i="7"/>
  <c r="G1899" i="7"/>
  <c r="C1899" i="7"/>
  <c r="G1898" i="7"/>
  <c r="C1898" i="7"/>
  <c r="G1897" i="7"/>
  <c r="C1897" i="7"/>
  <c r="G1896" i="7"/>
  <c r="C1896" i="7"/>
  <c r="G1895" i="7"/>
  <c r="C1895" i="7"/>
  <c r="G1894" i="7"/>
  <c r="C1894" i="7"/>
  <c r="G1893" i="7"/>
  <c r="C1893" i="7"/>
  <c r="G1892" i="7"/>
  <c r="C1892" i="7"/>
  <c r="G1891" i="7"/>
  <c r="C1891" i="7"/>
  <c r="G1890" i="7"/>
  <c r="C1890" i="7"/>
  <c r="G1889" i="7"/>
  <c r="C1889" i="7"/>
  <c r="G1888" i="7"/>
  <c r="C1888" i="7"/>
  <c r="G1887" i="7"/>
  <c r="C1887" i="7"/>
  <c r="G1886" i="7"/>
  <c r="C1886" i="7"/>
  <c r="G1885" i="7"/>
  <c r="C1885" i="7"/>
  <c r="G1884" i="7"/>
  <c r="C1884" i="7"/>
  <c r="G1883" i="7"/>
  <c r="C1883" i="7"/>
  <c r="G1882" i="7"/>
  <c r="C1882" i="7"/>
  <c r="G1881" i="7"/>
  <c r="C1881" i="7"/>
  <c r="G1880" i="7"/>
  <c r="C1880" i="7"/>
  <c r="G1879" i="7"/>
  <c r="C1879" i="7"/>
  <c r="G1878" i="7"/>
  <c r="C1878" i="7"/>
  <c r="G1877" i="7"/>
  <c r="C1877" i="7"/>
  <c r="G1876" i="7"/>
  <c r="C1876" i="7"/>
  <c r="G1875" i="7"/>
  <c r="C1875" i="7"/>
  <c r="G1874" i="7"/>
  <c r="C1874" i="7"/>
  <c r="G1873" i="7"/>
  <c r="C1873" i="7"/>
  <c r="G1872" i="7"/>
  <c r="C1872" i="7"/>
  <c r="G1871" i="7"/>
  <c r="C1871" i="7"/>
  <c r="G1870" i="7"/>
  <c r="C1870" i="7"/>
  <c r="G1869" i="7"/>
  <c r="C1869" i="7"/>
  <c r="G1868" i="7"/>
  <c r="C1868" i="7"/>
  <c r="G1867" i="7"/>
  <c r="C1867" i="7"/>
  <c r="G1866" i="7"/>
  <c r="C1866" i="7"/>
  <c r="G1865" i="7"/>
  <c r="C1865" i="7"/>
  <c r="G1864" i="7"/>
  <c r="C1864" i="7"/>
  <c r="G1863" i="7"/>
  <c r="C1863" i="7"/>
  <c r="G1862" i="7"/>
  <c r="C1862" i="7"/>
  <c r="G1861" i="7"/>
  <c r="C1861" i="7"/>
  <c r="G1860" i="7"/>
  <c r="C1860" i="7"/>
  <c r="G1859" i="7"/>
  <c r="C1859" i="7"/>
  <c r="G1858" i="7"/>
  <c r="C1858" i="7"/>
  <c r="G1857" i="7"/>
  <c r="C1857" i="7"/>
  <c r="G1856" i="7"/>
  <c r="C1856" i="7"/>
  <c r="G1855" i="7"/>
  <c r="C1855" i="7"/>
  <c r="G1854" i="7"/>
  <c r="C1854" i="7"/>
  <c r="G1853" i="7"/>
  <c r="C1853" i="7"/>
  <c r="G1852" i="7"/>
  <c r="C1852" i="7"/>
  <c r="G1851" i="7"/>
  <c r="C1851" i="7"/>
  <c r="G1850" i="7"/>
  <c r="C1850" i="7"/>
  <c r="G1849" i="7"/>
  <c r="C1849" i="7"/>
  <c r="G1848" i="7"/>
  <c r="C1848" i="7"/>
  <c r="G1847" i="7"/>
  <c r="C1847" i="7"/>
  <c r="G1846" i="7"/>
  <c r="C1846" i="7"/>
  <c r="G1845" i="7"/>
  <c r="C1845" i="7"/>
  <c r="G1844" i="7"/>
  <c r="C1844" i="7"/>
  <c r="G1843" i="7"/>
  <c r="C1843" i="7"/>
  <c r="G1842" i="7"/>
  <c r="C1842" i="7"/>
  <c r="G1841" i="7"/>
  <c r="C1841" i="7"/>
  <c r="G1840" i="7"/>
  <c r="C1840" i="7"/>
  <c r="G1839" i="7"/>
  <c r="C1839" i="7"/>
  <c r="G1838" i="7"/>
  <c r="C1838" i="7"/>
  <c r="G1837" i="7"/>
  <c r="C1837" i="7"/>
  <c r="G1836" i="7"/>
  <c r="C1836" i="7"/>
  <c r="G1835" i="7"/>
  <c r="C1835" i="7"/>
  <c r="G1834" i="7"/>
  <c r="C1834" i="7"/>
  <c r="G1833" i="7"/>
  <c r="C1833" i="7"/>
  <c r="G1832" i="7"/>
  <c r="C1832" i="7"/>
  <c r="G1831" i="7"/>
  <c r="C1831" i="7"/>
  <c r="G1830" i="7"/>
  <c r="C1830" i="7"/>
  <c r="G1829" i="7"/>
  <c r="C1829" i="7"/>
  <c r="G1828" i="7"/>
  <c r="C1828" i="7"/>
  <c r="G1827" i="7"/>
  <c r="C1827" i="7"/>
  <c r="G1826" i="7"/>
  <c r="C1826" i="7"/>
  <c r="G1825" i="7"/>
  <c r="C1825" i="7"/>
  <c r="G1824" i="7"/>
  <c r="C1824" i="7"/>
  <c r="G1823" i="7"/>
  <c r="C1823" i="7"/>
  <c r="G1822" i="7"/>
  <c r="C1822" i="7"/>
  <c r="G1821" i="7"/>
  <c r="C1821" i="7"/>
  <c r="G1820" i="7"/>
  <c r="C1820" i="7"/>
  <c r="G1819" i="7"/>
  <c r="C1819" i="7"/>
  <c r="G1818" i="7"/>
  <c r="C1818" i="7"/>
  <c r="G1817" i="7"/>
  <c r="C1817" i="7"/>
  <c r="G1816" i="7"/>
  <c r="C1816" i="7"/>
  <c r="G1815" i="7"/>
  <c r="C1815" i="7"/>
  <c r="G1814" i="7"/>
  <c r="C1814" i="7"/>
  <c r="G1813" i="7"/>
  <c r="C1813" i="7"/>
  <c r="G1812" i="7"/>
  <c r="C1812" i="7"/>
  <c r="G1811" i="7"/>
  <c r="C1811" i="7"/>
  <c r="G1810" i="7"/>
  <c r="C1810" i="7"/>
  <c r="G1809" i="7"/>
  <c r="C1809" i="7"/>
  <c r="G1808" i="7"/>
  <c r="C1808" i="7"/>
  <c r="G1807" i="7"/>
  <c r="C1807" i="7"/>
  <c r="G1806" i="7"/>
  <c r="C1806" i="7"/>
  <c r="G1805" i="7"/>
  <c r="C1805" i="7"/>
  <c r="G1804" i="7"/>
  <c r="C1804" i="7"/>
  <c r="G1803" i="7"/>
  <c r="C1803" i="7"/>
  <c r="G1802" i="7"/>
  <c r="C1802" i="7"/>
  <c r="G1801" i="7"/>
  <c r="C1801" i="7"/>
  <c r="G1800" i="7"/>
  <c r="C1800" i="7"/>
  <c r="G1799" i="7"/>
  <c r="C1799" i="7"/>
  <c r="G1798" i="7"/>
  <c r="C1798" i="7"/>
  <c r="G1797" i="7"/>
  <c r="C1797" i="7"/>
  <c r="G1796" i="7"/>
  <c r="C1796" i="7"/>
  <c r="G1795" i="7"/>
  <c r="C1795" i="7"/>
  <c r="G1794" i="7"/>
  <c r="C1794" i="7"/>
  <c r="G1793" i="7"/>
  <c r="C1793" i="7"/>
  <c r="G1792" i="7"/>
  <c r="C1792" i="7"/>
  <c r="G1791" i="7"/>
  <c r="C1791" i="7"/>
  <c r="G1790" i="7"/>
  <c r="C1790" i="7"/>
  <c r="G1789" i="7"/>
  <c r="C1789" i="7"/>
  <c r="G1788" i="7"/>
  <c r="C1788" i="7"/>
  <c r="G1787" i="7"/>
  <c r="C1787" i="7"/>
  <c r="G1786" i="7"/>
  <c r="C1786" i="7"/>
  <c r="G1785" i="7"/>
  <c r="C1785" i="7"/>
  <c r="G1784" i="7"/>
  <c r="C1784" i="7"/>
  <c r="G1783" i="7"/>
  <c r="C1783" i="7"/>
  <c r="G1782" i="7"/>
  <c r="C1782" i="7"/>
  <c r="G1781" i="7"/>
  <c r="C1781" i="7"/>
  <c r="G1780" i="7"/>
  <c r="C1780" i="7"/>
  <c r="G1779" i="7"/>
  <c r="C1779" i="7"/>
  <c r="G1778" i="7"/>
  <c r="C1778" i="7"/>
  <c r="G1777" i="7"/>
  <c r="C1777" i="7"/>
  <c r="G1776" i="7"/>
  <c r="C1776" i="7"/>
  <c r="G1775" i="7"/>
  <c r="C1775" i="7"/>
  <c r="G1774" i="7"/>
  <c r="C1774" i="7"/>
  <c r="G1773" i="7"/>
  <c r="C1773" i="7"/>
  <c r="G1772" i="7"/>
  <c r="C1772" i="7"/>
  <c r="G1771" i="7"/>
  <c r="C1771" i="7"/>
  <c r="G1770" i="7"/>
  <c r="C1770" i="7"/>
  <c r="G1769" i="7"/>
  <c r="C1769" i="7"/>
  <c r="G1768" i="7"/>
  <c r="C1768" i="7"/>
  <c r="G1767" i="7"/>
  <c r="C1767" i="7"/>
  <c r="G1766" i="7"/>
  <c r="C1766" i="7"/>
  <c r="G1765" i="7"/>
  <c r="C1765" i="7"/>
  <c r="G1764" i="7"/>
  <c r="C1764" i="7"/>
  <c r="G1763" i="7"/>
  <c r="C1763" i="7"/>
  <c r="G1762" i="7"/>
  <c r="C1762" i="7"/>
  <c r="G1761" i="7"/>
  <c r="C1761" i="7"/>
  <c r="G1760" i="7"/>
  <c r="C1760" i="7"/>
  <c r="G1759" i="7"/>
  <c r="C1759" i="7"/>
  <c r="G1758" i="7"/>
  <c r="C1758" i="7"/>
  <c r="G1757" i="7"/>
  <c r="C1757" i="7"/>
  <c r="G1756" i="7"/>
  <c r="C1756" i="7"/>
  <c r="G1755" i="7"/>
  <c r="C1755" i="7"/>
  <c r="G1754" i="7"/>
  <c r="C1754" i="7"/>
  <c r="G1753" i="7"/>
  <c r="C1753" i="7"/>
  <c r="G1752" i="7"/>
  <c r="C1752" i="7"/>
  <c r="G1751" i="7"/>
  <c r="C1751" i="7"/>
  <c r="G1750" i="7"/>
  <c r="C1750" i="7"/>
  <c r="G1749" i="7"/>
  <c r="C1749" i="7"/>
  <c r="G1748" i="7"/>
  <c r="C1748" i="7"/>
  <c r="G1747" i="7"/>
  <c r="C1747" i="7"/>
  <c r="G1746" i="7"/>
  <c r="C1746" i="7"/>
  <c r="G1745" i="7"/>
  <c r="C1745" i="7"/>
  <c r="G1744" i="7"/>
  <c r="C1744" i="7"/>
  <c r="G1743" i="7"/>
  <c r="C1743" i="7"/>
  <c r="G1742" i="7"/>
  <c r="C1742" i="7"/>
  <c r="G1741" i="7"/>
  <c r="C1741" i="7"/>
  <c r="G1740" i="7"/>
  <c r="C1740" i="7"/>
  <c r="G1739" i="7"/>
  <c r="C1739" i="7"/>
  <c r="G1738" i="7"/>
  <c r="C1738" i="7"/>
  <c r="G1737" i="7"/>
  <c r="C1737" i="7"/>
  <c r="G1736" i="7"/>
  <c r="C1736" i="7"/>
  <c r="G1735" i="7"/>
  <c r="C1735" i="7"/>
  <c r="G1734" i="7"/>
  <c r="C1734" i="7"/>
  <c r="G1733" i="7"/>
  <c r="C1733" i="7"/>
  <c r="G1732" i="7"/>
  <c r="C1732" i="7"/>
  <c r="G1731" i="7"/>
  <c r="C1731" i="7"/>
  <c r="G1730" i="7"/>
  <c r="C1730" i="7"/>
  <c r="G1729" i="7"/>
  <c r="C1729" i="7"/>
  <c r="G1728" i="7"/>
  <c r="C1728" i="7"/>
  <c r="G1727" i="7"/>
  <c r="C1727" i="7"/>
  <c r="G1726" i="7"/>
  <c r="C1726" i="7"/>
  <c r="G1725" i="7"/>
  <c r="C1725" i="7"/>
  <c r="G1724" i="7"/>
  <c r="C1724" i="7"/>
  <c r="G1723" i="7"/>
  <c r="C1723" i="7"/>
  <c r="G1722" i="7"/>
  <c r="C1722" i="7"/>
  <c r="G1721" i="7"/>
  <c r="C1721" i="7"/>
  <c r="G1720" i="7"/>
  <c r="C1720" i="7"/>
  <c r="G1719" i="7"/>
  <c r="C1719" i="7"/>
  <c r="G1718" i="7"/>
  <c r="C1718" i="7"/>
  <c r="G1717" i="7"/>
  <c r="C1717" i="7"/>
  <c r="G1716" i="7"/>
  <c r="C1716" i="7"/>
  <c r="G1715" i="7"/>
  <c r="C1715" i="7"/>
  <c r="G1714" i="7"/>
  <c r="C1714" i="7"/>
  <c r="G1713" i="7"/>
  <c r="C1713" i="7"/>
  <c r="G1712" i="7"/>
  <c r="C1712" i="7"/>
  <c r="G1711" i="7"/>
  <c r="C1711" i="7"/>
  <c r="G1710" i="7"/>
  <c r="C1710" i="7"/>
  <c r="G1709" i="7"/>
  <c r="C1709" i="7"/>
  <c r="G1708" i="7"/>
  <c r="C1708" i="7"/>
  <c r="G1707" i="7"/>
  <c r="C1707" i="7"/>
  <c r="G1706" i="7"/>
  <c r="C1706" i="7"/>
  <c r="G1705" i="7"/>
  <c r="C1705" i="7"/>
  <c r="G1704" i="7"/>
  <c r="C1704" i="7"/>
  <c r="G1703" i="7"/>
  <c r="C1703" i="7"/>
  <c r="G1702" i="7"/>
  <c r="C1702" i="7"/>
  <c r="G1701" i="7"/>
  <c r="C1701" i="7"/>
  <c r="G1700" i="7"/>
  <c r="C1700" i="7"/>
  <c r="G1699" i="7"/>
  <c r="C1699" i="7"/>
  <c r="G1698" i="7"/>
  <c r="C1698" i="7"/>
  <c r="G1697" i="7"/>
  <c r="C1697" i="7"/>
  <c r="G1696" i="7"/>
  <c r="C1696" i="7"/>
  <c r="G1695" i="7"/>
  <c r="C1695" i="7"/>
  <c r="G1694" i="7"/>
  <c r="C1694" i="7"/>
  <c r="G1693" i="7"/>
  <c r="C1693" i="7"/>
  <c r="G1692" i="7"/>
  <c r="C1692" i="7"/>
  <c r="G1691" i="7"/>
  <c r="C1691" i="7"/>
  <c r="G1690" i="7"/>
  <c r="C1690" i="7"/>
  <c r="G1689" i="7"/>
  <c r="C1689" i="7"/>
  <c r="G1688" i="7"/>
  <c r="C1688" i="7"/>
  <c r="G1687" i="7"/>
  <c r="C1687" i="7"/>
  <c r="G1686" i="7"/>
  <c r="C1686" i="7"/>
  <c r="G1685" i="7"/>
  <c r="C1685" i="7"/>
  <c r="G1684" i="7"/>
  <c r="C1684" i="7"/>
  <c r="G1683" i="7"/>
  <c r="C1683" i="7"/>
  <c r="G1682" i="7"/>
  <c r="C1682" i="7"/>
  <c r="G1681" i="7"/>
  <c r="C1681" i="7"/>
  <c r="G1680" i="7"/>
  <c r="C1680" i="7"/>
  <c r="G1679" i="7"/>
  <c r="C1679" i="7"/>
  <c r="G1678" i="7"/>
  <c r="C1678" i="7"/>
  <c r="G1677" i="7"/>
  <c r="C1677" i="7"/>
  <c r="G1676" i="7"/>
  <c r="C1676" i="7"/>
  <c r="G1675" i="7"/>
  <c r="C1675" i="7"/>
  <c r="G1674" i="7"/>
  <c r="C1674" i="7"/>
  <c r="G1673" i="7"/>
  <c r="C1673" i="7"/>
  <c r="G1672" i="7"/>
  <c r="C1672" i="7"/>
  <c r="G1671" i="7"/>
  <c r="C1671" i="7"/>
  <c r="G1670" i="7"/>
  <c r="C1670" i="7"/>
  <c r="G1669" i="7"/>
  <c r="C1669" i="7"/>
  <c r="G1668" i="7"/>
  <c r="C1668" i="7"/>
  <c r="G1667" i="7"/>
  <c r="C1667" i="7"/>
  <c r="G1666" i="7"/>
  <c r="C1666" i="7"/>
  <c r="G1665" i="7"/>
  <c r="C1665" i="7"/>
  <c r="G1664" i="7"/>
  <c r="C1664" i="7"/>
  <c r="G1663" i="7"/>
  <c r="C1663" i="7"/>
  <c r="G1662" i="7"/>
  <c r="C1662" i="7"/>
  <c r="G1661" i="7"/>
  <c r="C1661" i="7"/>
  <c r="G1660" i="7"/>
  <c r="C1660" i="7"/>
  <c r="G1659" i="7"/>
  <c r="C1659" i="7"/>
  <c r="G1658" i="7"/>
  <c r="C1658" i="7"/>
  <c r="G1657" i="7"/>
  <c r="C1657" i="7"/>
  <c r="G1656" i="7"/>
  <c r="C1656" i="7"/>
  <c r="G1655" i="7"/>
  <c r="C1655" i="7"/>
  <c r="G1654" i="7"/>
  <c r="C1654" i="7"/>
  <c r="G1653" i="7"/>
  <c r="C1653" i="7"/>
  <c r="G1652" i="7"/>
  <c r="C1652" i="7"/>
  <c r="G1651" i="7"/>
  <c r="C1651" i="7"/>
  <c r="G1650" i="7"/>
  <c r="C1650" i="7"/>
  <c r="G1649" i="7"/>
  <c r="C1649" i="7"/>
  <c r="G1648" i="7"/>
  <c r="C1648" i="7"/>
  <c r="G1647" i="7"/>
  <c r="C1647" i="7"/>
  <c r="G1646" i="7"/>
  <c r="C1646" i="7"/>
  <c r="G1645" i="7"/>
  <c r="C1645" i="7"/>
  <c r="G1644" i="7"/>
  <c r="C1644" i="7"/>
  <c r="G1643" i="7"/>
  <c r="C1643" i="7"/>
  <c r="G1642" i="7"/>
  <c r="C1642" i="7"/>
  <c r="G1641" i="7"/>
  <c r="C1641" i="7"/>
  <c r="G1640" i="7"/>
  <c r="C1640" i="7"/>
  <c r="G1639" i="7"/>
  <c r="C1639" i="7"/>
  <c r="G1638" i="7"/>
  <c r="C1638" i="7"/>
  <c r="G1637" i="7"/>
  <c r="C1637" i="7"/>
  <c r="G1636" i="7"/>
  <c r="C1636" i="7"/>
  <c r="G1635" i="7"/>
  <c r="C1635" i="7"/>
  <c r="G1634" i="7"/>
  <c r="C1634" i="7"/>
  <c r="G1633" i="7"/>
  <c r="C1633" i="7"/>
  <c r="G1632" i="7"/>
  <c r="C1632" i="7"/>
  <c r="G1631" i="7"/>
  <c r="C1631" i="7"/>
  <c r="G1630" i="7"/>
  <c r="C1630" i="7"/>
  <c r="G1629" i="7"/>
  <c r="C1629" i="7"/>
  <c r="G1628" i="7"/>
  <c r="C1628" i="7"/>
  <c r="G1627" i="7"/>
  <c r="C1627" i="7"/>
  <c r="G1626" i="7"/>
  <c r="C1626" i="7"/>
  <c r="G1625" i="7"/>
  <c r="C1625" i="7"/>
  <c r="G1624" i="7"/>
  <c r="C1624" i="7"/>
  <c r="G1623" i="7"/>
  <c r="C1623" i="7"/>
  <c r="G1622" i="7"/>
  <c r="C1622" i="7"/>
  <c r="G1621" i="7"/>
  <c r="C1621" i="7"/>
  <c r="G1620" i="7"/>
  <c r="C1620" i="7"/>
  <c r="G1619" i="7"/>
  <c r="C1619" i="7"/>
  <c r="G1618" i="7"/>
  <c r="C1618" i="7"/>
  <c r="G1617" i="7"/>
  <c r="C1617" i="7"/>
  <c r="G1616" i="7"/>
  <c r="C1616" i="7"/>
  <c r="G1615" i="7"/>
  <c r="C1615" i="7"/>
  <c r="G1614" i="7"/>
  <c r="C1614" i="7"/>
  <c r="G1613" i="7"/>
  <c r="C1613" i="7"/>
  <c r="G1612" i="7"/>
  <c r="C1612" i="7"/>
  <c r="G1611" i="7"/>
  <c r="C1611" i="7"/>
  <c r="G1610" i="7"/>
  <c r="C1610" i="7"/>
  <c r="G1609" i="7"/>
  <c r="C1609" i="7"/>
  <c r="G1608" i="7"/>
  <c r="C1608" i="7"/>
  <c r="G1607" i="7"/>
  <c r="C1607" i="7"/>
  <c r="G1606" i="7"/>
  <c r="C1606" i="7"/>
  <c r="G1605" i="7"/>
  <c r="C1605" i="7"/>
  <c r="G1604" i="7"/>
  <c r="C1604" i="7"/>
  <c r="G1603" i="7"/>
  <c r="C1603" i="7"/>
  <c r="G1602" i="7"/>
  <c r="C1602" i="7"/>
  <c r="G1601" i="7"/>
  <c r="C1601" i="7"/>
  <c r="G1600" i="7"/>
  <c r="C1600" i="7"/>
  <c r="G1599" i="7"/>
  <c r="C1599" i="7"/>
  <c r="G1598" i="7"/>
  <c r="C1598" i="7"/>
  <c r="G1597" i="7"/>
  <c r="C1597" i="7"/>
  <c r="G1596" i="7"/>
  <c r="C1596" i="7"/>
  <c r="G1595" i="7"/>
  <c r="C1595" i="7"/>
  <c r="G1594" i="7"/>
  <c r="C1594" i="7"/>
  <c r="G1593" i="7"/>
  <c r="C1593" i="7"/>
  <c r="G1592" i="7"/>
  <c r="C1592" i="7"/>
  <c r="G1591" i="7"/>
  <c r="C1591" i="7"/>
  <c r="G1590" i="7"/>
  <c r="C1590" i="7"/>
  <c r="G1589" i="7"/>
  <c r="C1589" i="7"/>
  <c r="G1588" i="7"/>
  <c r="C1588" i="7"/>
  <c r="G1587" i="7"/>
  <c r="C1587" i="7"/>
  <c r="G1586" i="7"/>
  <c r="C1586" i="7"/>
  <c r="G1585" i="7"/>
  <c r="C1585" i="7"/>
  <c r="G1584" i="7"/>
  <c r="C1584" i="7"/>
  <c r="G1583" i="7"/>
  <c r="C1583" i="7"/>
  <c r="G1582" i="7"/>
  <c r="C1582" i="7"/>
  <c r="G1581" i="7"/>
  <c r="C1581" i="7"/>
  <c r="G1580" i="7"/>
  <c r="C1580" i="7"/>
  <c r="G1579" i="7"/>
  <c r="C1579" i="7"/>
  <c r="G1578" i="7"/>
  <c r="C1578" i="7"/>
  <c r="G1577" i="7"/>
  <c r="C1577" i="7"/>
  <c r="G1576" i="7"/>
  <c r="C1576" i="7"/>
  <c r="G1575" i="7"/>
  <c r="C1575" i="7"/>
  <c r="G1574" i="7"/>
  <c r="C1574" i="7"/>
  <c r="G1573" i="7"/>
  <c r="C1573" i="7"/>
  <c r="G1572" i="7"/>
  <c r="C1572" i="7"/>
  <c r="G1571" i="7"/>
  <c r="C1571" i="7"/>
  <c r="G1570" i="7"/>
  <c r="C1570" i="7"/>
  <c r="G1569" i="7"/>
  <c r="C1569" i="7"/>
  <c r="G1568" i="7"/>
  <c r="C1568" i="7"/>
  <c r="G1567" i="7"/>
  <c r="C1567" i="7"/>
  <c r="G1566" i="7"/>
  <c r="C1566" i="7"/>
  <c r="G1565" i="7"/>
  <c r="C1565" i="7"/>
  <c r="G1564" i="7"/>
  <c r="C1564" i="7"/>
  <c r="G1563" i="7"/>
  <c r="C1563" i="7"/>
  <c r="G1562" i="7"/>
  <c r="C1562" i="7"/>
  <c r="G1561" i="7"/>
  <c r="C1561" i="7"/>
  <c r="G1560" i="7"/>
  <c r="C1560" i="7"/>
  <c r="G1559" i="7"/>
  <c r="C1559" i="7"/>
  <c r="G1558" i="7"/>
  <c r="C1558" i="7"/>
  <c r="G1557" i="7"/>
  <c r="C1557" i="7"/>
  <c r="G1556" i="7"/>
  <c r="C1556" i="7"/>
  <c r="G1555" i="7"/>
  <c r="C1555" i="7"/>
  <c r="G1554" i="7"/>
  <c r="C1554" i="7"/>
  <c r="G1553" i="7"/>
  <c r="C1553" i="7"/>
  <c r="G1552" i="7"/>
  <c r="C1552" i="7"/>
  <c r="G1551" i="7"/>
  <c r="C1551" i="7"/>
  <c r="G1550" i="7"/>
  <c r="C1550" i="7"/>
  <c r="G1549" i="7"/>
  <c r="C1549" i="7"/>
  <c r="G1548" i="7"/>
  <c r="C1548" i="7"/>
  <c r="G1547" i="7"/>
  <c r="C1547" i="7"/>
  <c r="G1546" i="7"/>
  <c r="C1546" i="7"/>
  <c r="G1545" i="7"/>
  <c r="C1545" i="7"/>
  <c r="G1544" i="7"/>
  <c r="C1544" i="7"/>
  <c r="G1543" i="7"/>
  <c r="C1543" i="7"/>
  <c r="G1542" i="7"/>
  <c r="C1542" i="7"/>
  <c r="G1541" i="7"/>
  <c r="C1541" i="7"/>
  <c r="G1540" i="7"/>
  <c r="C1540" i="7"/>
  <c r="G1539" i="7"/>
  <c r="C1539" i="7"/>
  <c r="G1538" i="7"/>
  <c r="C1538" i="7"/>
  <c r="G1537" i="7"/>
  <c r="C1537" i="7"/>
  <c r="G1536" i="7"/>
  <c r="C1536" i="7"/>
  <c r="G1535" i="7"/>
  <c r="C1535" i="7"/>
  <c r="G1534" i="7"/>
  <c r="C1534" i="7"/>
  <c r="G1533" i="7"/>
  <c r="C1533" i="7"/>
  <c r="G1532" i="7"/>
  <c r="C1532" i="7"/>
  <c r="G1531" i="7"/>
  <c r="C1531" i="7"/>
  <c r="G1530" i="7"/>
  <c r="C1530" i="7"/>
  <c r="G1529" i="7"/>
  <c r="C1529" i="7"/>
  <c r="G1528" i="7"/>
  <c r="C1528" i="7"/>
  <c r="G1527" i="7"/>
  <c r="C1527" i="7"/>
  <c r="G1526" i="7"/>
  <c r="C1526" i="7"/>
  <c r="G1525" i="7"/>
  <c r="C1525" i="7"/>
  <c r="G1524" i="7"/>
  <c r="C1524" i="7"/>
  <c r="G1523" i="7"/>
  <c r="C1523" i="7"/>
  <c r="G1522" i="7"/>
  <c r="C1522" i="7"/>
  <c r="G1521" i="7"/>
  <c r="C1521" i="7"/>
  <c r="G1520" i="7"/>
  <c r="C1520" i="7"/>
  <c r="G1519" i="7"/>
  <c r="C1519" i="7"/>
  <c r="G1518" i="7"/>
  <c r="C1518" i="7"/>
  <c r="G1517" i="7"/>
  <c r="C1517" i="7"/>
  <c r="G1516" i="7"/>
  <c r="C1516" i="7"/>
  <c r="G1515" i="7"/>
  <c r="C1515" i="7"/>
  <c r="G1514" i="7"/>
  <c r="C1514" i="7"/>
  <c r="G1513" i="7"/>
  <c r="C1513" i="7"/>
  <c r="G1512" i="7"/>
  <c r="C1512" i="7"/>
  <c r="G1511" i="7"/>
  <c r="C1511" i="7"/>
  <c r="G1510" i="7"/>
  <c r="C1510" i="7"/>
  <c r="G1509" i="7"/>
  <c r="C1509" i="7"/>
  <c r="G1508" i="7"/>
  <c r="C1508" i="7"/>
  <c r="G1507" i="7"/>
  <c r="C1507" i="7"/>
  <c r="G1506" i="7"/>
  <c r="C1506" i="7"/>
  <c r="G1505" i="7"/>
  <c r="C1505" i="7"/>
  <c r="G1504" i="7"/>
  <c r="C1504" i="7"/>
  <c r="G1503" i="7"/>
  <c r="C1503" i="7"/>
  <c r="G1502" i="7"/>
  <c r="C1502" i="7"/>
  <c r="G1501" i="7"/>
  <c r="C1501" i="7"/>
  <c r="G1500" i="7"/>
  <c r="C1500" i="7"/>
  <c r="G1499" i="7"/>
  <c r="C1499" i="7"/>
  <c r="G1498" i="7"/>
  <c r="C1498" i="7"/>
  <c r="G1497" i="7"/>
  <c r="C1497" i="7"/>
  <c r="G1496" i="7"/>
  <c r="C1496" i="7"/>
  <c r="G1495" i="7"/>
  <c r="C1495" i="7"/>
  <c r="G1494" i="7"/>
  <c r="C1494" i="7"/>
  <c r="G1493" i="7"/>
  <c r="C1493" i="7"/>
  <c r="G1492" i="7"/>
  <c r="C1492" i="7"/>
  <c r="G1491" i="7"/>
  <c r="C1491" i="7"/>
  <c r="G1490" i="7"/>
  <c r="C1490" i="7"/>
  <c r="G1489" i="7"/>
  <c r="C1489" i="7"/>
  <c r="G1488" i="7"/>
  <c r="C1488" i="7"/>
  <c r="G1487" i="7"/>
  <c r="C1487" i="7"/>
  <c r="G1486" i="7"/>
  <c r="C1486" i="7"/>
  <c r="G1485" i="7"/>
  <c r="C1485" i="7"/>
  <c r="G1484" i="7"/>
  <c r="C1484" i="7"/>
  <c r="G1483" i="7"/>
  <c r="C1483" i="7"/>
  <c r="G1482" i="7"/>
  <c r="C1482" i="7"/>
  <c r="G1481" i="7"/>
  <c r="C1481" i="7"/>
  <c r="G1480" i="7"/>
  <c r="C1480" i="7"/>
  <c r="G1479" i="7"/>
  <c r="C1479" i="7"/>
  <c r="G1478" i="7"/>
  <c r="C1478" i="7"/>
  <c r="G1477" i="7"/>
  <c r="C1477" i="7"/>
  <c r="G1476" i="7"/>
  <c r="C1476" i="7"/>
  <c r="G1475" i="7"/>
  <c r="C1475" i="7"/>
  <c r="G1474" i="7"/>
  <c r="C1474" i="7"/>
  <c r="G1473" i="7"/>
  <c r="C1473" i="7"/>
  <c r="G1472" i="7"/>
  <c r="C1472" i="7"/>
  <c r="G1471" i="7"/>
  <c r="C1471" i="7"/>
  <c r="G1470" i="7"/>
  <c r="C1470" i="7"/>
  <c r="G1469" i="7"/>
  <c r="C1469" i="7"/>
  <c r="G1468" i="7"/>
  <c r="C1468" i="7"/>
  <c r="G1467" i="7"/>
  <c r="C1467" i="7"/>
  <c r="G1466" i="7"/>
  <c r="C1466" i="7"/>
  <c r="G1465" i="7"/>
  <c r="C1465" i="7"/>
  <c r="G1464" i="7"/>
  <c r="C1464" i="7"/>
  <c r="G1463" i="7"/>
  <c r="C1463" i="7"/>
  <c r="G1462" i="7"/>
  <c r="C1462" i="7"/>
  <c r="G1461" i="7"/>
  <c r="C1461" i="7"/>
  <c r="G1460" i="7"/>
  <c r="C1460" i="7"/>
  <c r="G1459" i="7"/>
  <c r="C1459" i="7"/>
  <c r="G1458" i="7"/>
  <c r="C1458" i="7"/>
  <c r="G1457" i="7"/>
  <c r="C1457" i="7"/>
  <c r="G1456" i="7"/>
  <c r="C1456" i="7"/>
  <c r="G1455" i="7"/>
  <c r="C1455" i="7"/>
  <c r="G1454" i="7"/>
  <c r="C1454" i="7"/>
  <c r="G1453" i="7"/>
  <c r="C1453" i="7"/>
  <c r="G1452" i="7"/>
  <c r="C1452" i="7"/>
  <c r="G1451" i="7"/>
  <c r="C1451" i="7"/>
  <c r="G1450" i="7"/>
  <c r="C1450" i="7"/>
  <c r="G1449" i="7"/>
  <c r="C1449" i="7"/>
  <c r="G1448" i="7"/>
  <c r="C1448" i="7"/>
  <c r="G1447" i="7"/>
  <c r="C1447" i="7"/>
  <c r="G1446" i="7"/>
  <c r="C1446" i="7"/>
  <c r="G1445" i="7"/>
  <c r="C1445" i="7"/>
  <c r="G1444" i="7"/>
  <c r="C1444" i="7"/>
  <c r="G1443" i="7"/>
  <c r="C1443" i="7"/>
  <c r="G1442" i="7"/>
  <c r="C1442" i="7"/>
  <c r="G1441" i="7"/>
  <c r="C1441" i="7"/>
  <c r="G1440" i="7"/>
  <c r="C1440" i="7"/>
  <c r="G1439" i="7"/>
  <c r="C1439" i="7"/>
  <c r="G1438" i="7"/>
  <c r="C1438" i="7"/>
  <c r="G1437" i="7"/>
  <c r="C1437" i="7"/>
  <c r="G1436" i="7"/>
  <c r="C1436" i="7"/>
  <c r="G1435" i="7"/>
  <c r="C1435" i="7"/>
  <c r="G1434" i="7"/>
  <c r="C1434" i="7"/>
  <c r="G1433" i="7"/>
  <c r="C1433" i="7"/>
  <c r="G1432" i="7"/>
  <c r="C1432" i="7"/>
  <c r="G1431" i="7"/>
  <c r="C1431" i="7"/>
  <c r="G1430" i="7"/>
  <c r="C1430" i="7"/>
  <c r="G1429" i="7"/>
  <c r="C1429" i="7"/>
  <c r="G1428" i="7"/>
  <c r="C1428" i="7"/>
  <c r="G1427" i="7"/>
  <c r="C1427" i="7"/>
  <c r="G1426" i="7"/>
  <c r="C1426" i="7"/>
  <c r="G1425" i="7"/>
  <c r="C1425" i="7"/>
  <c r="G1424" i="7"/>
  <c r="C1424" i="7"/>
  <c r="G1423" i="7"/>
  <c r="C1423" i="7"/>
  <c r="G1422" i="7"/>
  <c r="C1422" i="7"/>
  <c r="G1421" i="7"/>
  <c r="C1421" i="7"/>
  <c r="G1420" i="7"/>
  <c r="C1420" i="7"/>
  <c r="G1419" i="7"/>
  <c r="C1419" i="7"/>
  <c r="G1418" i="7"/>
  <c r="C1418" i="7"/>
  <c r="G1417" i="7"/>
  <c r="C1417" i="7"/>
  <c r="G1416" i="7"/>
  <c r="C1416" i="7"/>
  <c r="G1415" i="7"/>
  <c r="C1415" i="7"/>
  <c r="G1414" i="7"/>
  <c r="C1414" i="7"/>
  <c r="G1413" i="7"/>
  <c r="C1413" i="7"/>
  <c r="G1412" i="7"/>
  <c r="C1412" i="7"/>
  <c r="G1411" i="7"/>
  <c r="C1411" i="7"/>
  <c r="G1410" i="7"/>
  <c r="C1410" i="7"/>
  <c r="G1409" i="7"/>
  <c r="C1409" i="7"/>
  <c r="G1408" i="7"/>
  <c r="C1408" i="7"/>
  <c r="G1407" i="7"/>
  <c r="C1407" i="7"/>
  <c r="G1406" i="7"/>
  <c r="C1406" i="7"/>
  <c r="G1405" i="7"/>
  <c r="C1405" i="7"/>
  <c r="G1404" i="7"/>
  <c r="C1404" i="7"/>
  <c r="G1403" i="7"/>
  <c r="C1403" i="7"/>
  <c r="G1402" i="7"/>
  <c r="C1402" i="7"/>
  <c r="G1401" i="7"/>
  <c r="C1401" i="7"/>
  <c r="G1400" i="7"/>
  <c r="C1400" i="7"/>
  <c r="G1399" i="7"/>
  <c r="C1399" i="7"/>
  <c r="G1398" i="7"/>
  <c r="C1398" i="7"/>
  <c r="G1397" i="7"/>
  <c r="C1397" i="7"/>
  <c r="G1396" i="7"/>
  <c r="C1396" i="7"/>
  <c r="G1395" i="7"/>
  <c r="C1395" i="7"/>
  <c r="G1394" i="7"/>
  <c r="C1394" i="7"/>
  <c r="G1393" i="7"/>
  <c r="C1393" i="7"/>
  <c r="G1392" i="7"/>
  <c r="C1392" i="7"/>
  <c r="G1391" i="7"/>
  <c r="C1391" i="7"/>
  <c r="G1390" i="7"/>
  <c r="C1390" i="7"/>
  <c r="G1389" i="7"/>
  <c r="C1389" i="7"/>
  <c r="G1388" i="7"/>
  <c r="C1388" i="7"/>
  <c r="G1387" i="7"/>
  <c r="C1387" i="7"/>
  <c r="G1386" i="7"/>
  <c r="C1386" i="7"/>
  <c r="G1385" i="7"/>
  <c r="C1385" i="7"/>
  <c r="G1384" i="7"/>
  <c r="C1384" i="7"/>
  <c r="G1383" i="7"/>
  <c r="C1383" i="7"/>
  <c r="G1382" i="7"/>
  <c r="C1382" i="7"/>
  <c r="G1381" i="7"/>
  <c r="C1381" i="7"/>
  <c r="G1380" i="7"/>
  <c r="C1380" i="7"/>
  <c r="G1379" i="7"/>
  <c r="C1379" i="7"/>
  <c r="G1378" i="7"/>
  <c r="C1378" i="7"/>
  <c r="G1377" i="7"/>
  <c r="C1377" i="7"/>
  <c r="G1376" i="7"/>
  <c r="C1376" i="7"/>
  <c r="G1375" i="7"/>
  <c r="C1375" i="7"/>
  <c r="G1374" i="7"/>
  <c r="C1374" i="7"/>
  <c r="G1373" i="7"/>
  <c r="C1373" i="7"/>
  <c r="G1372" i="7"/>
  <c r="C1372" i="7"/>
  <c r="G1371" i="7"/>
  <c r="C1371" i="7"/>
  <c r="G1370" i="7"/>
  <c r="C1370" i="7"/>
  <c r="G1369" i="7"/>
  <c r="C1369" i="7"/>
  <c r="G1368" i="7"/>
  <c r="C1368" i="7"/>
  <c r="G1367" i="7"/>
  <c r="C1367" i="7"/>
  <c r="G1366" i="7"/>
  <c r="C1366" i="7"/>
  <c r="G1365" i="7"/>
  <c r="C1365" i="7"/>
  <c r="G1364" i="7"/>
  <c r="C1364" i="7"/>
  <c r="G1363" i="7"/>
  <c r="C1363" i="7"/>
  <c r="G1362" i="7"/>
  <c r="C1362" i="7"/>
  <c r="G1361" i="7"/>
  <c r="C1361" i="7"/>
  <c r="G1360" i="7"/>
  <c r="C1360" i="7"/>
  <c r="G1359" i="7"/>
  <c r="C1359" i="7"/>
  <c r="G1358" i="7"/>
  <c r="C1358" i="7"/>
  <c r="G1357" i="7"/>
  <c r="C1357" i="7"/>
  <c r="G1356" i="7"/>
  <c r="C1356" i="7"/>
  <c r="G1355" i="7"/>
  <c r="C1355" i="7"/>
  <c r="G1354" i="7"/>
  <c r="C1354" i="7"/>
  <c r="G1353" i="7"/>
  <c r="C1353" i="7"/>
  <c r="G1352" i="7"/>
  <c r="C1352" i="7"/>
  <c r="G1351" i="7"/>
  <c r="C1351" i="7"/>
  <c r="G1350" i="7"/>
  <c r="C1350" i="7"/>
  <c r="G1349" i="7"/>
  <c r="C1349" i="7"/>
  <c r="G1348" i="7"/>
  <c r="C1348" i="7"/>
  <c r="G1347" i="7"/>
  <c r="C1347" i="7"/>
  <c r="G1346" i="7"/>
  <c r="C1346" i="7"/>
  <c r="G1345" i="7"/>
  <c r="C1345" i="7"/>
  <c r="G1344" i="7"/>
  <c r="C1344" i="7"/>
  <c r="G1343" i="7"/>
  <c r="C1343" i="7"/>
  <c r="G1342" i="7"/>
  <c r="C1342" i="7"/>
  <c r="G1341" i="7"/>
  <c r="C1341" i="7"/>
  <c r="G1340" i="7"/>
  <c r="C1340" i="7"/>
  <c r="G1339" i="7"/>
  <c r="C1339" i="7"/>
  <c r="G1338" i="7"/>
  <c r="C1338" i="7"/>
  <c r="G1337" i="7"/>
  <c r="C1337" i="7"/>
  <c r="G1336" i="7"/>
  <c r="C1336" i="7"/>
  <c r="G1335" i="7"/>
  <c r="C1335" i="7"/>
  <c r="G1334" i="7"/>
  <c r="C1334" i="7"/>
  <c r="G1333" i="7"/>
  <c r="C1333" i="7"/>
  <c r="G1332" i="7"/>
  <c r="C1332" i="7"/>
  <c r="G1331" i="7"/>
  <c r="C1331" i="7"/>
  <c r="G1330" i="7"/>
  <c r="C1330" i="7"/>
  <c r="G1329" i="7"/>
  <c r="C1329" i="7"/>
  <c r="G1328" i="7"/>
  <c r="C1328" i="7"/>
  <c r="G1327" i="7"/>
  <c r="C1327" i="7"/>
  <c r="G1326" i="7"/>
  <c r="C1326" i="7"/>
  <c r="G1325" i="7"/>
  <c r="C1325" i="7"/>
  <c r="G1324" i="7"/>
  <c r="C1324" i="7"/>
  <c r="G1323" i="7"/>
  <c r="C1323" i="7"/>
  <c r="G1322" i="7"/>
  <c r="C1322" i="7"/>
  <c r="G1321" i="7"/>
  <c r="C1321" i="7"/>
  <c r="G1320" i="7"/>
  <c r="C1320" i="7"/>
  <c r="G1319" i="7"/>
  <c r="C1319" i="7"/>
  <c r="G1318" i="7"/>
  <c r="C1318" i="7"/>
  <c r="G1317" i="7"/>
  <c r="C1317" i="7"/>
  <c r="G1316" i="7"/>
  <c r="C1316" i="7"/>
  <c r="G1315" i="7"/>
  <c r="C1315" i="7"/>
  <c r="G1314" i="7"/>
  <c r="C1314" i="7"/>
  <c r="G1313" i="7"/>
  <c r="C1313" i="7"/>
  <c r="G1312" i="7"/>
  <c r="C1312" i="7"/>
  <c r="G1311" i="7"/>
  <c r="C1311" i="7"/>
  <c r="G1310" i="7"/>
  <c r="C1310" i="7"/>
  <c r="G1309" i="7"/>
  <c r="C1309" i="7"/>
  <c r="G1308" i="7"/>
  <c r="C1308" i="7"/>
  <c r="G1307" i="7"/>
  <c r="C1307" i="7"/>
  <c r="G1306" i="7"/>
  <c r="C1306" i="7"/>
  <c r="G1305" i="7"/>
  <c r="C1305" i="7"/>
  <c r="G1304" i="7"/>
  <c r="C1304" i="7"/>
  <c r="G1303" i="7"/>
  <c r="C1303" i="7"/>
  <c r="G1302" i="7"/>
  <c r="C1302" i="7"/>
  <c r="G1301" i="7"/>
  <c r="C1301" i="7"/>
  <c r="G1300" i="7"/>
  <c r="C1300" i="7"/>
  <c r="G1299" i="7"/>
  <c r="C1299" i="7"/>
  <c r="G1298" i="7"/>
  <c r="C1298" i="7"/>
  <c r="G1297" i="7"/>
  <c r="C1297" i="7"/>
  <c r="G1296" i="7"/>
  <c r="C1296" i="7"/>
  <c r="G1295" i="7"/>
  <c r="C1295" i="7"/>
  <c r="G1294" i="7"/>
  <c r="C1294" i="7"/>
  <c r="G1293" i="7"/>
  <c r="C1293" i="7"/>
  <c r="G1292" i="7"/>
  <c r="C1292" i="7"/>
  <c r="G1291" i="7"/>
  <c r="C1291" i="7"/>
  <c r="G1290" i="7"/>
  <c r="C1290" i="7"/>
  <c r="G1289" i="7"/>
  <c r="C1289" i="7"/>
  <c r="G1288" i="7"/>
  <c r="C1288" i="7"/>
  <c r="G1287" i="7"/>
  <c r="C1287" i="7"/>
  <c r="G1286" i="7"/>
  <c r="C1286" i="7"/>
  <c r="G1285" i="7"/>
  <c r="C1285" i="7"/>
  <c r="G1284" i="7"/>
  <c r="C1284" i="7"/>
  <c r="G1283" i="7"/>
  <c r="C1283" i="7"/>
  <c r="G1282" i="7"/>
  <c r="C1282" i="7"/>
  <c r="G1281" i="7"/>
  <c r="C1281" i="7"/>
  <c r="G1280" i="7"/>
  <c r="C1280" i="7"/>
  <c r="G1279" i="7"/>
  <c r="C1279" i="7"/>
  <c r="G1278" i="7"/>
  <c r="C1278" i="7"/>
  <c r="G1277" i="7"/>
  <c r="C1277" i="7"/>
  <c r="G1276" i="7"/>
  <c r="C1276" i="7"/>
  <c r="G1275" i="7"/>
  <c r="C1275" i="7"/>
  <c r="G1274" i="7"/>
  <c r="C1274" i="7"/>
  <c r="G1273" i="7"/>
  <c r="C1273" i="7"/>
  <c r="G1272" i="7"/>
  <c r="C1272" i="7"/>
  <c r="G1271" i="7"/>
  <c r="C1271" i="7"/>
  <c r="G1270" i="7"/>
  <c r="C1270" i="7"/>
  <c r="G1269" i="7"/>
  <c r="C1269" i="7"/>
  <c r="G1268" i="7"/>
  <c r="C1268" i="7"/>
  <c r="G1267" i="7"/>
  <c r="C1267" i="7"/>
  <c r="G1266" i="7"/>
  <c r="C1266" i="7"/>
  <c r="G1265" i="7"/>
  <c r="C1265" i="7"/>
  <c r="G1264" i="7"/>
  <c r="C1264" i="7"/>
  <c r="G1263" i="7"/>
  <c r="C1263" i="7"/>
  <c r="G1262" i="7"/>
  <c r="C1262" i="7"/>
  <c r="G1261" i="7"/>
  <c r="C1261" i="7"/>
  <c r="G1260" i="7"/>
  <c r="C1260" i="7"/>
  <c r="G1259" i="7"/>
  <c r="C1259" i="7"/>
  <c r="G1258" i="7"/>
  <c r="C1258" i="7"/>
  <c r="G1257" i="7"/>
  <c r="C1257" i="7"/>
  <c r="G1256" i="7"/>
  <c r="C1256" i="7"/>
  <c r="G1255" i="7"/>
  <c r="C1255" i="7"/>
  <c r="G1254" i="7"/>
  <c r="C1254" i="7"/>
  <c r="G1253" i="7"/>
  <c r="C1253" i="7"/>
  <c r="G1252" i="7"/>
  <c r="C1252" i="7"/>
  <c r="G1251" i="7"/>
  <c r="C1251" i="7"/>
  <c r="G1250" i="7"/>
  <c r="C1250" i="7"/>
  <c r="G1249" i="7"/>
  <c r="C1249" i="7"/>
  <c r="G1248" i="7"/>
  <c r="C1248" i="7"/>
  <c r="G1247" i="7"/>
  <c r="C1247" i="7"/>
  <c r="G1246" i="7"/>
  <c r="C1246" i="7"/>
  <c r="G1245" i="7"/>
  <c r="C1245" i="7"/>
  <c r="G1244" i="7"/>
  <c r="C1244" i="7"/>
  <c r="G1243" i="7"/>
  <c r="C1243" i="7"/>
  <c r="G1242" i="7"/>
  <c r="C1242" i="7"/>
  <c r="G1241" i="7"/>
  <c r="C1241" i="7"/>
  <c r="G1240" i="7"/>
  <c r="C1240" i="7"/>
  <c r="G1239" i="7"/>
  <c r="C1239" i="7"/>
  <c r="G1238" i="7"/>
  <c r="C1238" i="7"/>
  <c r="G1237" i="7"/>
  <c r="C1237" i="7"/>
  <c r="G1236" i="7"/>
  <c r="C1236" i="7"/>
  <c r="G1235" i="7"/>
  <c r="C1235" i="7"/>
  <c r="G1234" i="7"/>
  <c r="C1234" i="7"/>
  <c r="G1233" i="7"/>
  <c r="C1233" i="7"/>
  <c r="G1232" i="7"/>
  <c r="C1232" i="7"/>
  <c r="G1231" i="7"/>
  <c r="C1231" i="7"/>
  <c r="G1230" i="7"/>
  <c r="C1230" i="7"/>
  <c r="G1229" i="7"/>
  <c r="C1229" i="7"/>
  <c r="G1228" i="7"/>
  <c r="C1228" i="7"/>
  <c r="G1227" i="7"/>
  <c r="C1227" i="7"/>
  <c r="G1226" i="7"/>
  <c r="C1226" i="7"/>
  <c r="G1225" i="7"/>
  <c r="C1225" i="7"/>
  <c r="G1224" i="7"/>
  <c r="C1224" i="7"/>
  <c r="G1223" i="7"/>
  <c r="C1223" i="7"/>
  <c r="G1222" i="7"/>
  <c r="C1222" i="7"/>
  <c r="G1221" i="7"/>
  <c r="C1221" i="7"/>
  <c r="G1220" i="7"/>
  <c r="C1220" i="7"/>
  <c r="G1219" i="7"/>
  <c r="C1219" i="7"/>
  <c r="G1218" i="7"/>
  <c r="C1218" i="7"/>
  <c r="G1217" i="7"/>
  <c r="C1217" i="7"/>
  <c r="G1216" i="7"/>
  <c r="C1216" i="7"/>
  <c r="G1215" i="7"/>
  <c r="C1215" i="7"/>
  <c r="G1214" i="7"/>
  <c r="C1214" i="7"/>
  <c r="G1213" i="7"/>
  <c r="C1213" i="7"/>
  <c r="G1212" i="7"/>
  <c r="C1212" i="7"/>
  <c r="G1211" i="7"/>
  <c r="C1211" i="7"/>
  <c r="G1210" i="7"/>
  <c r="C1210" i="7"/>
  <c r="G1209" i="7"/>
  <c r="C1209" i="7"/>
  <c r="G1208" i="7"/>
  <c r="C1208" i="7"/>
  <c r="G1207" i="7"/>
  <c r="C1207" i="7"/>
  <c r="G1206" i="7"/>
  <c r="C1206" i="7"/>
  <c r="G1205" i="7"/>
  <c r="C1205" i="7"/>
  <c r="G1204" i="7"/>
  <c r="C1204" i="7"/>
  <c r="G1203" i="7"/>
  <c r="C1203" i="7"/>
  <c r="G1202" i="7"/>
  <c r="C1202" i="7"/>
  <c r="G1201" i="7"/>
  <c r="C1201" i="7"/>
  <c r="G1200" i="7"/>
  <c r="C1200" i="7"/>
  <c r="G1199" i="7"/>
  <c r="C1199" i="7"/>
  <c r="G1198" i="7"/>
  <c r="C1198" i="7"/>
  <c r="G1197" i="7"/>
  <c r="C1197" i="7"/>
  <c r="G1196" i="7"/>
  <c r="C1196" i="7"/>
  <c r="G1195" i="7"/>
  <c r="C1195" i="7"/>
  <c r="G1194" i="7"/>
  <c r="C1194" i="7"/>
  <c r="G1193" i="7"/>
  <c r="C1193" i="7"/>
  <c r="G1192" i="7"/>
  <c r="C1192" i="7"/>
  <c r="G1191" i="7"/>
  <c r="C1191" i="7"/>
  <c r="G1190" i="7"/>
  <c r="C1190" i="7"/>
  <c r="G1189" i="7"/>
  <c r="C1189" i="7"/>
  <c r="G1188" i="7"/>
  <c r="C1188" i="7"/>
  <c r="G1187" i="7"/>
  <c r="C1187" i="7"/>
  <c r="G1186" i="7"/>
  <c r="C1186" i="7"/>
  <c r="G1185" i="7"/>
  <c r="C1185" i="7"/>
  <c r="G1184" i="7"/>
  <c r="C1184" i="7"/>
  <c r="G1183" i="7"/>
  <c r="C1183" i="7"/>
  <c r="G1182" i="7"/>
  <c r="C1182" i="7"/>
  <c r="G1181" i="7"/>
  <c r="C1181" i="7"/>
  <c r="G1180" i="7"/>
  <c r="C1180" i="7"/>
  <c r="G1179" i="7"/>
  <c r="C1179" i="7"/>
  <c r="G1178" i="7"/>
  <c r="C1178" i="7"/>
  <c r="G1177" i="7"/>
  <c r="C1177" i="7"/>
  <c r="G1176" i="7"/>
  <c r="C1176" i="7"/>
  <c r="G1175" i="7"/>
  <c r="C1175" i="7"/>
  <c r="G1174" i="7"/>
  <c r="C1174" i="7"/>
  <c r="G1173" i="7"/>
  <c r="C1173" i="7"/>
  <c r="G1172" i="7"/>
  <c r="C1172" i="7"/>
  <c r="G1171" i="7"/>
  <c r="C1171" i="7"/>
  <c r="G1170" i="7"/>
  <c r="C1170" i="7"/>
  <c r="G1169" i="7"/>
  <c r="C1169" i="7"/>
  <c r="G1168" i="7"/>
  <c r="C1168" i="7"/>
  <c r="G1167" i="7"/>
  <c r="C1167" i="7"/>
  <c r="G1166" i="7"/>
  <c r="C1166" i="7"/>
  <c r="G1165" i="7"/>
  <c r="C1165" i="7"/>
  <c r="G1164" i="7"/>
  <c r="C1164" i="7"/>
  <c r="G1163" i="7"/>
  <c r="C1163" i="7"/>
  <c r="G1162" i="7"/>
  <c r="C1162" i="7"/>
  <c r="G1161" i="7"/>
  <c r="C1161" i="7"/>
  <c r="G1160" i="7"/>
  <c r="C1160" i="7"/>
  <c r="G1159" i="7"/>
  <c r="C1159" i="7"/>
  <c r="G1158" i="7"/>
  <c r="C1158" i="7"/>
  <c r="G1157" i="7"/>
  <c r="C1157" i="7"/>
  <c r="G1156" i="7"/>
  <c r="C1156" i="7"/>
  <c r="G1155" i="7"/>
  <c r="C1155" i="7"/>
  <c r="G1154" i="7"/>
  <c r="C1154" i="7"/>
  <c r="G1153" i="7"/>
  <c r="C1153" i="7"/>
  <c r="G1152" i="7"/>
  <c r="C1152" i="7"/>
  <c r="G1151" i="7"/>
  <c r="C1151" i="7"/>
  <c r="G1150" i="7"/>
  <c r="C1150" i="7"/>
  <c r="G1149" i="7"/>
  <c r="C1149" i="7"/>
  <c r="G1148" i="7"/>
  <c r="C1148" i="7"/>
  <c r="G1147" i="7"/>
  <c r="C1147" i="7"/>
  <c r="G1146" i="7"/>
  <c r="C1146" i="7"/>
  <c r="G1145" i="7"/>
  <c r="C1145" i="7"/>
  <c r="G1144" i="7"/>
  <c r="C1144" i="7"/>
  <c r="G1143" i="7"/>
  <c r="C1143" i="7"/>
  <c r="G1142" i="7"/>
  <c r="C1142" i="7"/>
  <c r="G1141" i="7"/>
  <c r="C1141" i="7"/>
  <c r="G1140" i="7"/>
  <c r="C1140" i="7"/>
  <c r="G1139" i="7"/>
  <c r="C1139" i="7"/>
  <c r="G1138" i="7"/>
  <c r="C1138" i="7"/>
  <c r="G1137" i="7"/>
  <c r="C1137" i="7"/>
  <c r="G1136" i="7"/>
  <c r="C1136" i="7"/>
  <c r="G1135" i="7"/>
  <c r="C1135" i="7"/>
  <c r="G1134" i="7"/>
  <c r="C1134" i="7"/>
  <c r="G1133" i="7"/>
  <c r="C1133" i="7"/>
  <c r="G1132" i="7"/>
  <c r="C1132" i="7"/>
  <c r="G1131" i="7"/>
  <c r="C1131" i="7"/>
  <c r="G1130" i="7"/>
  <c r="C1130" i="7"/>
  <c r="G1129" i="7"/>
  <c r="C1129" i="7"/>
  <c r="G1128" i="7"/>
  <c r="C1128" i="7"/>
  <c r="G1127" i="7"/>
  <c r="C1127" i="7"/>
  <c r="G1126" i="7"/>
  <c r="C1126" i="7"/>
  <c r="G1125" i="7"/>
  <c r="C1125" i="7"/>
  <c r="G1124" i="7"/>
  <c r="C1124" i="7"/>
  <c r="G1123" i="7"/>
  <c r="C1123" i="7"/>
  <c r="G1122" i="7"/>
  <c r="C1122" i="7"/>
  <c r="G1121" i="7"/>
  <c r="C1121" i="7"/>
  <c r="G1120" i="7"/>
  <c r="C1120" i="7"/>
  <c r="G1119" i="7"/>
  <c r="C1119" i="7"/>
  <c r="G1118" i="7"/>
  <c r="C1118" i="7"/>
  <c r="G1117" i="7"/>
  <c r="C1117" i="7"/>
  <c r="G1116" i="7"/>
  <c r="C1116" i="7"/>
  <c r="G1115" i="7"/>
  <c r="C1115" i="7"/>
  <c r="G1114" i="7"/>
  <c r="C1114" i="7"/>
  <c r="G1113" i="7"/>
  <c r="C1113" i="7"/>
  <c r="G1112" i="7"/>
  <c r="C1112" i="7"/>
  <c r="G1111" i="7"/>
  <c r="C1111" i="7"/>
  <c r="G1110" i="7"/>
  <c r="C1110" i="7"/>
  <c r="G1109" i="7"/>
  <c r="C1109" i="7"/>
  <c r="G1108" i="7"/>
  <c r="C1108" i="7"/>
  <c r="G1107" i="7"/>
  <c r="C1107" i="7"/>
  <c r="G1106" i="7"/>
  <c r="C1106" i="7"/>
  <c r="G1105" i="7"/>
  <c r="C1105" i="7"/>
  <c r="G1104" i="7"/>
  <c r="C1104" i="7"/>
  <c r="G1103" i="7"/>
  <c r="C1103" i="7"/>
  <c r="G1102" i="7"/>
  <c r="C1102" i="7"/>
  <c r="G1101" i="7"/>
  <c r="C1101" i="7"/>
  <c r="G1100" i="7"/>
  <c r="C1100" i="7"/>
  <c r="G1099" i="7"/>
  <c r="C1099" i="7"/>
  <c r="G1098" i="7"/>
  <c r="C1098" i="7"/>
  <c r="G1097" i="7"/>
  <c r="C1097" i="7"/>
  <c r="G1096" i="7"/>
  <c r="C1096" i="7"/>
  <c r="G1095" i="7"/>
  <c r="C1095" i="7"/>
  <c r="G1094" i="7"/>
  <c r="C1094" i="7"/>
  <c r="G1093" i="7"/>
  <c r="C1093" i="7"/>
  <c r="G1092" i="7"/>
  <c r="C1092" i="7"/>
  <c r="G1091" i="7"/>
  <c r="C1091" i="7"/>
  <c r="G1090" i="7"/>
  <c r="C1090" i="7"/>
  <c r="G1089" i="7"/>
  <c r="C1089" i="7"/>
  <c r="G1088" i="7"/>
  <c r="C1088" i="7"/>
  <c r="G1087" i="7"/>
  <c r="C1087" i="7"/>
  <c r="G1086" i="7"/>
  <c r="C1086" i="7"/>
  <c r="G1085" i="7"/>
  <c r="C1085" i="7"/>
  <c r="G1084" i="7"/>
  <c r="C1084" i="7"/>
  <c r="G1083" i="7"/>
  <c r="C1083" i="7"/>
  <c r="G1082" i="7"/>
  <c r="C1082" i="7"/>
  <c r="G1081" i="7"/>
  <c r="C1081" i="7"/>
  <c r="G1080" i="7"/>
  <c r="C1080" i="7"/>
  <c r="G1079" i="7"/>
  <c r="C1079" i="7"/>
  <c r="G1078" i="7"/>
  <c r="C1078" i="7"/>
  <c r="G1077" i="7"/>
  <c r="C1077" i="7"/>
  <c r="G1076" i="7"/>
  <c r="C1076" i="7"/>
  <c r="G1075" i="7"/>
  <c r="C1075" i="7"/>
  <c r="G1074" i="7"/>
  <c r="C1074" i="7"/>
  <c r="G1073" i="7"/>
  <c r="C1073" i="7"/>
  <c r="G1072" i="7"/>
  <c r="C1072" i="7"/>
  <c r="G1071" i="7"/>
  <c r="C1071" i="7"/>
  <c r="G1070" i="7"/>
  <c r="C1070" i="7"/>
  <c r="G1069" i="7"/>
  <c r="C1069" i="7"/>
  <c r="G1068" i="7"/>
  <c r="C1068" i="7"/>
  <c r="G1067" i="7"/>
  <c r="C1067" i="7"/>
  <c r="G1066" i="7"/>
  <c r="C1066" i="7"/>
  <c r="G1065" i="7"/>
  <c r="C1065" i="7"/>
  <c r="G1064" i="7"/>
  <c r="C1064" i="7"/>
  <c r="G1063" i="7"/>
  <c r="C1063" i="7"/>
  <c r="G1062" i="7"/>
  <c r="C1062" i="7"/>
  <c r="G1061" i="7"/>
  <c r="C1061" i="7"/>
  <c r="G1060" i="7"/>
  <c r="C1060" i="7"/>
  <c r="G1059" i="7"/>
  <c r="C1059" i="7"/>
  <c r="G1058" i="7"/>
  <c r="C1058" i="7"/>
  <c r="G1057" i="7"/>
  <c r="C1057" i="7"/>
  <c r="G1056" i="7"/>
  <c r="C1056" i="7"/>
  <c r="G1055" i="7"/>
  <c r="C1055" i="7"/>
  <c r="G1054" i="7"/>
  <c r="C1054" i="7"/>
  <c r="G1053" i="7"/>
  <c r="C1053" i="7"/>
  <c r="G1052" i="7"/>
  <c r="C1052" i="7"/>
  <c r="G1051" i="7"/>
  <c r="C1051" i="7"/>
  <c r="G1050" i="7"/>
  <c r="C1050" i="7"/>
  <c r="G1049" i="7"/>
  <c r="C1049" i="7"/>
  <c r="G1048" i="7"/>
  <c r="C1048" i="7"/>
  <c r="G1047" i="7"/>
  <c r="C1047" i="7"/>
  <c r="G1046" i="7"/>
  <c r="C1046" i="7"/>
  <c r="G1045" i="7"/>
  <c r="C1045" i="7"/>
  <c r="G1044" i="7"/>
  <c r="C1044" i="7"/>
  <c r="G1043" i="7"/>
  <c r="C1043" i="7"/>
  <c r="G1042" i="7"/>
  <c r="C1042" i="7"/>
  <c r="G1041" i="7"/>
  <c r="C1041" i="7"/>
  <c r="G1040" i="7"/>
  <c r="C1040" i="7"/>
  <c r="G1039" i="7"/>
  <c r="C1039" i="7"/>
  <c r="G1038" i="7"/>
  <c r="C1038" i="7"/>
  <c r="G1037" i="7"/>
  <c r="C1037" i="7"/>
  <c r="G1036" i="7"/>
  <c r="C1036" i="7"/>
  <c r="G1035" i="7"/>
  <c r="C1035" i="7"/>
  <c r="G1034" i="7"/>
  <c r="C1034" i="7"/>
  <c r="G1033" i="7"/>
  <c r="C1033" i="7"/>
  <c r="G1032" i="7"/>
  <c r="C1032" i="7"/>
  <c r="G1031" i="7"/>
  <c r="C1031" i="7"/>
  <c r="G1030" i="7"/>
  <c r="C1030" i="7"/>
  <c r="G1029" i="7"/>
  <c r="C1029" i="7"/>
  <c r="G1028" i="7"/>
  <c r="C1028" i="7"/>
  <c r="G1027" i="7"/>
  <c r="C1027" i="7"/>
  <c r="G1026" i="7"/>
  <c r="C1026" i="7"/>
  <c r="G1025" i="7"/>
  <c r="C1025" i="7"/>
  <c r="G1024" i="7"/>
  <c r="C1024" i="7"/>
  <c r="G1023" i="7"/>
  <c r="C1023" i="7"/>
  <c r="G1022" i="7"/>
  <c r="C1022" i="7"/>
  <c r="G1021" i="7"/>
  <c r="C1021" i="7"/>
  <c r="G1020" i="7"/>
  <c r="C1020" i="7"/>
  <c r="G1019" i="7"/>
  <c r="C1019" i="7"/>
  <c r="G1018" i="7"/>
  <c r="C1018" i="7"/>
  <c r="G1017" i="7"/>
  <c r="C1017" i="7"/>
  <c r="G1016" i="7"/>
  <c r="C1016" i="7"/>
  <c r="G1015" i="7"/>
  <c r="C1015" i="7"/>
  <c r="G1014" i="7"/>
  <c r="C1014" i="7"/>
  <c r="G1013" i="7"/>
  <c r="C1013" i="7"/>
  <c r="G1012" i="7"/>
  <c r="C1012" i="7"/>
  <c r="G1011" i="7"/>
  <c r="C1011" i="7"/>
  <c r="G1010" i="7"/>
  <c r="C1010" i="7"/>
  <c r="G1009" i="7"/>
  <c r="C1009" i="7"/>
  <c r="G1008" i="7"/>
  <c r="C1008" i="7"/>
  <c r="G1007" i="7"/>
  <c r="C1007" i="7"/>
  <c r="G1006" i="7"/>
  <c r="C1006" i="7"/>
  <c r="G1005" i="7"/>
  <c r="C1005" i="7"/>
  <c r="G1004" i="7"/>
  <c r="C1004" i="7"/>
  <c r="G1003" i="7"/>
  <c r="C1003" i="7"/>
  <c r="G1002" i="7"/>
  <c r="C1002" i="7"/>
  <c r="G1001" i="7"/>
  <c r="C1001" i="7"/>
  <c r="G1000" i="7"/>
  <c r="C1000" i="7"/>
  <c r="G999" i="7"/>
  <c r="C999" i="7"/>
  <c r="G998" i="7"/>
  <c r="C998" i="7"/>
  <c r="G997" i="7"/>
  <c r="C997" i="7"/>
  <c r="G996" i="7"/>
  <c r="C996" i="7"/>
  <c r="G995" i="7"/>
  <c r="C995" i="7"/>
  <c r="G994" i="7"/>
  <c r="C994" i="7"/>
  <c r="G993" i="7"/>
  <c r="C993" i="7"/>
  <c r="G992" i="7"/>
  <c r="C992" i="7"/>
  <c r="G991" i="7"/>
  <c r="C991" i="7"/>
  <c r="G990" i="7"/>
  <c r="C990" i="7"/>
  <c r="G989" i="7"/>
  <c r="C989" i="7"/>
  <c r="G988" i="7"/>
  <c r="C988" i="7"/>
  <c r="G987" i="7"/>
  <c r="C987" i="7"/>
  <c r="G986" i="7"/>
  <c r="C986" i="7"/>
  <c r="G985" i="7"/>
  <c r="C985" i="7"/>
  <c r="G984" i="7"/>
  <c r="C984" i="7"/>
  <c r="G983" i="7"/>
  <c r="C983" i="7"/>
  <c r="G982" i="7"/>
  <c r="C982" i="7"/>
  <c r="G981" i="7"/>
  <c r="C981" i="7"/>
  <c r="G980" i="7"/>
  <c r="C980" i="7"/>
  <c r="G979" i="7"/>
  <c r="C979" i="7"/>
  <c r="G978" i="7"/>
  <c r="C978" i="7"/>
  <c r="G977" i="7"/>
  <c r="C977" i="7"/>
  <c r="G976" i="7"/>
  <c r="C976" i="7"/>
  <c r="G975" i="7"/>
  <c r="C975" i="7"/>
  <c r="G974" i="7"/>
  <c r="C974" i="7"/>
  <c r="G973" i="7"/>
  <c r="C973" i="7"/>
  <c r="G972" i="7"/>
  <c r="C972" i="7"/>
  <c r="G971" i="7"/>
  <c r="C971" i="7"/>
  <c r="G970" i="7"/>
  <c r="C970" i="7"/>
  <c r="G969" i="7"/>
  <c r="C969" i="7"/>
  <c r="G968" i="7"/>
  <c r="C968" i="7"/>
  <c r="G967" i="7"/>
  <c r="C967" i="7"/>
  <c r="G966" i="7"/>
  <c r="C966" i="7"/>
  <c r="G965" i="7"/>
  <c r="C965" i="7"/>
  <c r="G964" i="7"/>
  <c r="C964" i="7"/>
  <c r="G963" i="7"/>
  <c r="C963" i="7"/>
  <c r="G962" i="7"/>
  <c r="C962" i="7"/>
  <c r="G961" i="7"/>
  <c r="C961" i="7"/>
  <c r="G960" i="7"/>
  <c r="C960" i="7"/>
  <c r="G959" i="7"/>
  <c r="C959" i="7"/>
  <c r="G958" i="7"/>
  <c r="C958" i="7"/>
  <c r="G957" i="7"/>
  <c r="C957" i="7"/>
  <c r="G956" i="7"/>
  <c r="C956" i="7"/>
  <c r="G955" i="7"/>
  <c r="C955" i="7"/>
  <c r="G954" i="7"/>
  <c r="C954" i="7"/>
  <c r="G953" i="7"/>
  <c r="C953" i="7"/>
  <c r="G952" i="7"/>
  <c r="C952" i="7"/>
  <c r="G951" i="7"/>
  <c r="C951" i="7"/>
  <c r="G950" i="7"/>
  <c r="C950" i="7"/>
  <c r="G949" i="7"/>
  <c r="C949" i="7"/>
  <c r="G948" i="7"/>
  <c r="C948" i="7"/>
  <c r="G947" i="7"/>
  <c r="C947" i="7"/>
  <c r="G946" i="7"/>
  <c r="C946" i="7"/>
  <c r="G945" i="7"/>
  <c r="C945" i="7"/>
  <c r="G944" i="7"/>
  <c r="C944" i="7"/>
  <c r="G943" i="7"/>
  <c r="C943" i="7"/>
  <c r="G942" i="7"/>
  <c r="C942" i="7"/>
  <c r="G941" i="7"/>
  <c r="C941" i="7"/>
  <c r="G940" i="7"/>
  <c r="C940" i="7"/>
  <c r="G939" i="7"/>
  <c r="C939" i="7"/>
  <c r="G938" i="7"/>
  <c r="C938" i="7"/>
  <c r="G937" i="7"/>
  <c r="C937" i="7"/>
  <c r="G936" i="7"/>
  <c r="C936" i="7"/>
  <c r="G935" i="7"/>
  <c r="C935" i="7"/>
  <c r="G934" i="7"/>
  <c r="C934" i="7"/>
  <c r="G933" i="7"/>
  <c r="C933" i="7"/>
  <c r="G932" i="7"/>
  <c r="C932" i="7"/>
  <c r="G931" i="7"/>
  <c r="C931" i="7"/>
  <c r="G930" i="7"/>
  <c r="C930" i="7"/>
  <c r="G929" i="7"/>
  <c r="C929" i="7"/>
  <c r="G928" i="7"/>
  <c r="C928" i="7"/>
  <c r="G927" i="7"/>
  <c r="C927" i="7"/>
  <c r="G926" i="7"/>
  <c r="C926" i="7"/>
  <c r="G925" i="7"/>
  <c r="C925" i="7"/>
  <c r="G924" i="7"/>
  <c r="C924" i="7"/>
  <c r="G923" i="7"/>
  <c r="C923" i="7"/>
  <c r="G922" i="7"/>
  <c r="C922" i="7"/>
  <c r="G921" i="7"/>
  <c r="C921" i="7"/>
  <c r="G920" i="7"/>
  <c r="C920" i="7"/>
  <c r="G919" i="7"/>
  <c r="C919" i="7"/>
  <c r="G918" i="7"/>
  <c r="C918" i="7"/>
  <c r="G917" i="7"/>
  <c r="C917" i="7"/>
  <c r="G916" i="7"/>
  <c r="C916" i="7"/>
  <c r="G915" i="7"/>
  <c r="C915" i="7"/>
  <c r="G914" i="7"/>
  <c r="C914" i="7"/>
  <c r="G913" i="7"/>
  <c r="C913" i="7"/>
  <c r="G912" i="7"/>
  <c r="C912" i="7"/>
  <c r="G911" i="7"/>
  <c r="C911" i="7"/>
  <c r="G910" i="7"/>
  <c r="C910" i="7"/>
  <c r="G909" i="7"/>
  <c r="C909" i="7"/>
  <c r="G908" i="7"/>
  <c r="C908" i="7"/>
  <c r="G907" i="7"/>
  <c r="C907" i="7"/>
  <c r="G906" i="7"/>
  <c r="C906" i="7"/>
  <c r="G905" i="7"/>
  <c r="C905" i="7"/>
  <c r="G904" i="7"/>
  <c r="C904" i="7"/>
  <c r="G903" i="7"/>
  <c r="C903" i="7"/>
  <c r="G902" i="7"/>
  <c r="C902" i="7"/>
  <c r="G901" i="7"/>
  <c r="C901" i="7"/>
  <c r="G900" i="7"/>
  <c r="C900" i="7"/>
  <c r="G899" i="7"/>
  <c r="C899" i="7"/>
  <c r="G898" i="7"/>
  <c r="C898" i="7"/>
  <c r="G897" i="7"/>
  <c r="C897" i="7"/>
  <c r="G896" i="7"/>
  <c r="C896" i="7"/>
  <c r="G895" i="7"/>
  <c r="C895" i="7"/>
  <c r="G894" i="7"/>
  <c r="C894" i="7"/>
  <c r="G893" i="7"/>
  <c r="C893" i="7"/>
  <c r="G892" i="7"/>
  <c r="C892" i="7"/>
  <c r="G891" i="7"/>
  <c r="C891" i="7"/>
  <c r="G890" i="7"/>
  <c r="C890" i="7"/>
  <c r="G889" i="7"/>
  <c r="C889" i="7"/>
  <c r="G888" i="7"/>
  <c r="C888" i="7"/>
  <c r="G887" i="7"/>
  <c r="C887" i="7"/>
  <c r="G886" i="7"/>
  <c r="C886" i="7"/>
  <c r="G885" i="7"/>
  <c r="C885" i="7"/>
  <c r="G884" i="7"/>
  <c r="C884" i="7"/>
  <c r="G883" i="7"/>
  <c r="C883" i="7"/>
  <c r="G882" i="7"/>
  <c r="C882" i="7"/>
  <c r="G881" i="7"/>
  <c r="C881" i="7"/>
  <c r="G880" i="7"/>
  <c r="C880" i="7"/>
  <c r="G879" i="7"/>
  <c r="C879" i="7"/>
  <c r="G878" i="7"/>
  <c r="C878" i="7"/>
  <c r="G877" i="7"/>
  <c r="C877" i="7"/>
  <c r="G876" i="7"/>
  <c r="C876" i="7"/>
  <c r="G875" i="7"/>
  <c r="C875" i="7"/>
  <c r="G874" i="7"/>
  <c r="C874" i="7"/>
  <c r="G873" i="7"/>
  <c r="C873" i="7"/>
  <c r="G872" i="7"/>
  <c r="C872" i="7"/>
  <c r="G871" i="7"/>
  <c r="C871" i="7"/>
  <c r="G870" i="7"/>
  <c r="C870" i="7"/>
  <c r="G869" i="7"/>
  <c r="C869" i="7"/>
  <c r="G868" i="7"/>
  <c r="C868" i="7"/>
  <c r="G867" i="7"/>
  <c r="C867" i="7"/>
  <c r="G866" i="7"/>
  <c r="C866" i="7"/>
  <c r="G865" i="7"/>
  <c r="C865" i="7"/>
  <c r="G864" i="7"/>
  <c r="C864" i="7"/>
  <c r="G863" i="7"/>
  <c r="C863" i="7"/>
  <c r="G862" i="7"/>
  <c r="C862" i="7"/>
  <c r="G861" i="7"/>
  <c r="C861" i="7"/>
  <c r="G860" i="7"/>
  <c r="C860" i="7"/>
  <c r="G859" i="7"/>
  <c r="C859" i="7"/>
  <c r="G858" i="7"/>
  <c r="C858" i="7"/>
  <c r="G857" i="7"/>
  <c r="C857" i="7"/>
  <c r="G856" i="7"/>
  <c r="C856" i="7"/>
  <c r="G855" i="7"/>
  <c r="C855" i="7"/>
  <c r="G854" i="7"/>
  <c r="C854" i="7"/>
  <c r="G853" i="7"/>
  <c r="C853" i="7"/>
  <c r="G852" i="7"/>
  <c r="C852" i="7"/>
  <c r="G851" i="7"/>
  <c r="C851" i="7"/>
  <c r="G850" i="7"/>
  <c r="C850" i="7"/>
  <c r="G849" i="7"/>
  <c r="C849" i="7"/>
  <c r="G848" i="7"/>
  <c r="C848" i="7"/>
  <c r="G847" i="7"/>
  <c r="C847" i="7"/>
  <c r="G846" i="7"/>
  <c r="C846" i="7"/>
  <c r="G845" i="7"/>
  <c r="C845" i="7"/>
  <c r="G844" i="7"/>
  <c r="C844" i="7"/>
  <c r="G843" i="7"/>
  <c r="C843" i="7"/>
  <c r="G842" i="7"/>
  <c r="C842" i="7"/>
  <c r="G841" i="7"/>
  <c r="C841" i="7"/>
  <c r="G840" i="7"/>
  <c r="C840" i="7"/>
  <c r="G839" i="7"/>
  <c r="C839" i="7"/>
  <c r="G838" i="7"/>
  <c r="C838" i="7"/>
  <c r="G837" i="7"/>
  <c r="C837" i="7"/>
  <c r="G836" i="7"/>
  <c r="C836" i="7"/>
  <c r="G835" i="7"/>
  <c r="C835" i="7"/>
  <c r="G834" i="7"/>
  <c r="C834" i="7"/>
  <c r="G833" i="7"/>
  <c r="C833" i="7"/>
  <c r="G832" i="7"/>
  <c r="C832" i="7"/>
  <c r="G831" i="7"/>
  <c r="C831" i="7"/>
  <c r="G830" i="7"/>
  <c r="C830" i="7"/>
  <c r="G829" i="7"/>
  <c r="C829" i="7"/>
  <c r="G828" i="7"/>
  <c r="C828" i="7"/>
  <c r="G827" i="7"/>
  <c r="C827" i="7"/>
  <c r="G826" i="7"/>
  <c r="C826" i="7"/>
  <c r="G825" i="7"/>
  <c r="C825" i="7"/>
  <c r="G824" i="7"/>
  <c r="C824" i="7"/>
  <c r="G823" i="7"/>
  <c r="C823" i="7"/>
  <c r="G822" i="7"/>
  <c r="C822" i="7"/>
  <c r="G821" i="7"/>
  <c r="C821" i="7"/>
  <c r="G820" i="7"/>
  <c r="C820" i="7"/>
  <c r="G819" i="7"/>
  <c r="C819" i="7"/>
  <c r="G818" i="7"/>
  <c r="C818" i="7"/>
  <c r="G817" i="7"/>
  <c r="C817" i="7"/>
  <c r="G816" i="7"/>
  <c r="C816" i="7"/>
  <c r="G815" i="7"/>
  <c r="C815" i="7"/>
  <c r="G814" i="7"/>
  <c r="C814" i="7"/>
  <c r="G813" i="7"/>
  <c r="C813" i="7"/>
  <c r="G812" i="7"/>
  <c r="C812" i="7"/>
  <c r="G811" i="7"/>
  <c r="C811" i="7"/>
  <c r="G810" i="7"/>
  <c r="C810" i="7"/>
  <c r="G809" i="7"/>
  <c r="C809" i="7"/>
  <c r="G808" i="7"/>
  <c r="C808" i="7"/>
  <c r="G807" i="7"/>
  <c r="C807" i="7"/>
  <c r="G806" i="7"/>
  <c r="C806" i="7"/>
  <c r="G805" i="7"/>
  <c r="C805" i="7"/>
  <c r="G804" i="7"/>
  <c r="C804" i="7"/>
  <c r="G803" i="7"/>
  <c r="C803" i="7"/>
  <c r="G802" i="7"/>
  <c r="C802" i="7"/>
  <c r="G801" i="7"/>
  <c r="C801" i="7"/>
  <c r="G800" i="7"/>
  <c r="C800" i="7"/>
  <c r="G799" i="7"/>
  <c r="C799" i="7"/>
  <c r="G798" i="7"/>
  <c r="C798" i="7"/>
  <c r="G797" i="7"/>
  <c r="C797" i="7"/>
  <c r="G796" i="7"/>
  <c r="C796" i="7"/>
  <c r="G795" i="7"/>
  <c r="C795" i="7"/>
  <c r="G794" i="7"/>
  <c r="C794" i="7"/>
  <c r="G793" i="7"/>
  <c r="C793" i="7"/>
  <c r="G792" i="7"/>
  <c r="C792" i="7"/>
  <c r="G791" i="7"/>
  <c r="C791" i="7"/>
  <c r="G790" i="7"/>
  <c r="C790" i="7"/>
  <c r="G789" i="7"/>
  <c r="C789" i="7"/>
  <c r="G788" i="7"/>
  <c r="C788" i="7"/>
  <c r="G787" i="7"/>
  <c r="C787" i="7"/>
  <c r="G786" i="7"/>
  <c r="C786" i="7"/>
  <c r="G785" i="7"/>
  <c r="C785" i="7"/>
  <c r="G784" i="7"/>
  <c r="C784" i="7"/>
  <c r="G783" i="7"/>
  <c r="C783" i="7"/>
  <c r="G782" i="7"/>
  <c r="C782" i="7"/>
  <c r="G781" i="7"/>
  <c r="C781" i="7"/>
  <c r="G780" i="7"/>
  <c r="C780" i="7"/>
  <c r="G779" i="7"/>
  <c r="C779" i="7"/>
  <c r="G778" i="7"/>
  <c r="C778" i="7"/>
  <c r="G777" i="7"/>
  <c r="C777" i="7"/>
  <c r="G776" i="7"/>
  <c r="C776" i="7"/>
  <c r="G775" i="7"/>
  <c r="C775" i="7"/>
  <c r="G774" i="7"/>
  <c r="C774" i="7"/>
  <c r="G773" i="7"/>
  <c r="C773" i="7"/>
  <c r="G772" i="7"/>
  <c r="C772" i="7"/>
  <c r="G771" i="7"/>
  <c r="C771" i="7"/>
  <c r="G770" i="7"/>
  <c r="C770" i="7"/>
  <c r="G769" i="7"/>
  <c r="C769" i="7"/>
  <c r="G768" i="7"/>
  <c r="C768" i="7"/>
  <c r="G767" i="7"/>
  <c r="C767" i="7"/>
  <c r="G766" i="7"/>
  <c r="C766" i="7"/>
  <c r="G765" i="7"/>
  <c r="C765" i="7"/>
  <c r="G764" i="7"/>
  <c r="C764" i="7"/>
  <c r="G763" i="7"/>
  <c r="C763" i="7"/>
  <c r="G762" i="7"/>
  <c r="C762" i="7"/>
  <c r="G761" i="7"/>
  <c r="C761" i="7"/>
  <c r="G760" i="7"/>
  <c r="C760" i="7"/>
  <c r="G759" i="7"/>
  <c r="C759" i="7"/>
  <c r="G758" i="7"/>
  <c r="C758" i="7"/>
  <c r="G757" i="7"/>
  <c r="C757" i="7"/>
  <c r="G756" i="7"/>
  <c r="C756" i="7"/>
  <c r="G755" i="7"/>
  <c r="C755" i="7"/>
  <c r="G754" i="7"/>
  <c r="C754" i="7"/>
  <c r="G753" i="7"/>
  <c r="C753" i="7"/>
  <c r="G752" i="7"/>
  <c r="C752" i="7"/>
  <c r="G751" i="7"/>
  <c r="C751" i="7"/>
  <c r="G750" i="7"/>
  <c r="C750" i="7"/>
  <c r="G749" i="7"/>
  <c r="C749" i="7"/>
  <c r="G748" i="7"/>
  <c r="C748" i="7"/>
  <c r="G747" i="7"/>
  <c r="C747" i="7"/>
  <c r="G746" i="7"/>
  <c r="C746" i="7"/>
  <c r="G745" i="7"/>
  <c r="C745" i="7"/>
  <c r="G744" i="7"/>
  <c r="C744" i="7"/>
  <c r="G743" i="7"/>
  <c r="C743" i="7"/>
  <c r="G742" i="7"/>
  <c r="C742" i="7"/>
  <c r="G741" i="7"/>
  <c r="C741" i="7"/>
  <c r="G740" i="7"/>
  <c r="C740" i="7"/>
  <c r="G739" i="7"/>
  <c r="C739" i="7"/>
  <c r="G738" i="7"/>
  <c r="C738" i="7"/>
  <c r="G737" i="7"/>
  <c r="C737" i="7"/>
  <c r="G736" i="7"/>
  <c r="C736" i="7"/>
  <c r="G735" i="7"/>
  <c r="C735" i="7"/>
  <c r="G734" i="7"/>
  <c r="C734" i="7"/>
  <c r="G733" i="7"/>
  <c r="C733" i="7"/>
  <c r="G732" i="7"/>
  <c r="C732" i="7"/>
  <c r="G731" i="7"/>
  <c r="C731" i="7"/>
  <c r="G730" i="7"/>
  <c r="C730" i="7"/>
  <c r="G729" i="7"/>
  <c r="C729" i="7"/>
  <c r="G728" i="7"/>
  <c r="C728" i="7"/>
  <c r="G727" i="7"/>
  <c r="C727" i="7"/>
  <c r="G726" i="7"/>
  <c r="C726" i="7"/>
  <c r="G725" i="7"/>
  <c r="C725" i="7"/>
  <c r="G724" i="7"/>
  <c r="C724" i="7"/>
  <c r="G723" i="7"/>
  <c r="C723" i="7"/>
  <c r="G722" i="7"/>
  <c r="C722" i="7"/>
  <c r="G721" i="7"/>
  <c r="C721" i="7"/>
  <c r="G720" i="7"/>
  <c r="C720" i="7"/>
  <c r="G719" i="7"/>
  <c r="C719" i="7"/>
  <c r="G718" i="7"/>
  <c r="C718" i="7"/>
  <c r="G717" i="7"/>
  <c r="C717" i="7"/>
  <c r="G716" i="7"/>
  <c r="C716" i="7"/>
  <c r="G715" i="7"/>
  <c r="C715" i="7"/>
  <c r="G714" i="7"/>
  <c r="C714" i="7"/>
  <c r="G713" i="7"/>
  <c r="C713" i="7"/>
  <c r="G712" i="7"/>
  <c r="C712" i="7"/>
  <c r="G711" i="7"/>
  <c r="C711" i="7"/>
  <c r="G710" i="7"/>
  <c r="C710" i="7"/>
  <c r="G709" i="7"/>
  <c r="C709" i="7"/>
  <c r="G708" i="7"/>
  <c r="C708" i="7"/>
  <c r="G707" i="7"/>
  <c r="C707" i="7"/>
  <c r="G706" i="7"/>
  <c r="C706" i="7"/>
  <c r="G705" i="7"/>
  <c r="C705" i="7"/>
  <c r="G704" i="7"/>
  <c r="C704" i="7"/>
  <c r="G703" i="7"/>
  <c r="C703" i="7"/>
  <c r="G702" i="7"/>
  <c r="C702" i="7"/>
  <c r="G701" i="7"/>
  <c r="C701" i="7"/>
  <c r="G700" i="7"/>
  <c r="C700" i="7"/>
  <c r="G699" i="7"/>
  <c r="C699" i="7"/>
  <c r="G698" i="7"/>
  <c r="C698" i="7"/>
  <c r="G697" i="7"/>
  <c r="C697" i="7"/>
  <c r="G696" i="7"/>
  <c r="C696" i="7"/>
  <c r="G695" i="7"/>
  <c r="C695" i="7"/>
  <c r="G694" i="7"/>
  <c r="C694" i="7"/>
  <c r="G693" i="7"/>
  <c r="C693" i="7"/>
  <c r="G692" i="7"/>
  <c r="C692" i="7"/>
  <c r="G691" i="7"/>
  <c r="C691" i="7"/>
  <c r="G690" i="7"/>
  <c r="C690" i="7"/>
  <c r="G689" i="7"/>
  <c r="C689" i="7"/>
  <c r="G688" i="7"/>
  <c r="C688" i="7"/>
  <c r="G687" i="7"/>
  <c r="C687" i="7"/>
  <c r="G686" i="7"/>
  <c r="C686" i="7"/>
  <c r="G685" i="7"/>
  <c r="C685" i="7"/>
  <c r="G684" i="7"/>
  <c r="C684" i="7"/>
  <c r="G683" i="7"/>
  <c r="C683" i="7"/>
  <c r="G682" i="7"/>
  <c r="C682" i="7"/>
  <c r="G681" i="7"/>
  <c r="C681" i="7"/>
  <c r="G680" i="7"/>
  <c r="C680" i="7"/>
  <c r="G679" i="7"/>
  <c r="C679" i="7"/>
  <c r="G678" i="7"/>
  <c r="C678" i="7"/>
  <c r="G677" i="7"/>
  <c r="C677" i="7"/>
  <c r="G676" i="7"/>
  <c r="C676" i="7"/>
  <c r="G675" i="7"/>
  <c r="C675" i="7"/>
  <c r="G674" i="7"/>
  <c r="C674" i="7"/>
  <c r="G673" i="7"/>
  <c r="C673" i="7"/>
  <c r="G672" i="7"/>
  <c r="C672" i="7"/>
  <c r="G671" i="7"/>
  <c r="C671" i="7"/>
  <c r="G670" i="7"/>
  <c r="C670" i="7"/>
  <c r="G669" i="7"/>
  <c r="C669" i="7"/>
  <c r="G668" i="7"/>
  <c r="C668" i="7"/>
  <c r="G667" i="7"/>
  <c r="C667" i="7"/>
  <c r="G666" i="7"/>
  <c r="C666" i="7"/>
  <c r="G665" i="7"/>
  <c r="C665" i="7"/>
  <c r="G664" i="7"/>
  <c r="C664" i="7"/>
  <c r="G663" i="7"/>
  <c r="C663" i="7"/>
  <c r="G662" i="7"/>
  <c r="C662" i="7"/>
  <c r="G661" i="7"/>
  <c r="C661" i="7"/>
  <c r="G660" i="7"/>
  <c r="C660" i="7"/>
  <c r="G659" i="7"/>
  <c r="C659" i="7"/>
  <c r="G658" i="7"/>
  <c r="C658" i="7"/>
  <c r="G657" i="7"/>
  <c r="C657" i="7"/>
  <c r="G656" i="7"/>
  <c r="C656" i="7"/>
  <c r="G655" i="7"/>
  <c r="C655" i="7"/>
  <c r="G654" i="7"/>
  <c r="C654" i="7"/>
  <c r="G653" i="7"/>
  <c r="C653" i="7"/>
  <c r="G652" i="7"/>
  <c r="C652" i="7"/>
  <c r="G651" i="7"/>
  <c r="C651" i="7"/>
  <c r="G650" i="7"/>
  <c r="C650" i="7"/>
  <c r="G649" i="7"/>
  <c r="C649" i="7"/>
  <c r="G648" i="7"/>
  <c r="C648" i="7"/>
  <c r="G647" i="7"/>
  <c r="C647" i="7"/>
  <c r="G646" i="7"/>
  <c r="C646" i="7"/>
  <c r="G645" i="7"/>
  <c r="C645" i="7"/>
  <c r="G644" i="7"/>
  <c r="C644" i="7"/>
  <c r="G643" i="7"/>
  <c r="C643" i="7"/>
  <c r="G642" i="7"/>
  <c r="C642" i="7"/>
  <c r="G641" i="7"/>
  <c r="C641" i="7"/>
  <c r="G640" i="7"/>
  <c r="C640" i="7"/>
  <c r="G639" i="7"/>
  <c r="C639" i="7"/>
  <c r="G638" i="7"/>
  <c r="C638" i="7"/>
  <c r="G637" i="7"/>
  <c r="C637" i="7"/>
  <c r="G636" i="7"/>
  <c r="C636" i="7"/>
  <c r="G635" i="7"/>
  <c r="C635" i="7"/>
  <c r="G634" i="7"/>
  <c r="C634" i="7"/>
  <c r="G633" i="7"/>
  <c r="C633" i="7"/>
  <c r="G632" i="7"/>
  <c r="C632" i="7"/>
  <c r="G631" i="7"/>
  <c r="C631" i="7"/>
  <c r="G630" i="7"/>
  <c r="C630" i="7"/>
  <c r="G629" i="7"/>
  <c r="C629" i="7"/>
  <c r="G628" i="7"/>
  <c r="C628" i="7"/>
  <c r="G627" i="7"/>
  <c r="C627" i="7"/>
  <c r="G626" i="7"/>
  <c r="C626" i="7"/>
  <c r="G625" i="7"/>
  <c r="C625" i="7"/>
  <c r="G624" i="7"/>
  <c r="C624" i="7"/>
  <c r="G623" i="7"/>
  <c r="C623" i="7"/>
  <c r="G622" i="7"/>
  <c r="C622" i="7"/>
  <c r="G621" i="7"/>
  <c r="C621" i="7"/>
  <c r="G620" i="7"/>
  <c r="C620" i="7"/>
  <c r="G619" i="7"/>
  <c r="C619" i="7"/>
  <c r="G618" i="7"/>
  <c r="C618" i="7"/>
  <c r="G617" i="7"/>
  <c r="C617" i="7"/>
  <c r="G616" i="7"/>
  <c r="C616" i="7"/>
  <c r="G615" i="7"/>
  <c r="C615" i="7"/>
  <c r="G614" i="7"/>
  <c r="C614" i="7"/>
  <c r="G613" i="7"/>
  <c r="C613" i="7"/>
  <c r="G612" i="7"/>
  <c r="C612" i="7"/>
  <c r="G611" i="7"/>
  <c r="C611" i="7"/>
  <c r="G610" i="7"/>
  <c r="C610" i="7"/>
  <c r="G609" i="7"/>
  <c r="C609" i="7"/>
  <c r="G608" i="7"/>
  <c r="C608" i="7"/>
  <c r="G607" i="7"/>
  <c r="C607" i="7"/>
  <c r="G606" i="7"/>
  <c r="C606" i="7"/>
  <c r="G605" i="7"/>
  <c r="C605" i="7"/>
  <c r="G604" i="7"/>
  <c r="C604" i="7"/>
  <c r="G603" i="7"/>
  <c r="C603" i="7"/>
  <c r="G602" i="7"/>
  <c r="C602" i="7"/>
  <c r="G601" i="7"/>
  <c r="C601" i="7"/>
  <c r="G600" i="7"/>
  <c r="C600" i="7"/>
  <c r="G599" i="7"/>
  <c r="C599" i="7"/>
  <c r="G598" i="7"/>
  <c r="C598" i="7"/>
  <c r="G597" i="7"/>
  <c r="C597" i="7"/>
  <c r="G596" i="7"/>
  <c r="C596" i="7"/>
  <c r="G595" i="7"/>
  <c r="C595" i="7"/>
  <c r="G594" i="7"/>
  <c r="C594" i="7"/>
  <c r="G593" i="7"/>
  <c r="C593" i="7"/>
  <c r="G592" i="7"/>
  <c r="C592" i="7"/>
  <c r="G591" i="7"/>
  <c r="C591" i="7"/>
  <c r="G590" i="7"/>
  <c r="C590" i="7"/>
  <c r="G589" i="7"/>
  <c r="C589" i="7"/>
  <c r="G588" i="7"/>
  <c r="C588" i="7"/>
  <c r="G587" i="7"/>
  <c r="C587" i="7"/>
  <c r="G586" i="7"/>
  <c r="C586" i="7"/>
  <c r="G585" i="7"/>
  <c r="C585" i="7"/>
  <c r="G584" i="7"/>
  <c r="C584" i="7"/>
  <c r="G583" i="7"/>
  <c r="C583" i="7"/>
  <c r="G582" i="7"/>
  <c r="C582" i="7"/>
  <c r="G581" i="7"/>
  <c r="C581" i="7"/>
  <c r="G580" i="7"/>
  <c r="C580" i="7"/>
  <c r="G579" i="7"/>
  <c r="C579" i="7"/>
  <c r="G578" i="7"/>
  <c r="C578" i="7"/>
  <c r="G577" i="7"/>
  <c r="C577" i="7"/>
  <c r="G576" i="7"/>
  <c r="C576" i="7"/>
  <c r="G575" i="7"/>
  <c r="C575" i="7"/>
  <c r="G574" i="7"/>
  <c r="C574" i="7"/>
  <c r="G573" i="7"/>
  <c r="C573" i="7"/>
  <c r="G572" i="7"/>
  <c r="C572" i="7"/>
  <c r="G571" i="7"/>
  <c r="C571" i="7"/>
  <c r="G570" i="7"/>
  <c r="C570" i="7"/>
  <c r="G569" i="7"/>
  <c r="C569" i="7"/>
  <c r="G568" i="7"/>
  <c r="C568" i="7"/>
  <c r="G567" i="7"/>
  <c r="C567" i="7"/>
  <c r="G566" i="7"/>
  <c r="C566" i="7"/>
  <c r="G565" i="7"/>
  <c r="C565" i="7"/>
  <c r="G564" i="7"/>
  <c r="C564" i="7"/>
  <c r="G563" i="7"/>
  <c r="C563" i="7"/>
  <c r="G562" i="7"/>
  <c r="C562" i="7"/>
  <c r="G561" i="7"/>
  <c r="C561" i="7"/>
  <c r="G560" i="7"/>
  <c r="C560" i="7"/>
  <c r="G559" i="7"/>
  <c r="C559" i="7"/>
  <c r="G558" i="7"/>
  <c r="C558" i="7"/>
  <c r="G557" i="7"/>
  <c r="C557" i="7"/>
  <c r="G556" i="7"/>
  <c r="C556" i="7"/>
  <c r="G555" i="7"/>
  <c r="C555" i="7"/>
  <c r="G554" i="7"/>
  <c r="C554" i="7"/>
  <c r="G553" i="7"/>
  <c r="C553" i="7"/>
  <c r="G552" i="7"/>
  <c r="C552" i="7"/>
  <c r="G551" i="7"/>
  <c r="C551" i="7"/>
  <c r="G550" i="7"/>
  <c r="C550" i="7"/>
  <c r="G549" i="7"/>
  <c r="C549" i="7"/>
  <c r="G548" i="7"/>
  <c r="C548" i="7"/>
  <c r="G547" i="7"/>
  <c r="C547" i="7"/>
  <c r="G546" i="7"/>
  <c r="C546" i="7"/>
  <c r="G545" i="7"/>
  <c r="C545" i="7"/>
  <c r="G544" i="7"/>
  <c r="C544" i="7"/>
  <c r="G543" i="7"/>
  <c r="C543" i="7"/>
  <c r="G542" i="7"/>
  <c r="C542" i="7"/>
  <c r="G541" i="7"/>
  <c r="C541" i="7"/>
  <c r="G540" i="7"/>
  <c r="C540" i="7"/>
  <c r="G539" i="7"/>
  <c r="C539" i="7"/>
  <c r="G538" i="7"/>
  <c r="C538" i="7"/>
  <c r="G537" i="7"/>
  <c r="C537" i="7"/>
  <c r="G536" i="7"/>
  <c r="C536" i="7"/>
  <c r="G535" i="7"/>
  <c r="C535" i="7"/>
  <c r="G534" i="7"/>
  <c r="C534" i="7"/>
  <c r="G533" i="7"/>
  <c r="C533" i="7"/>
  <c r="G532" i="7"/>
  <c r="C532" i="7"/>
  <c r="G531" i="7"/>
  <c r="C531" i="7"/>
  <c r="G530" i="7"/>
  <c r="C530" i="7"/>
  <c r="G529" i="7"/>
  <c r="C529" i="7"/>
  <c r="G528" i="7"/>
  <c r="C528" i="7"/>
  <c r="G527" i="7"/>
  <c r="C527" i="7"/>
  <c r="G526" i="7"/>
  <c r="C526" i="7"/>
  <c r="G525" i="7"/>
  <c r="C525" i="7"/>
  <c r="G524" i="7"/>
  <c r="C524" i="7"/>
  <c r="G523" i="7"/>
  <c r="C523" i="7"/>
  <c r="G522" i="7"/>
  <c r="C522" i="7"/>
  <c r="G521" i="7"/>
  <c r="C521" i="7"/>
  <c r="G520" i="7"/>
  <c r="C520" i="7"/>
  <c r="G519" i="7"/>
  <c r="C519" i="7"/>
  <c r="G518" i="7"/>
  <c r="C518" i="7"/>
  <c r="G517" i="7"/>
  <c r="C517" i="7"/>
  <c r="G516" i="7"/>
  <c r="C516" i="7"/>
  <c r="G515" i="7"/>
  <c r="C515" i="7"/>
  <c r="G514" i="7"/>
  <c r="C514" i="7"/>
  <c r="G513" i="7"/>
  <c r="C513" i="7"/>
  <c r="G512" i="7"/>
  <c r="C512" i="7"/>
  <c r="G511" i="7"/>
  <c r="C511" i="7"/>
  <c r="G510" i="7"/>
  <c r="C510" i="7"/>
  <c r="G509" i="7"/>
  <c r="C509" i="7"/>
  <c r="G508" i="7"/>
  <c r="C508" i="7"/>
  <c r="G507" i="7"/>
  <c r="C507" i="7"/>
  <c r="G506" i="7"/>
  <c r="C506" i="7"/>
  <c r="G505" i="7"/>
  <c r="C505" i="7"/>
  <c r="G504" i="7"/>
  <c r="C504" i="7"/>
  <c r="G503" i="7"/>
  <c r="C503" i="7"/>
  <c r="G502" i="7"/>
  <c r="C502" i="7"/>
  <c r="G501" i="7"/>
  <c r="C501" i="7"/>
  <c r="G500" i="7"/>
  <c r="C500" i="7"/>
  <c r="G499" i="7"/>
  <c r="C499" i="7"/>
  <c r="G498" i="7"/>
  <c r="C498" i="7"/>
  <c r="G497" i="7"/>
  <c r="C497" i="7"/>
  <c r="G496" i="7"/>
  <c r="C496" i="7"/>
  <c r="G495" i="7"/>
  <c r="C495" i="7"/>
  <c r="G494" i="7"/>
  <c r="C494" i="7"/>
  <c r="G493" i="7"/>
  <c r="C493" i="7"/>
  <c r="G492" i="7"/>
  <c r="C492" i="7"/>
  <c r="G491" i="7"/>
  <c r="C491" i="7"/>
  <c r="G490" i="7"/>
  <c r="C490" i="7"/>
  <c r="G489" i="7"/>
  <c r="C489" i="7"/>
  <c r="G488" i="7"/>
  <c r="C488" i="7"/>
  <c r="G487" i="7"/>
  <c r="C487" i="7"/>
  <c r="G486" i="7"/>
  <c r="C486" i="7"/>
  <c r="G485" i="7"/>
  <c r="C485" i="7"/>
  <c r="G484" i="7"/>
  <c r="C484" i="7"/>
  <c r="G483" i="7"/>
  <c r="C483" i="7"/>
  <c r="G482" i="7"/>
  <c r="C482" i="7"/>
  <c r="G481" i="7"/>
  <c r="C481" i="7"/>
  <c r="G480" i="7"/>
  <c r="C480" i="7"/>
  <c r="G479" i="7"/>
  <c r="C479" i="7"/>
  <c r="G478" i="7"/>
  <c r="C478" i="7"/>
  <c r="G477" i="7"/>
  <c r="C477" i="7"/>
  <c r="G476" i="7"/>
  <c r="C476" i="7"/>
  <c r="G475" i="7"/>
  <c r="C475" i="7"/>
  <c r="G474" i="7"/>
  <c r="C474" i="7"/>
  <c r="G473" i="7"/>
  <c r="C473" i="7"/>
  <c r="G472" i="7"/>
  <c r="C472" i="7"/>
  <c r="G471" i="7"/>
  <c r="C471" i="7"/>
  <c r="G470" i="7"/>
  <c r="C470" i="7"/>
  <c r="G469" i="7"/>
  <c r="C469" i="7"/>
  <c r="G468" i="7"/>
  <c r="C468" i="7"/>
  <c r="G467" i="7"/>
  <c r="C467" i="7"/>
  <c r="G466" i="7"/>
  <c r="C466" i="7"/>
  <c r="G465" i="7"/>
  <c r="C465" i="7"/>
  <c r="G464" i="7"/>
  <c r="C464" i="7"/>
  <c r="G463" i="7"/>
  <c r="C463" i="7"/>
  <c r="G462" i="7"/>
  <c r="C462" i="7"/>
  <c r="G461" i="7"/>
  <c r="C461" i="7"/>
  <c r="G460" i="7"/>
  <c r="C460" i="7"/>
  <c r="G459" i="7"/>
  <c r="C459" i="7"/>
  <c r="G458" i="7"/>
  <c r="C458" i="7"/>
  <c r="G457" i="7"/>
  <c r="C457" i="7"/>
  <c r="G456" i="7"/>
  <c r="C456" i="7"/>
  <c r="G455" i="7"/>
  <c r="C455" i="7"/>
  <c r="G454" i="7"/>
  <c r="C454" i="7"/>
  <c r="G453" i="7"/>
  <c r="C453" i="7"/>
  <c r="G452" i="7"/>
  <c r="C452" i="7"/>
  <c r="G451" i="7"/>
  <c r="C451" i="7"/>
  <c r="G450" i="7"/>
  <c r="C450" i="7"/>
  <c r="G449" i="7"/>
  <c r="C449" i="7"/>
  <c r="G448" i="7"/>
  <c r="C448" i="7"/>
  <c r="G447" i="7"/>
  <c r="C447" i="7"/>
  <c r="G446" i="7"/>
  <c r="C446" i="7"/>
  <c r="G445" i="7"/>
  <c r="C445" i="7"/>
  <c r="G444" i="7"/>
  <c r="C444" i="7"/>
  <c r="G443" i="7"/>
  <c r="C443" i="7"/>
  <c r="G442" i="7"/>
  <c r="C442" i="7"/>
  <c r="G441" i="7"/>
  <c r="C441" i="7"/>
  <c r="G440" i="7"/>
  <c r="C440" i="7"/>
  <c r="G439" i="7"/>
  <c r="C439" i="7"/>
  <c r="G438" i="7"/>
  <c r="C438" i="7"/>
  <c r="G437" i="7"/>
  <c r="C437" i="7"/>
  <c r="G436" i="7"/>
  <c r="C436" i="7"/>
  <c r="G435" i="7"/>
  <c r="C435" i="7"/>
  <c r="G434" i="7"/>
  <c r="C434" i="7"/>
  <c r="G433" i="7"/>
  <c r="C433" i="7"/>
  <c r="G432" i="7"/>
  <c r="C432" i="7"/>
  <c r="G431" i="7"/>
  <c r="C431" i="7"/>
  <c r="G430" i="7"/>
  <c r="C430" i="7"/>
  <c r="G429" i="7"/>
  <c r="C429" i="7"/>
  <c r="G428" i="7"/>
  <c r="C428" i="7"/>
  <c r="G427" i="7"/>
  <c r="C427" i="7"/>
  <c r="G426" i="7"/>
  <c r="C426" i="7"/>
  <c r="G425" i="7"/>
  <c r="C425" i="7"/>
  <c r="G424" i="7"/>
  <c r="C424" i="7"/>
  <c r="G423" i="7"/>
  <c r="C423" i="7"/>
  <c r="G422" i="7"/>
  <c r="C422" i="7"/>
  <c r="G421" i="7"/>
  <c r="C421" i="7"/>
  <c r="G420" i="7"/>
  <c r="C420" i="7"/>
  <c r="G419" i="7"/>
  <c r="C419" i="7"/>
  <c r="G418" i="7"/>
  <c r="C418" i="7"/>
  <c r="G417" i="7"/>
  <c r="C417" i="7"/>
  <c r="G416" i="7"/>
  <c r="C416" i="7"/>
  <c r="G415" i="7"/>
  <c r="C415" i="7"/>
  <c r="G414" i="7"/>
  <c r="C414" i="7"/>
  <c r="G413" i="7"/>
  <c r="C413" i="7"/>
  <c r="G412" i="7"/>
  <c r="C412" i="7"/>
  <c r="G411" i="7"/>
  <c r="C411" i="7"/>
  <c r="G410" i="7"/>
  <c r="C410" i="7"/>
  <c r="G409" i="7"/>
  <c r="C409" i="7"/>
  <c r="G408" i="7"/>
  <c r="C408" i="7"/>
  <c r="G407" i="7"/>
  <c r="C407" i="7"/>
  <c r="G406" i="7"/>
  <c r="C406" i="7"/>
  <c r="G405" i="7"/>
  <c r="C405" i="7"/>
  <c r="G404" i="7"/>
  <c r="C404" i="7"/>
  <c r="G403" i="7"/>
  <c r="C403" i="7"/>
  <c r="G402" i="7"/>
  <c r="C402" i="7"/>
  <c r="G401" i="7"/>
  <c r="C401" i="7"/>
  <c r="G400" i="7"/>
  <c r="C400" i="7"/>
  <c r="G399" i="7"/>
  <c r="C399" i="7"/>
  <c r="G398" i="7"/>
  <c r="C398" i="7"/>
  <c r="G397" i="7"/>
  <c r="C397" i="7"/>
  <c r="G396" i="7"/>
  <c r="C396" i="7"/>
  <c r="G395" i="7"/>
  <c r="C395" i="7"/>
  <c r="G394" i="7"/>
  <c r="C394" i="7"/>
  <c r="G393" i="7"/>
  <c r="C393" i="7"/>
  <c r="G392" i="7"/>
  <c r="C392" i="7"/>
  <c r="G391" i="7"/>
  <c r="C391" i="7"/>
  <c r="G390" i="7"/>
  <c r="C390" i="7"/>
  <c r="G389" i="7"/>
  <c r="C389" i="7"/>
  <c r="G388" i="7"/>
  <c r="C388" i="7"/>
  <c r="G387" i="7"/>
  <c r="C387" i="7"/>
  <c r="G386" i="7"/>
  <c r="C386" i="7"/>
  <c r="G385" i="7"/>
  <c r="C385" i="7"/>
  <c r="G384" i="7"/>
  <c r="C384" i="7"/>
  <c r="G383" i="7"/>
  <c r="C383" i="7"/>
  <c r="G382" i="7"/>
  <c r="C382" i="7"/>
  <c r="G381" i="7"/>
  <c r="C381" i="7"/>
  <c r="G380" i="7"/>
  <c r="C380" i="7"/>
  <c r="G379" i="7"/>
  <c r="C379" i="7"/>
  <c r="G378" i="7"/>
  <c r="C378" i="7"/>
  <c r="G377" i="7"/>
  <c r="C377" i="7"/>
  <c r="G376" i="7"/>
  <c r="C376" i="7"/>
  <c r="G375" i="7"/>
  <c r="C375" i="7"/>
  <c r="G374" i="7"/>
  <c r="C374" i="7"/>
  <c r="G373" i="7"/>
  <c r="C373" i="7"/>
  <c r="G372" i="7"/>
  <c r="C372" i="7"/>
  <c r="G371" i="7"/>
  <c r="C371" i="7"/>
  <c r="G370" i="7"/>
  <c r="C370" i="7"/>
  <c r="G369" i="7"/>
  <c r="C369" i="7"/>
  <c r="G368" i="7"/>
  <c r="C368" i="7"/>
  <c r="G367" i="7"/>
  <c r="C367" i="7"/>
  <c r="G366" i="7"/>
  <c r="C366" i="7"/>
  <c r="G365" i="7"/>
  <c r="C365" i="7"/>
  <c r="G364" i="7"/>
  <c r="C364" i="7"/>
  <c r="G363" i="7"/>
  <c r="C363" i="7"/>
  <c r="G362" i="7"/>
  <c r="C362" i="7"/>
  <c r="G361" i="7"/>
  <c r="C361" i="7"/>
  <c r="G360" i="7"/>
  <c r="C360" i="7"/>
  <c r="G359" i="7"/>
  <c r="C359" i="7"/>
  <c r="G358" i="7"/>
  <c r="C358" i="7"/>
  <c r="G357" i="7"/>
  <c r="C357" i="7"/>
  <c r="G356" i="7"/>
  <c r="C356" i="7"/>
  <c r="G355" i="7"/>
  <c r="C355" i="7"/>
  <c r="G354" i="7"/>
  <c r="C354" i="7"/>
  <c r="G353" i="7"/>
  <c r="C353" i="7"/>
  <c r="G352" i="7"/>
  <c r="C352" i="7"/>
  <c r="G351" i="7"/>
  <c r="C351" i="7"/>
  <c r="G350" i="7"/>
  <c r="C350" i="7"/>
  <c r="G349" i="7"/>
  <c r="C349" i="7"/>
  <c r="G348" i="7"/>
  <c r="C348" i="7"/>
  <c r="G347" i="7"/>
  <c r="C347" i="7"/>
  <c r="G346" i="7"/>
  <c r="C346" i="7"/>
  <c r="G345" i="7"/>
  <c r="C345" i="7"/>
  <c r="G344" i="7"/>
  <c r="C344" i="7"/>
  <c r="G343" i="7"/>
  <c r="C343" i="7"/>
  <c r="G342" i="7"/>
  <c r="C342" i="7"/>
  <c r="G341" i="7"/>
  <c r="C341" i="7"/>
  <c r="G340" i="7"/>
  <c r="C340" i="7"/>
  <c r="G339" i="7"/>
  <c r="C339" i="7"/>
  <c r="G338" i="7"/>
  <c r="C338" i="7"/>
  <c r="G337" i="7"/>
  <c r="C337" i="7"/>
  <c r="G336" i="7"/>
  <c r="C336" i="7"/>
  <c r="G335" i="7"/>
  <c r="C335" i="7"/>
  <c r="G334" i="7"/>
  <c r="C334" i="7"/>
  <c r="G333" i="7"/>
  <c r="C333" i="7"/>
  <c r="G332" i="7"/>
  <c r="C332" i="7"/>
  <c r="G331" i="7"/>
  <c r="C331" i="7"/>
  <c r="G330" i="7"/>
  <c r="C330" i="7"/>
  <c r="G329" i="7"/>
  <c r="C329" i="7"/>
  <c r="G328" i="7"/>
  <c r="C328" i="7"/>
  <c r="G327" i="7"/>
  <c r="C327" i="7"/>
  <c r="G326" i="7"/>
  <c r="C326" i="7"/>
  <c r="G325" i="7"/>
  <c r="C325" i="7"/>
  <c r="G324" i="7"/>
  <c r="C324" i="7"/>
  <c r="G323" i="7"/>
  <c r="C323" i="7"/>
  <c r="G322" i="7"/>
  <c r="C322" i="7"/>
  <c r="G321" i="7"/>
  <c r="C321" i="7"/>
  <c r="G320" i="7"/>
  <c r="C320" i="7"/>
  <c r="G319" i="7"/>
  <c r="C319" i="7"/>
  <c r="G318" i="7"/>
  <c r="C318" i="7"/>
  <c r="G317" i="7"/>
  <c r="C317" i="7"/>
  <c r="G316" i="7"/>
  <c r="C316" i="7"/>
  <c r="G315" i="7"/>
  <c r="C315" i="7"/>
  <c r="G314" i="7"/>
  <c r="C314" i="7"/>
  <c r="G313" i="7"/>
  <c r="C313" i="7"/>
  <c r="G312" i="7"/>
  <c r="C312" i="7"/>
  <c r="G311" i="7"/>
  <c r="C311" i="7"/>
  <c r="G310" i="7"/>
  <c r="C310" i="7"/>
  <c r="G309" i="7"/>
  <c r="C309" i="7"/>
  <c r="G308" i="7"/>
  <c r="C308" i="7"/>
  <c r="G307" i="7"/>
  <c r="C307" i="7"/>
  <c r="G306" i="7"/>
  <c r="C306" i="7"/>
  <c r="G305" i="7"/>
  <c r="C305" i="7"/>
  <c r="G304" i="7"/>
  <c r="C304" i="7"/>
  <c r="G303" i="7"/>
  <c r="C303" i="7"/>
  <c r="G302" i="7"/>
  <c r="C302" i="7"/>
  <c r="G301" i="7"/>
  <c r="C301" i="7"/>
  <c r="G300" i="7"/>
  <c r="C300" i="7"/>
  <c r="G299" i="7"/>
  <c r="C299" i="7"/>
  <c r="G298" i="7"/>
  <c r="C298" i="7"/>
  <c r="G297" i="7"/>
  <c r="C297" i="7"/>
  <c r="G296" i="7"/>
  <c r="C296" i="7"/>
  <c r="G295" i="7"/>
  <c r="C295" i="7"/>
  <c r="G294" i="7"/>
  <c r="C294" i="7"/>
  <c r="G293" i="7"/>
  <c r="C293" i="7"/>
  <c r="G292" i="7"/>
  <c r="C292" i="7"/>
  <c r="G291" i="7"/>
  <c r="C291" i="7"/>
  <c r="G290" i="7"/>
  <c r="C290" i="7"/>
  <c r="G289" i="7"/>
  <c r="C289" i="7"/>
  <c r="G288" i="7"/>
  <c r="C288" i="7"/>
  <c r="G287" i="7"/>
  <c r="C287" i="7"/>
  <c r="G286" i="7"/>
  <c r="C286" i="7"/>
  <c r="G285" i="7"/>
  <c r="C285" i="7"/>
  <c r="G284" i="7"/>
  <c r="C284" i="7"/>
  <c r="G283" i="7"/>
  <c r="C283" i="7"/>
  <c r="G282" i="7"/>
  <c r="C282" i="7"/>
  <c r="G281" i="7"/>
  <c r="C281" i="7"/>
  <c r="G280" i="7"/>
  <c r="C280" i="7"/>
  <c r="G279" i="7"/>
  <c r="C279" i="7"/>
  <c r="G278" i="7"/>
  <c r="C278" i="7"/>
  <c r="G277" i="7"/>
  <c r="C277" i="7"/>
  <c r="G276" i="7"/>
  <c r="C276" i="7"/>
  <c r="G275" i="7"/>
  <c r="C275" i="7"/>
  <c r="G274" i="7"/>
  <c r="C274" i="7"/>
  <c r="G273" i="7"/>
  <c r="C273" i="7"/>
  <c r="G272" i="7"/>
  <c r="C272" i="7"/>
  <c r="G271" i="7"/>
  <c r="C271" i="7"/>
  <c r="G270" i="7"/>
  <c r="C270" i="7"/>
  <c r="G269" i="7"/>
  <c r="C269" i="7"/>
  <c r="G268" i="7"/>
  <c r="C268" i="7"/>
  <c r="G267" i="7"/>
  <c r="C267" i="7"/>
  <c r="G266" i="7"/>
  <c r="C266" i="7"/>
  <c r="G265" i="7"/>
  <c r="C265" i="7"/>
  <c r="G264" i="7"/>
  <c r="C264" i="7"/>
  <c r="G263" i="7"/>
  <c r="C263" i="7"/>
  <c r="G262" i="7"/>
  <c r="C262" i="7"/>
  <c r="G261" i="7"/>
  <c r="C261" i="7"/>
  <c r="G260" i="7"/>
  <c r="C260" i="7"/>
  <c r="G259" i="7"/>
  <c r="C259" i="7"/>
  <c r="G258" i="7"/>
  <c r="C258" i="7"/>
  <c r="G257" i="7"/>
  <c r="C257" i="7"/>
  <c r="G256" i="7"/>
  <c r="C256" i="7"/>
  <c r="G255" i="7"/>
  <c r="C255" i="7"/>
  <c r="G254" i="7"/>
  <c r="C254" i="7"/>
  <c r="G253" i="7"/>
  <c r="C253" i="7"/>
  <c r="G252" i="7"/>
  <c r="C252" i="7"/>
  <c r="G251" i="7"/>
  <c r="C251" i="7"/>
  <c r="G250" i="7"/>
  <c r="C250" i="7"/>
  <c r="G249" i="7"/>
  <c r="C249" i="7"/>
  <c r="G248" i="7"/>
  <c r="C248" i="7"/>
  <c r="G247" i="7"/>
  <c r="C247" i="7"/>
  <c r="G246" i="7"/>
  <c r="C246" i="7"/>
  <c r="G245" i="7"/>
  <c r="C245" i="7"/>
  <c r="G244" i="7"/>
  <c r="C244" i="7"/>
  <c r="G243" i="7"/>
  <c r="C243" i="7"/>
  <c r="G242" i="7"/>
  <c r="C242" i="7"/>
  <c r="G241" i="7"/>
  <c r="C241" i="7"/>
  <c r="G240" i="7"/>
  <c r="C240" i="7"/>
  <c r="G239" i="7"/>
  <c r="C239" i="7"/>
  <c r="G238" i="7"/>
  <c r="C238" i="7"/>
  <c r="G237" i="7"/>
  <c r="C237" i="7"/>
  <c r="G236" i="7"/>
  <c r="C236" i="7"/>
  <c r="G235" i="7"/>
  <c r="C235" i="7"/>
  <c r="G234" i="7"/>
  <c r="C234" i="7"/>
  <c r="G233" i="7"/>
  <c r="C233" i="7"/>
  <c r="G232" i="7"/>
  <c r="C232" i="7"/>
  <c r="G231" i="7"/>
  <c r="C231" i="7"/>
  <c r="G230" i="7"/>
  <c r="C230" i="7"/>
  <c r="G229" i="7"/>
  <c r="C229" i="7"/>
  <c r="G228" i="7"/>
  <c r="C228" i="7"/>
  <c r="G227" i="7"/>
  <c r="C227" i="7"/>
  <c r="G226" i="7"/>
  <c r="C226" i="7"/>
  <c r="G225" i="7"/>
  <c r="C225" i="7"/>
  <c r="G224" i="7"/>
  <c r="C224" i="7"/>
  <c r="G223" i="7"/>
  <c r="C223" i="7"/>
  <c r="G222" i="7"/>
  <c r="C222" i="7"/>
  <c r="G221" i="7"/>
  <c r="C221" i="7"/>
  <c r="G220" i="7"/>
  <c r="C220" i="7"/>
  <c r="G219" i="7"/>
  <c r="C219" i="7"/>
  <c r="G218" i="7"/>
  <c r="C218" i="7"/>
  <c r="G217" i="7"/>
  <c r="C217" i="7"/>
  <c r="G216" i="7"/>
  <c r="C216" i="7"/>
  <c r="G215" i="7"/>
  <c r="C215" i="7"/>
  <c r="G214" i="7"/>
  <c r="C214" i="7"/>
  <c r="G213" i="7"/>
  <c r="C213" i="7"/>
  <c r="G212" i="7"/>
  <c r="C212" i="7"/>
  <c r="G211" i="7"/>
  <c r="C211" i="7"/>
  <c r="G210" i="7"/>
  <c r="C210" i="7"/>
  <c r="G209" i="7"/>
  <c r="C209" i="7"/>
  <c r="G208" i="7"/>
  <c r="C208" i="7"/>
  <c r="G207" i="7"/>
  <c r="C207" i="7"/>
  <c r="G206" i="7"/>
  <c r="C206" i="7"/>
  <c r="G205" i="7"/>
  <c r="C205" i="7"/>
  <c r="G204" i="7"/>
  <c r="C204" i="7"/>
  <c r="G203" i="7"/>
  <c r="C203" i="7"/>
  <c r="G202" i="7"/>
  <c r="C202" i="7"/>
  <c r="G201" i="7"/>
  <c r="C201" i="7"/>
  <c r="G200" i="7"/>
  <c r="C200" i="7"/>
  <c r="G199" i="7"/>
  <c r="C199" i="7"/>
  <c r="G198" i="7"/>
  <c r="C198" i="7"/>
  <c r="G197" i="7"/>
  <c r="C197" i="7"/>
  <c r="G196" i="7"/>
  <c r="C196" i="7"/>
  <c r="G195" i="7"/>
  <c r="C195" i="7"/>
  <c r="G194" i="7"/>
  <c r="C194" i="7"/>
  <c r="G193" i="7"/>
  <c r="C193" i="7"/>
  <c r="G192" i="7"/>
  <c r="C192" i="7"/>
  <c r="G191" i="7"/>
  <c r="C191" i="7"/>
  <c r="G190" i="7"/>
  <c r="C190" i="7"/>
  <c r="G189" i="7"/>
  <c r="C189" i="7"/>
  <c r="G188" i="7"/>
  <c r="C188" i="7"/>
  <c r="G187" i="7"/>
  <c r="C187" i="7"/>
  <c r="G186" i="7"/>
  <c r="C186" i="7"/>
  <c r="G185" i="7"/>
  <c r="C185" i="7"/>
  <c r="G184" i="7"/>
  <c r="C184" i="7"/>
  <c r="G183" i="7"/>
  <c r="C183" i="7"/>
  <c r="G182" i="7"/>
  <c r="C182" i="7"/>
  <c r="G181" i="7"/>
  <c r="C181" i="7"/>
  <c r="G180" i="7"/>
  <c r="C180" i="7"/>
  <c r="G179" i="7"/>
  <c r="C179" i="7"/>
  <c r="G178" i="7"/>
  <c r="C178" i="7"/>
  <c r="G177" i="7"/>
  <c r="C177" i="7"/>
  <c r="G176" i="7"/>
  <c r="C176" i="7"/>
  <c r="G175" i="7"/>
  <c r="C175" i="7"/>
  <c r="G174" i="7"/>
  <c r="C174" i="7"/>
  <c r="G173" i="7"/>
  <c r="C173" i="7"/>
  <c r="G172" i="7"/>
  <c r="C172" i="7"/>
  <c r="G171" i="7"/>
  <c r="C171" i="7"/>
  <c r="G170" i="7"/>
  <c r="C170" i="7"/>
  <c r="G169" i="7"/>
  <c r="C169" i="7"/>
  <c r="G168" i="7"/>
  <c r="C168" i="7"/>
  <c r="G167" i="7"/>
  <c r="C167" i="7"/>
  <c r="G166" i="7"/>
  <c r="C166" i="7"/>
  <c r="G165" i="7"/>
  <c r="C165" i="7"/>
  <c r="G164" i="7"/>
  <c r="C164" i="7"/>
  <c r="G163" i="7"/>
  <c r="C163" i="7"/>
  <c r="G162" i="7"/>
  <c r="C162" i="7"/>
  <c r="G161" i="7"/>
  <c r="C161" i="7"/>
  <c r="G160" i="7"/>
  <c r="C160" i="7"/>
  <c r="G159" i="7"/>
  <c r="C159" i="7"/>
  <c r="G158" i="7"/>
  <c r="C158" i="7"/>
  <c r="G157" i="7"/>
  <c r="C157" i="7"/>
  <c r="G156" i="7"/>
  <c r="C156" i="7"/>
  <c r="G155" i="7"/>
  <c r="C155" i="7"/>
  <c r="G154" i="7"/>
  <c r="C154" i="7"/>
  <c r="G153" i="7"/>
  <c r="C153" i="7"/>
  <c r="G152" i="7"/>
  <c r="C152" i="7"/>
  <c r="G151" i="7"/>
  <c r="C151" i="7"/>
  <c r="G150" i="7"/>
  <c r="C150" i="7"/>
  <c r="G149" i="7"/>
  <c r="C149" i="7"/>
  <c r="G148" i="7"/>
  <c r="C148" i="7"/>
  <c r="G147" i="7"/>
  <c r="C147" i="7"/>
  <c r="G146" i="7"/>
  <c r="C146" i="7"/>
  <c r="G145" i="7"/>
  <c r="C145" i="7"/>
  <c r="G144" i="7"/>
  <c r="C144" i="7"/>
  <c r="G143" i="7"/>
  <c r="C143" i="7"/>
  <c r="G142" i="7"/>
  <c r="C142" i="7"/>
  <c r="G141" i="7"/>
  <c r="C141" i="7"/>
  <c r="G140" i="7"/>
  <c r="C140" i="7"/>
  <c r="G139" i="7"/>
  <c r="C139" i="7"/>
  <c r="G138" i="7"/>
  <c r="C138" i="7"/>
  <c r="G137" i="7"/>
  <c r="C137" i="7"/>
  <c r="G136" i="7"/>
  <c r="C136" i="7"/>
  <c r="G135" i="7"/>
  <c r="C135" i="7"/>
  <c r="G134" i="7"/>
  <c r="C134" i="7"/>
  <c r="G133" i="7"/>
  <c r="C133" i="7"/>
  <c r="G132" i="7"/>
  <c r="C132" i="7"/>
  <c r="G131" i="7"/>
  <c r="C131" i="7"/>
  <c r="G130" i="7"/>
  <c r="C130" i="7"/>
  <c r="G129" i="7"/>
  <c r="C129" i="7"/>
  <c r="G128" i="7"/>
  <c r="C128" i="7"/>
  <c r="G127" i="7"/>
  <c r="C127" i="7"/>
  <c r="G126" i="7"/>
  <c r="C126" i="7"/>
  <c r="G125" i="7"/>
  <c r="C125" i="7"/>
  <c r="G124" i="7"/>
  <c r="C124" i="7"/>
  <c r="G123" i="7"/>
  <c r="C123" i="7"/>
  <c r="G122" i="7"/>
  <c r="C122" i="7"/>
  <c r="G121" i="7"/>
  <c r="C121" i="7"/>
  <c r="G120" i="7"/>
  <c r="C120" i="7"/>
  <c r="G119" i="7"/>
  <c r="C119" i="7"/>
  <c r="G118" i="7"/>
  <c r="C118" i="7"/>
  <c r="G117" i="7"/>
  <c r="C117" i="7"/>
  <c r="G116" i="7"/>
  <c r="C116" i="7"/>
  <c r="G115" i="7"/>
  <c r="C115" i="7"/>
  <c r="G114" i="7"/>
  <c r="C114" i="7"/>
  <c r="G113" i="7"/>
  <c r="C113" i="7"/>
  <c r="G112" i="7"/>
  <c r="C112" i="7"/>
  <c r="G111" i="7"/>
  <c r="C111" i="7"/>
  <c r="G110" i="7"/>
  <c r="C110" i="7"/>
  <c r="G109" i="7"/>
  <c r="C109" i="7"/>
  <c r="G108" i="7"/>
  <c r="C108" i="7"/>
  <c r="G107" i="7"/>
  <c r="C107" i="7"/>
  <c r="G106" i="7"/>
  <c r="C106" i="7"/>
  <c r="G105" i="7"/>
  <c r="C105" i="7"/>
  <c r="G104" i="7"/>
  <c r="C104" i="7"/>
  <c r="G103" i="7"/>
  <c r="C103" i="7"/>
  <c r="G102" i="7"/>
  <c r="C102" i="7"/>
  <c r="G101" i="7"/>
  <c r="C101" i="7"/>
  <c r="G100" i="7"/>
  <c r="C100" i="7"/>
  <c r="G99" i="7"/>
  <c r="C99" i="7"/>
  <c r="G98" i="7"/>
  <c r="C98" i="7"/>
  <c r="G97" i="7"/>
  <c r="C97" i="7"/>
  <c r="G96" i="7"/>
  <c r="C96" i="7"/>
  <c r="G95" i="7"/>
  <c r="C95" i="7"/>
  <c r="G94" i="7"/>
  <c r="C94" i="7"/>
  <c r="G93" i="7"/>
  <c r="C93" i="7"/>
  <c r="G92" i="7"/>
  <c r="C92" i="7"/>
  <c r="G91" i="7"/>
  <c r="C91" i="7"/>
  <c r="G90" i="7"/>
  <c r="C90" i="7"/>
  <c r="G89" i="7"/>
  <c r="C89" i="7"/>
  <c r="G88" i="7"/>
  <c r="C88" i="7"/>
  <c r="G87" i="7"/>
  <c r="C87" i="7"/>
  <c r="G86" i="7"/>
  <c r="C86" i="7"/>
  <c r="G85" i="7"/>
  <c r="C85" i="7"/>
  <c r="G84" i="7"/>
  <c r="C84" i="7"/>
  <c r="G83" i="7"/>
  <c r="C83" i="7"/>
  <c r="G82" i="7"/>
  <c r="C82" i="7"/>
  <c r="G81" i="7"/>
  <c r="C81" i="7"/>
  <c r="G80" i="7"/>
  <c r="C80" i="7"/>
  <c r="G79" i="7"/>
  <c r="C79" i="7"/>
  <c r="G78" i="7"/>
  <c r="C78" i="7"/>
  <c r="G77" i="7"/>
  <c r="C77" i="7"/>
  <c r="G76" i="7"/>
  <c r="C76" i="7"/>
  <c r="G75" i="7"/>
  <c r="C75" i="7"/>
  <c r="G74" i="7"/>
  <c r="C74" i="7"/>
  <c r="G73" i="7"/>
  <c r="C73" i="7"/>
  <c r="G72" i="7"/>
  <c r="C72" i="7"/>
  <c r="G71" i="7"/>
  <c r="C71" i="7"/>
  <c r="G70" i="7"/>
  <c r="C70" i="7"/>
  <c r="G69" i="7"/>
  <c r="C69" i="7"/>
  <c r="G68" i="7"/>
  <c r="C68" i="7"/>
  <c r="G67" i="7"/>
  <c r="C67" i="7"/>
  <c r="G66" i="7"/>
  <c r="C66" i="7"/>
  <c r="G65" i="7"/>
  <c r="C65" i="7"/>
  <c r="G64" i="7"/>
  <c r="C64" i="7"/>
  <c r="G63" i="7"/>
  <c r="C63" i="7"/>
  <c r="G62" i="7"/>
  <c r="C62" i="7"/>
  <c r="G61" i="7"/>
  <c r="C61" i="7"/>
  <c r="G60" i="7"/>
  <c r="C60" i="7"/>
  <c r="G59" i="7"/>
  <c r="C59" i="7"/>
  <c r="G58" i="7"/>
  <c r="C58" i="7"/>
  <c r="G57" i="7"/>
  <c r="C57" i="7"/>
  <c r="G56" i="7"/>
  <c r="C56" i="7"/>
  <c r="G55" i="7"/>
  <c r="C55" i="7"/>
  <c r="G54" i="7"/>
  <c r="C54" i="7"/>
  <c r="G53" i="7"/>
  <c r="C53" i="7"/>
  <c r="G52" i="7"/>
  <c r="C52" i="7"/>
  <c r="G51" i="7"/>
  <c r="C51" i="7"/>
  <c r="G50" i="7"/>
  <c r="C50" i="7"/>
  <c r="G49" i="7"/>
  <c r="C49" i="7"/>
  <c r="G48" i="7"/>
  <c r="C48" i="7"/>
  <c r="G47" i="7"/>
  <c r="C47" i="7"/>
  <c r="G46" i="7"/>
  <c r="C46" i="7"/>
  <c r="G45" i="7"/>
  <c r="C45" i="7"/>
  <c r="G44" i="7"/>
  <c r="C44" i="7"/>
  <c r="G43" i="7"/>
  <c r="C43" i="7"/>
  <c r="G42" i="7"/>
  <c r="C42" i="7"/>
  <c r="G41" i="7"/>
  <c r="C41" i="7"/>
  <c r="G40" i="7"/>
  <c r="C40" i="7"/>
  <c r="G39" i="7"/>
  <c r="C39" i="7"/>
  <c r="G38" i="7"/>
  <c r="C38" i="7"/>
  <c r="G37" i="7"/>
  <c r="C37" i="7"/>
  <c r="G36" i="7"/>
  <c r="C36" i="7"/>
  <c r="G35" i="7"/>
  <c r="C35" i="7"/>
  <c r="G34" i="7"/>
  <c r="C34" i="7"/>
  <c r="G33" i="7"/>
  <c r="C33" i="7"/>
  <c r="G32" i="7"/>
  <c r="C32" i="7"/>
  <c r="G31" i="7"/>
  <c r="C31" i="7"/>
  <c r="G30" i="7"/>
  <c r="C30" i="7"/>
  <c r="G29" i="7"/>
  <c r="C29" i="7"/>
  <c r="G28" i="7"/>
  <c r="C28" i="7"/>
  <c r="G27" i="7"/>
  <c r="C27" i="7"/>
  <c r="G26" i="7"/>
  <c r="C26" i="7"/>
  <c r="G25" i="7"/>
  <c r="C25" i="7"/>
  <c r="G24" i="7"/>
  <c r="C24" i="7"/>
  <c r="G23" i="7"/>
  <c r="C23" i="7"/>
  <c r="G22" i="7"/>
  <c r="C22" i="7"/>
  <c r="G21" i="7"/>
  <c r="C21" i="7"/>
  <c r="G20" i="7"/>
  <c r="C20" i="7"/>
  <c r="G19" i="7"/>
  <c r="C19" i="7"/>
  <c r="G18" i="7"/>
  <c r="C18" i="7"/>
  <c r="G17" i="7"/>
  <c r="C17" i="7"/>
  <c r="G16" i="7"/>
  <c r="C16" i="7"/>
  <c r="G15" i="7"/>
  <c r="C15" i="7"/>
  <c r="G14" i="7"/>
  <c r="C14" i="7"/>
  <c r="G13" i="7"/>
  <c r="C13" i="7"/>
  <c r="G12" i="7"/>
  <c r="C12" i="7"/>
  <c r="G11" i="7"/>
  <c r="C11" i="7"/>
  <c r="G10" i="7"/>
  <c r="C10" i="7"/>
  <c r="G9" i="7"/>
  <c r="C9" i="7"/>
  <c r="G8" i="7"/>
  <c r="C8" i="7"/>
  <c r="J12" i="7" s="1"/>
  <c r="G7" i="7"/>
  <c r="J13" i="7" s="1"/>
  <c r="C7" i="7"/>
  <c r="G6" i="7"/>
  <c r="C6" i="7"/>
  <c r="C9" i="6"/>
  <c r="I11" i="5"/>
  <c r="H11" i="5"/>
  <c r="G11" i="5"/>
  <c r="F11" i="5"/>
  <c r="E11" i="5"/>
  <c r="D11" i="5"/>
  <c r="I9" i="5"/>
  <c r="H9" i="5"/>
  <c r="G9" i="5"/>
  <c r="F9" i="5"/>
  <c r="E9" i="5"/>
  <c r="D9" i="5"/>
  <c r="C9" i="5"/>
  <c r="I8" i="5"/>
  <c r="H8" i="5"/>
  <c r="G8" i="5"/>
  <c r="F8" i="5"/>
  <c r="E8" i="5"/>
  <c r="D8" i="5"/>
  <c r="C8" i="5"/>
  <c r="I70" i="4"/>
  <c r="H70" i="4"/>
  <c r="G70" i="4"/>
  <c r="F70" i="4"/>
  <c r="E70" i="4"/>
  <c r="D70" i="4"/>
  <c r="C70" i="4"/>
  <c r="I68" i="4"/>
  <c r="H68" i="4"/>
  <c r="G68" i="4"/>
  <c r="F68" i="4"/>
  <c r="E68" i="4"/>
  <c r="D68" i="4"/>
  <c r="C68" i="4"/>
  <c r="I67" i="4"/>
  <c r="B13" i="9" s="1"/>
  <c r="K25" i="9" s="1"/>
  <c r="H67" i="4"/>
  <c r="G67" i="4"/>
  <c r="F67" i="4"/>
  <c r="E67" i="4"/>
  <c r="D67" i="4"/>
  <c r="C67" i="4"/>
  <c r="I66" i="4"/>
  <c r="H66" i="4"/>
  <c r="H83" i="4" s="1"/>
  <c r="G66" i="4"/>
  <c r="G83" i="4" s="1"/>
  <c r="F66" i="4"/>
  <c r="F83" i="4" s="1"/>
  <c r="E66" i="4"/>
  <c r="E83" i="4" s="1"/>
  <c r="D66" i="4"/>
  <c r="D83" i="4" s="1"/>
  <c r="C66" i="4"/>
  <c r="C83" i="4" s="1"/>
  <c r="I65" i="4"/>
  <c r="J65" i="4" s="1"/>
  <c r="K65" i="4" s="1"/>
  <c r="L65" i="4" s="1"/>
  <c r="M65" i="4" s="1"/>
  <c r="N65" i="4" s="1"/>
  <c r="H65" i="4"/>
  <c r="G65" i="4"/>
  <c r="F65" i="4"/>
  <c r="E65" i="4"/>
  <c r="D65" i="4"/>
  <c r="C65" i="4"/>
  <c r="I64" i="4"/>
  <c r="J64" i="4" s="1"/>
  <c r="K64" i="4" s="1"/>
  <c r="L64" i="4" s="1"/>
  <c r="M64" i="4" s="1"/>
  <c r="N64" i="4" s="1"/>
  <c r="H64" i="4"/>
  <c r="G64" i="4"/>
  <c r="F64" i="4"/>
  <c r="E64" i="4"/>
  <c r="D64" i="4"/>
  <c r="C64" i="4"/>
  <c r="I63" i="4"/>
  <c r="I82" i="4" s="1"/>
  <c r="H63" i="4"/>
  <c r="H82" i="4" s="1"/>
  <c r="G63" i="4"/>
  <c r="G82" i="4" s="1"/>
  <c r="F63" i="4"/>
  <c r="F82" i="4" s="1"/>
  <c r="E63" i="4"/>
  <c r="E82" i="4" s="1"/>
  <c r="D63" i="4"/>
  <c r="D82" i="4" s="1"/>
  <c r="C63" i="4"/>
  <c r="C82" i="4" s="1"/>
  <c r="I62" i="4"/>
  <c r="I81" i="4" s="1"/>
  <c r="H62" i="4"/>
  <c r="H81" i="4" s="1"/>
  <c r="G62" i="4"/>
  <c r="G81" i="4" s="1"/>
  <c r="F62" i="4"/>
  <c r="F81" i="4" s="1"/>
  <c r="E62" i="4"/>
  <c r="E81" i="4" s="1"/>
  <c r="D62" i="4"/>
  <c r="D81" i="4" s="1"/>
  <c r="C62" i="4"/>
  <c r="C81" i="4" s="1"/>
  <c r="I60" i="4"/>
  <c r="H60" i="4"/>
  <c r="G60" i="4"/>
  <c r="F60" i="4"/>
  <c r="E60" i="4"/>
  <c r="D60" i="4"/>
  <c r="C60" i="4"/>
  <c r="I59" i="4"/>
  <c r="J59" i="4" s="1"/>
  <c r="K59" i="4" s="1"/>
  <c r="L59" i="4" s="1"/>
  <c r="M59" i="4" s="1"/>
  <c r="N59" i="4" s="1"/>
  <c r="H59" i="4"/>
  <c r="G59" i="4"/>
  <c r="F59" i="4"/>
  <c r="E59" i="4"/>
  <c r="D59" i="4"/>
  <c r="C59" i="4"/>
  <c r="I58" i="4"/>
  <c r="J58" i="4" s="1"/>
  <c r="K58" i="4" s="1"/>
  <c r="L58" i="4" s="1"/>
  <c r="M58" i="4" s="1"/>
  <c r="N58" i="4" s="1"/>
  <c r="H58" i="4"/>
  <c r="G58" i="4"/>
  <c r="F58" i="4"/>
  <c r="E58" i="4"/>
  <c r="D58" i="4"/>
  <c r="C58" i="4"/>
  <c r="I57" i="4"/>
  <c r="J57" i="4" s="1"/>
  <c r="H57" i="4"/>
  <c r="G57" i="4"/>
  <c r="F57" i="4"/>
  <c r="E57" i="4"/>
  <c r="D57" i="4"/>
  <c r="C57" i="4"/>
  <c r="I56" i="4"/>
  <c r="I10" i="5" s="1"/>
  <c r="J7" i="5" s="1"/>
  <c r="H56" i="4"/>
  <c r="G56" i="4"/>
  <c r="G10" i="5" s="1"/>
  <c r="F56" i="4"/>
  <c r="F10" i="5" s="1"/>
  <c r="E56" i="4"/>
  <c r="F7" i="5" s="1"/>
  <c r="D56" i="4"/>
  <c r="D10" i="5" s="1"/>
  <c r="C56" i="4"/>
  <c r="D7" i="5" s="1"/>
  <c r="I52" i="4"/>
  <c r="H52" i="4"/>
  <c r="G52" i="4"/>
  <c r="F52" i="4"/>
  <c r="E52" i="4"/>
  <c r="D52" i="4"/>
  <c r="C52" i="4"/>
  <c r="I50" i="4"/>
  <c r="H50" i="4"/>
  <c r="G50" i="4"/>
  <c r="F50" i="4"/>
  <c r="E50" i="4"/>
  <c r="D50" i="4"/>
  <c r="C50" i="4"/>
  <c r="I49" i="4"/>
  <c r="H49" i="4"/>
  <c r="H87" i="4" s="1"/>
  <c r="G49" i="4"/>
  <c r="G87" i="4" s="1"/>
  <c r="F49" i="4"/>
  <c r="F87" i="4" s="1"/>
  <c r="E49" i="4"/>
  <c r="E87" i="4" s="1"/>
  <c r="D49" i="4"/>
  <c r="D87" i="4" s="1"/>
  <c r="C49" i="4"/>
  <c r="C87" i="4" s="1"/>
  <c r="I48" i="4"/>
  <c r="H48" i="4"/>
  <c r="H86" i="4" s="1"/>
  <c r="G48" i="4"/>
  <c r="G86" i="4" s="1"/>
  <c r="F48" i="4"/>
  <c r="F86" i="4" s="1"/>
  <c r="E48" i="4"/>
  <c r="E86" i="4" s="1"/>
  <c r="D48" i="4"/>
  <c r="D86" i="4" s="1"/>
  <c r="C48" i="4"/>
  <c r="C86" i="4" s="1"/>
  <c r="I47" i="4"/>
  <c r="I85" i="4" s="1"/>
  <c r="H47" i="4"/>
  <c r="H85" i="4" s="1"/>
  <c r="G47" i="4"/>
  <c r="G85" i="4" s="1"/>
  <c r="G88" i="4" s="1"/>
  <c r="F47" i="4"/>
  <c r="F85" i="4" s="1"/>
  <c r="E47" i="4"/>
  <c r="E85" i="4" s="1"/>
  <c r="D47" i="4"/>
  <c r="D85" i="4" s="1"/>
  <c r="C47" i="4"/>
  <c r="C85" i="4" s="1"/>
  <c r="I46" i="4"/>
  <c r="H46" i="4"/>
  <c r="G46" i="4"/>
  <c r="F46" i="4"/>
  <c r="E46" i="4"/>
  <c r="D46" i="4"/>
  <c r="C46" i="4"/>
  <c r="I44" i="4"/>
  <c r="H44" i="4"/>
  <c r="G44" i="4"/>
  <c r="F44" i="4"/>
  <c r="E44" i="4"/>
  <c r="D44" i="4"/>
  <c r="C44" i="4"/>
  <c r="I43" i="4"/>
  <c r="J43" i="4" s="1"/>
  <c r="K43" i="4" s="1"/>
  <c r="L43" i="4" s="1"/>
  <c r="M43" i="4" s="1"/>
  <c r="N43" i="4" s="1"/>
  <c r="H43" i="4"/>
  <c r="G43" i="4"/>
  <c r="F43" i="4"/>
  <c r="E43" i="4"/>
  <c r="D43" i="4"/>
  <c r="C43" i="4"/>
  <c r="I42" i="4"/>
  <c r="H42" i="4"/>
  <c r="G42" i="4"/>
  <c r="F42" i="4"/>
  <c r="E42" i="4"/>
  <c r="D42" i="4"/>
  <c r="C42" i="4"/>
  <c r="I41" i="4"/>
  <c r="J41" i="4" s="1"/>
  <c r="H41" i="4"/>
  <c r="G41" i="4"/>
  <c r="F41" i="4"/>
  <c r="E41" i="4"/>
  <c r="D41" i="4"/>
  <c r="C41" i="4"/>
  <c r="I40" i="4"/>
  <c r="H12" i="20" s="1"/>
  <c r="H26" i="20" s="1"/>
  <c r="H40" i="4"/>
  <c r="G40" i="4"/>
  <c r="F40" i="4"/>
  <c r="E40" i="4"/>
  <c r="D40" i="4"/>
  <c r="C40" i="4"/>
  <c r="I38" i="4"/>
  <c r="H38" i="4"/>
  <c r="G11" i="20" s="1"/>
  <c r="G25" i="20" s="1"/>
  <c r="G38" i="4"/>
  <c r="F11" i="20" s="1"/>
  <c r="F25" i="20" s="1"/>
  <c r="F38" i="4"/>
  <c r="E11" i="20" s="1"/>
  <c r="E25" i="20" s="1"/>
  <c r="E38" i="4"/>
  <c r="D11" i="20" s="1"/>
  <c r="D25" i="20" s="1"/>
  <c r="D38" i="4"/>
  <c r="C11" i="20" s="1"/>
  <c r="C25" i="20" s="1"/>
  <c r="C38" i="4"/>
  <c r="B11" i="20" s="1"/>
  <c r="B25" i="20" s="1"/>
  <c r="I37" i="4"/>
  <c r="H37" i="4"/>
  <c r="G37" i="4"/>
  <c r="F37" i="4"/>
  <c r="E37" i="4"/>
  <c r="D37" i="4"/>
  <c r="C37" i="4"/>
  <c r="I36" i="4"/>
  <c r="B11" i="9" s="1"/>
  <c r="H36" i="4"/>
  <c r="G36" i="4"/>
  <c r="F36" i="4"/>
  <c r="E36" i="4"/>
  <c r="D36" i="4"/>
  <c r="C36" i="4"/>
  <c r="N29" i="4"/>
  <c r="M29" i="4"/>
  <c r="L29" i="4"/>
  <c r="L19" i="2" s="1"/>
  <c r="L20" i="2" s="1"/>
  <c r="K29" i="4"/>
  <c r="K19" i="2" s="1"/>
  <c r="K20" i="2" s="1"/>
  <c r="J29" i="4"/>
  <c r="I29" i="4"/>
  <c r="H29" i="4"/>
  <c r="G29" i="4"/>
  <c r="F29" i="4"/>
  <c r="E29" i="4"/>
  <c r="D29" i="4"/>
  <c r="C29" i="4"/>
  <c r="I28" i="4"/>
  <c r="H28" i="4"/>
  <c r="G28" i="4"/>
  <c r="F28" i="4"/>
  <c r="E28" i="4"/>
  <c r="D28" i="4"/>
  <c r="C28" i="4"/>
  <c r="I25" i="4"/>
  <c r="H25" i="4"/>
  <c r="G25" i="4"/>
  <c r="F25" i="4"/>
  <c r="E25" i="4"/>
  <c r="D25" i="4"/>
  <c r="C25" i="4"/>
  <c r="I24" i="4"/>
  <c r="H24" i="4"/>
  <c r="G24" i="4"/>
  <c r="F24" i="4"/>
  <c r="E24" i="4"/>
  <c r="D24" i="4"/>
  <c r="C24" i="4"/>
  <c r="I23" i="4"/>
  <c r="I76" i="4" s="1"/>
  <c r="H23" i="4"/>
  <c r="H76" i="4" s="1"/>
  <c r="G23" i="4"/>
  <c r="G76" i="4" s="1"/>
  <c r="F23" i="4"/>
  <c r="F76" i="4" s="1"/>
  <c r="F79" i="4" s="1"/>
  <c r="E23" i="4"/>
  <c r="E76" i="4" s="1"/>
  <c r="D23" i="4"/>
  <c r="D76" i="4" s="1"/>
  <c r="C23" i="4"/>
  <c r="C76" i="4" s="1"/>
  <c r="N18" i="4"/>
  <c r="M18" i="4"/>
  <c r="L18" i="4"/>
  <c r="K18" i="4"/>
  <c r="J18" i="4"/>
  <c r="H53" i="3"/>
  <c r="G53" i="3"/>
  <c r="F53" i="3"/>
  <c r="E53" i="3"/>
  <c r="D53" i="3"/>
  <c r="C53" i="3"/>
  <c r="B53" i="3"/>
  <c r="H52" i="3"/>
  <c r="G52" i="3"/>
  <c r="F52" i="3"/>
  <c r="E52" i="3"/>
  <c r="D52" i="3"/>
  <c r="C52" i="3"/>
  <c r="B52" i="3"/>
  <c r="H50" i="3"/>
  <c r="H28" i="10" s="1"/>
  <c r="G50" i="3"/>
  <c r="G28" i="10" s="1"/>
  <c r="F50" i="3"/>
  <c r="F28" i="10" s="1"/>
  <c r="E50" i="3"/>
  <c r="E28" i="10" s="1"/>
  <c r="D50" i="3"/>
  <c r="D28" i="10" s="1"/>
  <c r="C50" i="3"/>
  <c r="C28" i="10" s="1"/>
  <c r="B50" i="3"/>
  <c r="B28" i="10" s="1"/>
  <c r="H48" i="3"/>
  <c r="H29" i="10" s="1"/>
  <c r="G48" i="3"/>
  <c r="G29" i="10" s="1"/>
  <c r="F48" i="3"/>
  <c r="F29" i="10" s="1"/>
  <c r="E48" i="3"/>
  <c r="E29" i="10" s="1"/>
  <c r="D48" i="3"/>
  <c r="D29" i="10" s="1"/>
  <c r="C48" i="3"/>
  <c r="C29" i="10" s="1"/>
  <c r="B48" i="3"/>
  <c r="B29" i="10" s="1"/>
  <c r="H46" i="3"/>
  <c r="H27" i="10" s="1"/>
  <c r="G46" i="3"/>
  <c r="G27" i="10" s="1"/>
  <c r="F46" i="3"/>
  <c r="F27" i="10" s="1"/>
  <c r="E46" i="3"/>
  <c r="E27" i="10" s="1"/>
  <c r="D46" i="3"/>
  <c r="D27" i="10" s="1"/>
  <c r="C46" i="3"/>
  <c r="C27" i="10" s="1"/>
  <c r="B46" i="3"/>
  <c r="B27" i="10" s="1"/>
  <c r="H40" i="3"/>
  <c r="G40" i="3"/>
  <c r="F40" i="3"/>
  <c r="E40" i="3"/>
  <c r="D40" i="3"/>
  <c r="C40" i="3"/>
  <c r="B40" i="3"/>
  <c r="H37" i="3"/>
  <c r="I17" i="4" s="1"/>
  <c r="I77" i="4" s="1"/>
  <c r="G37" i="3"/>
  <c r="H17" i="4" s="1"/>
  <c r="H77" i="4" s="1"/>
  <c r="F37" i="3"/>
  <c r="G17" i="4" s="1"/>
  <c r="G77" i="4" s="1"/>
  <c r="E37" i="3"/>
  <c r="F17" i="4" s="1"/>
  <c r="F77" i="4" s="1"/>
  <c r="D37" i="3"/>
  <c r="E17" i="4" s="1"/>
  <c r="E77" i="4" s="1"/>
  <c r="C37" i="3"/>
  <c r="D17" i="4" s="1"/>
  <c r="D77" i="4" s="1"/>
  <c r="B37" i="3"/>
  <c r="C17" i="4" s="1"/>
  <c r="C77" i="4" s="1"/>
  <c r="H36" i="3"/>
  <c r="I18" i="4" s="1"/>
  <c r="G36" i="3"/>
  <c r="H18" i="4" s="1"/>
  <c r="H78" i="4" s="1"/>
  <c r="F36" i="3"/>
  <c r="G18" i="4" s="1"/>
  <c r="G78" i="4" s="1"/>
  <c r="E36" i="3"/>
  <c r="F18" i="4" s="1"/>
  <c r="F78" i="4" s="1"/>
  <c r="D36" i="3"/>
  <c r="E18" i="4" s="1"/>
  <c r="E78" i="4" s="1"/>
  <c r="C36" i="3"/>
  <c r="D18" i="4" s="1"/>
  <c r="D78" i="4" s="1"/>
  <c r="B36" i="3"/>
  <c r="C18" i="4" s="1"/>
  <c r="C78" i="4" s="1"/>
  <c r="C79" i="4" s="1"/>
  <c r="H31" i="3"/>
  <c r="G31" i="3"/>
  <c r="G34" i="3" s="1"/>
  <c r="H11" i="4" s="1"/>
  <c r="F31" i="3"/>
  <c r="F34" i="3" s="1"/>
  <c r="G11" i="4" s="1"/>
  <c r="E31" i="3"/>
  <c r="E34" i="3" s="1"/>
  <c r="F11" i="4" s="1"/>
  <c r="D31" i="3"/>
  <c r="D34" i="3" s="1"/>
  <c r="E11" i="4" s="1"/>
  <c r="C31" i="3"/>
  <c r="C34" i="3" s="1"/>
  <c r="D11" i="4" s="1"/>
  <c r="B31" i="3"/>
  <c r="B34" i="3" s="1"/>
  <c r="C11" i="4" s="1"/>
  <c r="H25" i="3"/>
  <c r="H29" i="3" s="1"/>
  <c r="I10" i="4" s="1"/>
  <c r="G25" i="3"/>
  <c r="F25" i="3"/>
  <c r="F29" i="3" s="1"/>
  <c r="G10" i="4" s="1"/>
  <c r="E25" i="3"/>
  <c r="E29" i="3" s="1"/>
  <c r="F10" i="4" s="1"/>
  <c r="D25" i="3"/>
  <c r="D29" i="3" s="1"/>
  <c r="E10" i="4" s="1"/>
  <c r="C25" i="3"/>
  <c r="C29" i="3" s="1"/>
  <c r="D10" i="4" s="1"/>
  <c r="B25" i="3"/>
  <c r="B29" i="3" s="1"/>
  <c r="C10" i="4" s="1"/>
  <c r="H18" i="3"/>
  <c r="G18" i="3"/>
  <c r="F18" i="3"/>
  <c r="E18" i="3"/>
  <c r="D18" i="3"/>
  <c r="C18" i="3"/>
  <c r="B18" i="3"/>
  <c r="H17" i="3"/>
  <c r="G17" i="3"/>
  <c r="F17" i="3"/>
  <c r="E17" i="3"/>
  <c r="D17" i="3"/>
  <c r="C17" i="3"/>
  <c r="B17" i="3"/>
  <c r="H13" i="3"/>
  <c r="G13" i="3"/>
  <c r="F13" i="3"/>
  <c r="G8" i="4" s="1"/>
  <c r="E13" i="3"/>
  <c r="F8" i="4" s="1"/>
  <c r="D13" i="3"/>
  <c r="E8" i="4" s="1"/>
  <c r="C13" i="3"/>
  <c r="D8" i="4" s="1"/>
  <c r="B13" i="3"/>
  <c r="H10" i="3"/>
  <c r="G10" i="3"/>
  <c r="F10" i="3"/>
  <c r="E10" i="3"/>
  <c r="D10" i="3"/>
  <c r="E7" i="4" s="1"/>
  <c r="C10" i="3"/>
  <c r="B10" i="3"/>
  <c r="C7" i="4" s="1"/>
  <c r="I22" i="2"/>
  <c r="H22" i="2"/>
  <c r="G22" i="2"/>
  <c r="F22" i="2"/>
  <c r="E22" i="2"/>
  <c r="D22" i="2"/>
  <c r="C22" i="2"/>
  <c r="I21" i="2"/>
  <c r="H21" i="2"/>
  <c r="G21" i="2"/>
  <c r="F21" i="2"/>
  <c r="E21" i="2"/>
  <c r="D21" i="2"/>
  <c r="C21" i="2"/>
  <c r="I20" i="2"/>
  <c r="H20" i="2"/>
  <c r="G20" i="2"/>
  <c r="F20" i="2"/>
  <c r="E20" i="2"/>
  <c r="D20" i="2"/>
  <c r="C20" i="2"/>
  <c r="I19" i="2"/>
  <c r="H19" i="2"/>
  <c r="G19" i="2"/>
  <c r="F19" i="2"/>
  <c r="E19" i="2"/>
  <c r="D19" i="2"/>
  <c r="C19" i="2"/>
  <c r="I17" i="2"/>
  <c r="H17" i="2"/>
  <c r="G17" i="2"/>
  <c r="F17" i="2"/>
  <c r="E17" i="2"/>
  <c r="D17" i="2"/>
  <c r="C17" i="2"/>
  <c r="I16" i="2"/>
  <c r="H16" i="2"/>
  <c r="G16" i="2"/>
  <c r="F16" i="2"/>
  <c r="E16" i="2"/>
  <c r="D16" i="2"/>
  <c r="C16" i="2"/>
  <c r="I15" i="2"/>
  <c r="H15" i="2"/>
  <c r="G15" i="2"/>
  <c r="F15" i="2"/>
  <c r="E15" i="2"/>
  <c r="D15" i="2"/>
  <c r="C15" i="2"/>
  <c r="I13" i="2"/>
  <c r="H13" i="2"/>
  <c r="G13" i="2"/>
  <c r="F13" i="2"/>
  <c r="E13" i="2"/>
  <c r="D13" i="2"/>
  <c r="C13" i="2"/>
  <c r="I12" i="2"/>
  <c r="H12" i="2"/>
  <c r="G12" i="2"/>
  <c r="F12" i="2"/>
  <c r="E12" i="2"/>
  <c r="D12" i="2"/>
  <c r="I11" i="2"/>
  <c r="H11" i="2"/>
  <c r="G11" i="2"/>
  <c r="F11" i="2"/>
  <c r="E11" i="2"/>
  <c r="D11" i="2"/>
  <c r="I10" i="2"/>
  <c r="H10" i="2"/>
  <c r="G10" i="2"/>
  <c r="F10" i="2"/>
  <c r="E10" i="2"/>
  <c r="D10" i="2"/>
  <c r="I9" i="2"/>
  <c r="H9" i="2"/>
  <c r="G9" i="2"/>
  <c r="F9" i="2"/>
  <c r="E9" i="2"/>
  <c r="D9" i="2"/>
  <c r="C9" i="2"/>
  <c r="I8" i="2"/>
  <c r="H8" i="2"/>
  <c r="G8" i="2"/>
  <c r="F8" i="2"/>
  <c r="E8" i="2"/>
  <c r="D8" i="2"/>
  <c r="C8" i="2"/>
  <c r="I7" i="2"/>
  <c r="H7" i="2"/>
  <c r="G7" i="2"/>
  <c r="F7" i="2"/>
  <c r="E7" i="2"/>
  <c r="D7" i="2"/>
  <c r="C7" i="2"/>
  <c r="J5" i="2"/>
  <c r="I5" i="2"/>
  <c r="H5" i="2"/>
  <c r="G5" i="2"/>
  <c r="F5" i="2"/>
  <c r="E5" i="2"/>
  <c r="D5" i="2"/>
  <c r="C5" i="2"/>
  <c r="G12" i="20" l="1"/>
  <c r="G26" i="20" s="1"/>
  <c r="G27" i="20" s="1"/>
  <c r="G29" i="20" s="1"/>
  <c r="G79" i="4"/>
  <c r="H79" i="4"/>
  <c r="C88" i="4"/>
  <c r="E12" i="20"/>
  <c r="E26" i="20" s="1"/>
  <c r="E27" i="20" s="1"/>
  <c r="E28" i="20" s="1"/>
  <c r="D88" i="4"/>
  <c r="F84" i="4"/>
  <c r="B12" i="20"/>
  <c r="B26" i="20" s="1"/>
  <c r="C12" i="20"/>
  <c r="C26" i="20" s="1"/>
  <c r="C27" i="20" s="1"/>
  <c r="D84" i="4"/>
  <c r="D12" i="20"/>
  <c r="D26" i="20" s="1"/>
  <c r="D79" i="4"/>
  <c r="F12" i="20"/>
  <c r="F26" i="20" s="1"/>
  <c r="F27" i="20" s="1"/>
  <c r="E88" i="4"/>
  <c r="G84" i="4"/>
  <c r="G89" i="4" s="1"/>
  <c r="C84" i="4"/>
  <c r="J49" i="4"/>
  <c r="I87" i="4"/>
  <c r="B6" i="8"/>
  <c r="H11" i="20"/>
  <c r="H25" i="20" s="1"/>
  <c r="H27" i="20" s="1"/>
  <c r="H28" i="20" s="1"/>
  <c r="H88" i="4"/>
  <c r="E84" i="4"/>
  <c r="E79" i="4"/>
  <c r="F88" i="4"/>
  <c r="H84" i="4"/>
  <c r="B22" i="9"/>
  <c r="F22" i="9"/>
  <c r="E22" i="9"/>
  <c r="D22" i="9"/>
  <c r="B19" i="10"/>
  <c r="K9" i="2"/>
  <c r="K78" i="4"/>
  <c r="J48" i="4"/>
  <c r="J86" i="4" s="1"/>
  <c r="I86" i="4"/>
  <c r="I88" i="4" s="1"/>
  <c r="J9" i="2"/>
  <c r="J78" i="4"/>
  <c r="L9" i="2"/>
  <c r="L78" i="4"/>
  <c r="N9" i="2"/>
  <c r="N78" i="4"/>
  <c r="J66" i="4"/>
  <c r="J83" i="4" s="1"/>
  <c r="I83" i="4"/>
  <c r="I84" i="4" s="1"/>
  <c r="M9" i="2"/>
  <c r="M78" i="4"/>
  <c r="D20" i="10"/>
  <c r="B19" i="8"/>
  <c r="B21" i="8" s="1"/>
  <c r="B22" i="20" s="1"/>
  <c r="I78" i="4"/>
  <c r="I79" i="4" s="1"/>
  <c r="F29" i="9"/>
  <c r="H32" i="10"/>
  <c r="C20" i="10"/>
  <c r="E10" i="5"/>
  <c r="H31" i="10"/>
  <c r="B20" i="10"/>
  <c r="D32" i="10"/>
  <c r="K30" i="9"/>
  <c r="K31" i="9" s="1"/>
  <c r="K27" i="9"/>
  <c r="B15" i="10"/>
  <c r="B13" i="10"/>
  <c r="B7" i="10"/>
  <c r="C19" i="10"/>
  <c r="D24" i="10"/>
  <c r="D23" i="10"/>
  <c r="C32" i="10"/>
  <c r="G31" i="10"/>
  <c r="C10" i="5"/>
  <c r="C6" i="10"/>
  <c r="D13" i="10"/>
  <c r="D15" i="10"/>
  <c r="E19" i="10"/>
  <c r="D7" i="10"/>
  <c r="F23" i="10"/>
  <c r="F24" i="10"/>
  <c r="E32" i="10"/>
  <c r="E15" i="10"/>
  <c r="E13" i="10"/>
  <c r="D6" i="10"/>
  <c r="F19" i="10"/>
  <c r="E7" i="10"/>
  <c r="G23" i="10"/>
  <c r="G24" i="10"/>
  <c r="E20" i="10"/>
  <c r="F32" i="10"/>
  <c r="B31" i="10"/>
  <c r="F15" i="10"/>
  <c r="E6" i="10"/>
  <c r="F13" i="10"/>
  <c r="G19" i="10"/>
  <c r="F7" i="10"/>
  <c r="B10" i="11"/>
  <c r="H24" i="10"/>
  <c r="H23" i="10"/>
  <c r="F20" i="10"/>
  <c r="G32" i="10"/>
  <c r="C31" i="10"/>
  <c r="B5" i="8"/>
  <c r="C15" i="10"/>
  <c r="C13" i="10"/>
  <c r="E24" i="10"/>
  <c r="E23" i="10"/>
  <c r="G13" i="10"/>
  <c r="G15" i="10"/>
  <c r="F6" i="10"/>
  <c r="B9" i="11"/>
  <c r="H19" i="10"/>
  <c r="B13" i="11" s="1"/>
  <c r="G7" i="10"/>
  <c r="G20" i="10"/>
  <c r="D31" i="10"/>
  <c r="D19" i="10"/>
  <c r="B8" i="11"/>
  <c r="H13" i="10"/>
  <c r="G6" i="10"/>
  <c r="H15" i="10"/>
  <c r="B12" i="11" s="1"/>
  <c r="B24" i="10"/>
  <c r="B23" i="10"/>
  <c r="H20" i="10"/>
  <c r="B14" i="11" s="1"/>
  <c r="E31" i="10"/>
  <c r="C24" i="10"/>
  <c r="C23" i="10"/>
  <c r="B32" i="10"/>
  <c r="F31" i="10"/>
  <c r="I7" i="4"/>
  <c r="I26" i="4" s="1"/>
  <c r="I10" i="3"/>
  <c r="J10" i="3" s="1"/>
  <c r="K10" i="3" s="1"/>
  <c r="L10" i="3" s="1"/>
  <c r="M10" i="3" s="1"/>
  <c r="D19" i="3"/>
  <c r="D20" i="3" s="1"/>
  <c r="N19" i="2"/>
  <c r="N20" i="2" s="1"/>
  <c r="M24" i="10"/>
  <c r="G10" i="11"/>
  <c r="J19" i="2"/>
  <c r="J20" i="2" s="1"/>
  <c r="I24" i="10"/>
  <c r="C10" i="11"/>
  <c r="J24" i="10"/>
  <c r="D10" i="11"/>
  <c r="B14" i="10"/>
  <c r="B30" i="10"/>
  <c r="E5" i="5"/>
  <c r="E13" i="5" s="1"/>
  <c r="D30" i="10"/>
  <c r="D14" i="10"/>
  <c r="E10" i="11"/>
  <c r="K24" i="10"/>
  <c r="M19" i="2"/>
  <c r="M20" i="2" s="1"/>
  <c r="F10" i="11"/>
  <c r="L24" i="10"/>
  <c r="B35" i="9"/>
  <c r="J6" i="7"/>
  <c r="H14" i="3"/>
  <c r="B19" i="3"/>
  <c r="B22" i="3" s="1"/>
  <c r="C9" i="4" s="1"/>
  <c r="C12" i="4" s="1"/>
  <c r="H19" i="3"/>
  <c r="H22" i="3" s="1"/>
  <c r="I9" i="4" s="1"/>
  <c r="F19" i="3"/>
  <c r="F20" i="3" s="1"/>
  <c r="C14" i="3"/>
  <c r="C26" i="3"/>
  <c r="B32" i="3"/>
  <c r="D7" i="4"/>
  <c r="D5" i="5" s="1"/>
  <c r="D13" i="5" s="1"/>
  <c r="C11" i="3"/>
  <c r="B14" i="3"/>
  <c r="C19" i="3"/>
  <c r="G26" i="3"/>
  <c r="D32" i="3"/>
  <c r="G14" i="3"/>
  <c r="D11" i="3"/>
  <c r="H26" i="3"/>
  <c r="I41" i="3"/>
  <c r="F14" i="3"/>
  <c r="G19" i="3"/>
  <c r="G22" i="3" s="1"/>
  <c r="H9" i="4" s="1"/>
  <c r="D26" i="3"/>
  <c r="H11" i="3"/>
  <c r="B26" i="3"/>
  <c r="K57" i="4"/>
  <c r="J16" i="2"/>
  <c r="G7" i="5"/>
  <c r="H7" i="5"/>
  <c r="K41" i="4"/>
  <c r="J44" i="4"/>
  <c r="E11" i="3"/>
  <c r="E32" i="3"/>
  <c r="F7" i="4"/>
  <c r="H32" i="3"/>
  <c r="H34" i="3"/>
  <c r="I11" i="4" s="1"/>
  <c r="I49" i="3"/>
  <c r="J49" i="3" s="1"/>
  <c r="J9" i="5"/>
  <c r="J12" i="5" s="1"/>
  <c r="G11" i="3"/>
  <c r="F11" i="3"/>
  <c r="C32" i="3"/>
  <c r="E7" i="5"/>
  <c r="F26" i="3"/>
  <c r="G7" i="4"/>
  <c r="H10" i="5"/>
  <c r="I7" i="5"/>
  <c r="E14" i="3"/>
  <c r="E26" i="3"/>
  <c r="I51" i="3"/>
  <c r="H7" i="4"/>
  <c r="H8" i="4"/>
  <c r="D14" i="3"/>
  <c r="G29" i="3"/>
  <c r="H10" i="4" s="1"/>
  <c r="G32" i="3"/>
  <c r="I8" i="4"/>
  <c r="E26" i="4"/>
  <c r="C5" i="5"/>
  <c r="C13" i="5" s="1"/>
  <c r="C8" i="4"/>
  <c r="F32" i="3"/>
  <c r="I52" i="3"/>
  <c r="C26" i="4"/>
  <c r="E19" i="3"/>
  <c r="I47" i="3"/>
  <c r="J47" i="3" s="1"/>
  <c r="G28" i="20" l="1"/>
  <c r="C89" i="4"/>
  <c r="C29" i="20"/>
  <c r="C28" i="20"/>
  <c r="F89" i="4"/>
  <c r="F29" i="20"/>
  <c r="F28" i="20"/>
  <c r="E89" i="4"/>
  <c r="K49" i="4"/>
  <c r="J87" i="4"/>
  <c r="I89" i="4"/>
  <c r="H29" i="20"/>
  <c r="H30" i="20" s="1"/>
  <c r="G30" i="20"/>
  <c r="C25" i="8"/>
  <c r="H89" i="4"/>
  <c r="B27" i="20"/>
  <c r="B28" i="20" s="1"/>
  <c r="D89" i="4"/>
  <c r="E29" i="20"/>
  <c r="E30" i="20" s="1"/>
  <c r="D27" i="20"/>
  <c r="D28" i="20" s="1"/>
  <c r="K66" i="4"/>
  <c r="K83" i="4" s="1"/>
  <c r="K48" i="4"/>
  <c r="K86" i="4" s="1"/>
  <c r="I5" i="5"/>
  <c r="I13" i="5" s="1"/>
  <c r="H14" i="10"/>
  <c r="H30" i="10"/>
  <c r="I37" i="3"/>
  <c r="J17" i="4" s="1"/>
  <c r="B24" i="9"/>
  <c r="B12" i="9"/>
  <c r="K24" i="9" s="1"/>
  <c r="B10" i="8"/>
  <c r="B7" i="8"/>
  <c r="B20" i="3"/>
  <c r="D22" i="3"/>
  <c r="E9" i="4" s="1"/>
  <c r="E12" i="4" s="1"/>
  <c r="E14" i="4" s="1"/>
  <c r="D10" i="10" s="1"/>
  <c r="I12" i="4"/>
  <c r="I14" i="4" s="1"/>
  <c r="D26" i="4"/>
  <c r="H20" i="3"/>
  <c r="J7" i="4"/>
  <c r="J62" i="4" s="1"/>
  <c r="J81" i="4" s="1"/>
  <c r="E30" i="10"/>
  <c r="E14" i="10"/>
  <c r="F30" i="10"/>
  <c r="F14" i="10"/>
  <c r="C14" i="10"/>
  <c r="C30" i="10"/>
  <c r="G30" i="10"/>
  <c r="G14" i="10"/>
  <c r="F22" i="3"/>
  <c r="G9" i="4" s="1"/>
  <c r="G12" i="4" s="1"/>
  <c r="G14" i="4" s="1"/>
  <c r="G20" i="3"/>
  <c r="J41" i="3"/>
  <c r="K41" i="3" s="1"/>
  <c r="I33" i="3"/>
  <c r="I34" i="3" s="1"/>
  <c r="J11" i="4" s="1"/>
  <c r="J51" i="3"/>
  <c r="K51" i="3" s="1"/>
  <c r="L51" i="3" s="1"/>
  <c r="C22" i="3"/>
  <c r="D9" i="4" s="1"/>
  <c r="D12" i="4" s="1"/>
  <c r="D14" i="4" s="1"/>
  <c r="C20" i="3"/>
  <c r="C14" i="4"/>
  <c r="L57" i="4"/>
  <c r="K16" i="2"/>
  <c r="K49" i="3"/>
  <c r="L49" i="3" s="1"/>
  <c r="H5" i="5"/>
  <c r="H13" i="5" s="1"/>
  <c r="E20" i="3"/>
  <c r="E22" i="3"/>
  <c r="F9" i="4" s="1"/>
  <c r="F12" i="4" s="1"/>
  <c r="F14" i="4" s="1"/>
  <c r="G5" i="5"/>
  <c r="G13" i="5" s="1"/>
  <c r="H26" i="4"/>
  <c r="H12" i="4"/>
  <c r="H14" i="4" s="1"/>
  <c r="K47" i="3"/>
  <c r="L41" i="4"/>
  <c r="K44" i="4"/>
  <c r="G26" i="4"/>
  <c r="J52" i="3"/>
  <c r="K52" i="3" s="1"/>
  <c r="K7" i="4"/>
  <c r="I27" i="3"/>
  <c r="I29" i="3" s="1"/>
  <c r="J10" i="4" s="1"/>
  <c r="F5" i="5"/>
  <c r="F13" i="5" s="1"/>
  <c r="F26" i="4"/>
  <c r="I15" i="3"/>
  <c r="F30" i="20" l="1"/>
  <c r="C30" i="20"/>
  <c r="L49" i="4"/>
  <c r="K87" i="4"/>
  <c r="B29" i="20"/>
  <c r="B30" i="20" s="1"/>
  <c r="D29" i="20"/>
  <c r="D30" i="20" s="1"/>
  <c r="J84" i="4"/>
  <c r="L48" i="4"/>
  <c r="L86" i="4" s="1"/>
  <c r="L66" i="4"/>
  <c r="L83" i="4" s="1"/>
  <c r="J8" i="2"/>
  <c r="J77" i="4"/>
  <c r="B8" i="8"/>
  <c r="B25" i="8" s="1"/>
  <c r="D25" i="8" s="1"/>
  <c r="B9" i="8"/>
  <c r="B26" i="8" s="1"/>
  <c r="D26" i="8" s="1"/>
  <c r="E20" i="4"/>
  <c r="E15" i="4"/>
  <c r="J15" i="3"/>
  <c r="J13" i="3" s="1"/>
  <c r="K8" i="4" s="1"/>
  <c r="I13" i="3"/>
  <c r="C5" i="10"/>
  <c r="J47" i="4"/>
  <c r="J85" i="4" s="1"/>
  <c r="J88" i="4" s="1"/>
  <c r="J5" i="5"/>
  <c r="J8" i="5" s="1"/>
  <c r="B25" i="9" s="1"/>
  <c r="J63" i="4"/>
  <c r="J82" i="4" s="1"/>
  <c r="C20" i="4"/>
  <c r="B5" i="20" s="1"/>
  <c r="B7" i="20" s="1"/>
  <c r="B10" i="10"/>
  <c r="D5" i="10"/>
  <c r="E10" i="10"/>
  <c r="E5" i="10"/>
  <c r="F10" i="10"/>
  <c r="I20" i="4"/>
  <c r="H10" i="10"/>
  <c r="G5" i="10"/>
  <c r="B6" i="11"/>
  <c r="D20" i="4"/>
  <c r="C5" i="20" s="1"/>
  <c r="C7" i="20" s="1"/>
  <c r="C10" i="10"/>
  <c r="F5" i="10"/>
  <c r="G10" i="10"/>
  <c r="I15" i="4"/>
  <c r="B7" i="11" s="1"/>
  <c r="D15" i="4"/>
  <c r="L41" i="3"/>
  <c r="M41" i="3" s="1"/>
  <c r="J33" i="3"/>
  <c r="J34" i="3" s="1"/>
  <c r="K11" i="4" s="1"/>
  <c r="K47" i="4"/>
  <c r="K85" i="4" s="1"/>
  <c r="K15" i="3"/>
  <c r="K13" i="3" s="1"/>
  <c r="L8" i="4" s="1"/>
  <c r="C15" i="4"/>
  <c r="K62" i="4"/>
  <c r="K81" i="4" s="1"/>
  <c r="L16" i="2"/>
  <c r="M57" i="4"/>
  <c r="F15" i="4"/>
  <c r="F20" i="4"/>
  <c r="H20" i="4"/>
  <c r="H15" i="4"/>
  <c r="K5" i="5"/>
  <c r="K8" i="5" s="1"/>
  <c r="C25" i="9" s="1"/>
  <c r="L7" i="4"/>
  <c r="G15" i="4"/>
  <c r="G20" i="4"/>
  <c r="L47" i="3"/>
  <c r="I21" i="3"/>
  <c r="M49" i="3"/>
  <c r="L52" i="3"/>
  <c r="M52" i="3" s="1"/>
  <c r="J8" i="4"/>
  <c r="J27" i="3"/>
  <c r="M41" i="4"/>
  <c r="L44" i="4"/>
  <c r="M51" i="3"/>
  <c r="J10" i="2"/>
  <c r="K63" i="4"/>
  <c r="K82" i="4" s="1"/>
  <c r="C32" i="20" l="1"/>
  <c r="J89" i="4"/>
  <c r="K84" i="4"/>
  <c r="E5" i="20"/>
  <c r="E7" i="20" s="1"/>
  <c r="E32" i="20" s="1"/>
  <c r="D4" i="10"/>
  <c r="B32" i="20"/>
  <c r="G4" i="10"/>
  <c r="H5" i="20"/>
  <c r="H7" i="20" s="1"/>
  <c r="H32" i="20" s="1"/>
  <c r="F5" i="20"/>
  <c r="F7" i="20" s="1"/>
  <c r="F32" i="20" s="1"/>
  <c r="E4" i="10"/>
  <c r="D16" i="10"/>
  <c r="C4" i="10"/>
  <c r="D5" i="20"/>
  <c r="D7" i="20" s="1"/>
  <c r="D32" i="20" s="1"/>
  <c r="M49" i="4"/>
  <c r="L87" i="4"/>
  <c r="G5" i="20"/>
  <c r="G7" i="20" s="1"/>
  <c r="G32" i="20" s="1"/>
  <c r="F4" i="10"/>
  <c r="K88" i="4"/>
  <c r="J12" i="2"/>
  <c r="K10" i="2"/>
  <c r="M66" i="4"/>
  <c r="M83" i="4" s="1"/>
  <c r="J11" i="2"/>
  <c r="M48" i="4"/>
  <c r="M86" i="4" s="1"/>
  <c r="J10" i="5"/>
  <c r="J56" i="4" s="1"/>
  <c r="J60" i="4" s="1"/>
  <c r="D33" i="10"/>
  <c r="D11" i="10"/>
  <c r="D12" i="10"/>
  <c r="E21" i="4"/>
  <c r="K12" i="2"/>
  <c r="D27" i="8"/>
  <c r="B6" i="9" s="1"/>
  <c r="J15" i="2"/>
  <c r="J17" i="2" s="1"/>
  <c r="J13" i="5"/>
  <c r="J50" i="4"/>
  <c r="K50" i="4"/>
  <c r="G21" i="4"/>
  <c r="F33" i="10"/>
  <c r="F16" i="10"/>
  <c r="F11" i="10"/>
  <c r="F12" i="10"/>
  <c r="D21" i="4"/>
  <c r="C12" i="10"/>
  <c r="C33" i="10"/>
  <c r="C16" i="10"/>
  <c r="C11" i="10"/>
  <c r="F21" i="4"/>
  <c r="E16" i="10"/>
  <c r="E11" i="10"/>
  <c r="E33" i="10"/>
  <c r="E12" i="10"/>
  <c r="L63" i="4"/>
  <c r="L82" i="4" s="1"/>
  <c r="I21" i="4"/>
  <c r="B5" i="11" s="1"/>
  <c r="B4" i="11"/>
  <c r="H33" i="10"/>
  <c r="H16" i="10"/>
  <c r="B11" i="11" s="1"/>
  <c r="H11" i="10"/>
  <c r="H12" i="10"/>
  <c r="L15" i="3"/>
  <c r="M15" i="3" s="1"/>
  <c r="H21" i="4"/>
  <c r="G33" i="10"/>
  <c r="G16" i="10"/>
  <c r="G11" i="10"/>
  <c r="G12" i="10"/>
  <c r="C21" i="4"/>
  <c r="B33" i="10"/>
  <c r="B12" i="10"/>
  <c r="B16" i="10"/>
  <c r="B11" i="10"/>
  <c r="K33" i="3"/>
  <c r="L33" i="3" s="1"/>
  <c r="L34" i="3" s="1"/>
  <c r="M11" i="4" s="1"/>
  <c r="L47" i="4"/>
  <c r="L85" i="4" s="1"/>
  <c r="M16" i="2"/>
  <c r="N57" i="4"/>
  <c r="N16" i="2" s="1"/>
  <c r="K15" i="2"/>
  <c r="K17" i="2" s="1"/>
  <c r="K13" i="5"/>
  <c r="M44" i="4"/>
  <c r="N41" i="4"/>
  <c r="N44" i="4" s="1"/>
  <c r="J29" i="3"/>
  <c r="K10" i="4" s="1"/>
  <c r="K27" i="3"/>
  <c r="L5" i="5"/>
  <c r="L8" i="5" s="1"/>
  <c r="D25" i="9" s="1"/>
  <c r="I22" i="3"/>
  <c r="J9" i="4" s="1"/>
  <c r="J12" i="4" s="1"/>
  <c r="J14" i="4" s="1"/>
  <c r="J21" i="3"/>
  <c r="J22" i="3" s="1"/>
  <c r="K9" i="4" s="1"/>
  <c r="L62" i="4"/>
  <c r="L81" i="4" s="1"/>
  <c r="M7" i="4"/>
  <c r="K11" i="2"/>
  <c r="M47" i="3"/>
  <c r="L84" i="4" l="1"/>
  <c r="K89" i="4"/>
  <c r="L88" i="4"/>
  <c r="N49" i="4"/>
  <c r="N87" i="4" s="1"/>
  <c r="M87" i="4"/>
  <c r="K7" i="5"/>
  <c r="K9" i="5" s="1"/>
  <c r="K12" i="5" s="1"/>
  <c r="B26" i="9"/>
  <c r="L11" i="2"/>
  <c r="L12" i="2"/>
  <c r="N66" i="4"/>
  <c r="N83" i="4" s="1"/>
  <c r="N48" i="4"/>
  <c r="N86" i="4" s="1"/>
  <c r="C28" i="9"/>
  <c r="C30" i="9" s="1"/>
  <c r="D28" i="9"/>
  <c r="D30" i="9" s="1"/>
  <c r="G28" i="9"/>
  <c r="G30" i="9" s="1"/>
  <c r="F28" i="9"/>
  <c r="F30" i="9" s="1"/>
  <c r="E28" i="9"/>
  <c r="E30" i="9" s="1"/>
  <c r="B28" i="9"/>
  <c r="B30" i="9" s="1"/>
  <c r="L50" i="4"/>
  <c r="K34" i="3"/>
  <c r="L11" i="4" s="1"/>
  <c r="L13" i="3"/>
  <c r="M8" i="4" s="1"/>
  <c r="M33" i="3"/>
  <c r="M34" i="3" s="1"/>
  <c r="N11" i="4" s="1"/>
  <c r="M62" i="4"/>
  <c r="M81" i="4" s="1"/>
  <c r="H5" i="10"/>
  <c r="I10" i="10"/>
  <c r="C6" i="11"/>
  <c r="L27" i="3"/>
  <c r="L29" i="3" s="1"/>
  <c r="M10" i="4" s="1"/>
  <c r="K29" i="3"/>
  <c r="L10" i="4" s="1"/>
  <c r="L10" i="2"/>
  <c r="N7" i="4"/>
  <c r="K12" i="4"/>
  <c r="K14" i="4" s="1"/>
  <c r="L13" i="5"/>
  <c r="L15" i="2"/>
  <c r="L17" i="2" s="1"/>
  <c r="M13" i="3"/>
  <c r="N8" i="4" s="1"/>
  <c r="J15" i="4"/>
  <c r="C7" i="11" s="1"/>
  <c r="J20" i="4"/>
  <c r="H4" i="10" s="1"/>
  <c r="M5" i="5"/>
  <c r="M8" i="5" s="1"/>
  <c r="E25" i="9" s="1"/>
  <c r="M63" i="4"/>
  <c r="M82" i="4" s="1"/>
  <c r="M47" i="4"/>
  <c r="M85" i="4" s="1"/>
  <c r="K21" i="3"/>
  <c r="L21" i="3" s="1"/>
  <c r="L22" i="3" s="1"/>
  <c r="M9" i="4" s="1"/>
  <c r="L89" i="4" l="1"/>
  <c r="D26" i="9" s="1"/>
  <c r="M84" i="4"/>
  <c r="M88" i="4"/>
  <c r="C26" i="9"/>
  <c r="M10" i="2"/>
  <c r="K10" i="5"/>
  <c r="L7" i="5" s="1"/>
  <c r="J10" i="10"/>
  <c r="D6" i="11"/>
  <c r="I5" i="10"/>
  <c r="C4" i="11"/>
  <c r="I11" i="10"/>
  <c r="I33" i="10"/>
  <c r="I12" i="10"/>
  <c r="B21" i="9"/>
  <c r="B23" i="9" s="1"/>
  <c r="J37" i="3"/>
  <c r="K17" i="4" s="1"/>
  <c r="C24" i="9"/>
  <c r="M12" i="4"/>
  <c r="M14" i="4" s="1"/>
  <c r="M27" i="3"/>
  <c r="M29" i="3" s="1"/>
  <c r="N10" i="4" s="1"/>
  <c r="N5" i="5"/>
  <c r="N8" i="5" s="1"/>
  <c r="F25" i="9" s="1"/>
  <c r="N47" i="4"/>
  <c r="N85" i="4" s="1"/>
  <c r="N88" i="4" s="1"/>
  <c r="N63" i="4"/>
  <c r="N82" i="4" s="1"/>
  <c r="J21" i="4"/>
  <c r="C5" i="11" s="1"/>
  <c r="J23" i="4"/>
  <c r="J76" i="4" s="1"/>
  <c r="J79" i="4" s="1"/>
  <c r="K22" i="3"/>
  <c r="L9" i="4" s="1"/>
  <c r="L12" i="4" s="1"/>
  <c r="L14" i="4" s="1"/>
  <c r="M21" i="3"/>
  <c r="M22" i="3" s="1"/>
  <c r="N9" i="4" s="1"/>
  <c r="N62" i="4"/>
  <c r="N81" i="4" s="1"/>
  <c r="M50" i="4"/>
  <c r="M12" i="2"/>
  <c r="M13" i="5"/>
  <c r="M15" i="2"/>
  <c r="M17" i="2" s="1"/>
  <c r="M11" i="2"/>
  <c r="K15" i="4"/>
  <c r="D7" i="11" s="1"/>
  <c r="M89" i="4" l="1"/>
  <c r="E26" i="9" s="1"/>
  <c r="N84" i="4"/>
  <c r="N89" i="4" s="1"/>
  <c r="K8" i="2"/>
  <c r="K77" i="4"/>
  <c r="N11" i="2"/>
  <c r="K20" i="4"/>
  <c r="D4" i="11" s="1"/>
  <c r="K56" i="4"/>
  <c r="K60" i="4" s="1"/>
  <c r="M15" i="4"/>
  <c r="F7" i="11" s="1"/>
  <c r="K5" i="10"/>
  <c r="L10" i="10"/>
  <c r="F6" i="11"/>
  <c r="K10" i="10"/>
  <c r="E6" i="11"/>
  <c r="J5" i="10"/>
  <c r="N12" i="4"/>
  <c r="N14" i="4" s="1"/>
  <c r="J24" i="4"/>
  <c r="J25" i="4" s="1"/>
  <c r="N50" i="4"/>
  <c r="N12" i="2"/>
  <c r="N10" i="2"/>
  <c r="N13" i="5"/>
  <c r="N15" i="2"/>
  <c r="N17" i="2" s="1"/>
  <c r="L9" i="5"/>
  <c r="L12" i="5" s="1"/>
  <c r="L15" i="4"/>
  <c r="E7" i="11" s="1"/>
  <c r="F26" i="9" l="1"/>
  <c r="J12" i="10"/>
  <c r="I4" i="10"/>
  <c r="J11" i="10"/>
  <c r="K21" i="4"/>
  <c r="D5" i="11" s="1"/>
  <c r="J33" i="10"/>
  <c r="C21" i="9"/>
  <c r="C23" i="9" s="1"/>
  <c r="C27" i="9" s="1"/>
  <c r="K23" i="4"/>
  <c r="N15" i="4"/>
  <c r="G7" i="11" s="1"/>
  <c r="M5" i="10"/>
  <c r="M10" i="10"/>
  <c r="L5" i="10"/>
  <c r="G6" i="11"/>
  <c r="K37" i="3"/>
  <c r="L17" i="4" s="1"/>
  <c r="D24" i="9"/>
  <c r="I13" i="10"/>
  <c r="H6" i="10"/>
  <c r="I14" i="10"/>
  <c r="C8" i="11"/>
  <c r="I23" i="10"/>
  <c r="J7" i="2"/>
  <c r="J13" i="2" s="1"/>
  <c r="J21" i="2" s="1"/>
  <c r="J22" i="2" s="1"/>
  <c r="J28" i="4"/>
  <c r="J26" i="4"/>
  <c r="J37" i="4"/>
  <c r="L10" i="5"/>
  <c r="K24" i="4" l="1"/>
  <c r="K25" i="4" s="1"/>
  <c r="J14" i="10" s="1"/>
  <c r="K76" i="4"/>
  <c r="K79" i="4" s="1"/>
  <c r="L8" i="2"/>
  <c r="L77" i="4"/>
  <c r="L20" i="4"/>
  <c r="J4" i="10" s="1"/>
  <c r="C9" i="11"/>
  <c r="H7" i="10"/>
  <c r="I19" i="10"/>
  <c r="C13" i="11" s="1"/>
  <c r="J38" i="4"/>
  <c r="K5" i="2"/>
  <c r="L56" i="4"/>
  <c r="L60" i="4" s="1"/>
  <c r="M7" i="5"/>
  <c r="J23" i="10" l="1"/>
  <c r="K37" i="4"/>
  <c r="K38" i="4" s="1"/>
  <c r="K26" i="4"/>
  <c r="D8" i="11"/>
  <c r="K7" i="2"/>
  <c r="K13" i="2" s="1"/>
  <c r="K21" i="2" s="1"/>
  <c r="K22" i="2" s="1"/>
  <c r="L5" i="2" s="1"/>
  <c r="I6" i="10"/>
  <c r="K28" i="4"/>
  <c r="D9" i="11" s="1"/>
  <c r="J13" i="10"/>
  <c r="K12" i="10"/>
  <c r="K33" i="10"/>
  <c r="E4" i="11"/>
  <c r="K11" i="10"/>
  <c r="D21" i="9"/>
  <c r="D23" i="9" s="1"/>
  <c r="D27" i="9" s="1"/>
  <c r="J52" i="4"/>
  <c r="J67" i="4" s="1"/>
  <c r="J68" i="4" s="1"/>
  <c r="I32" i="10"/>
  <c r="I20" i="10"/>
  <c r="C14" i="11" s="1"/>
  <c r="I15" i="10"/>
  <c r="C12" i="11" s="1"/>
  <c r="L23" i="4"/>
  <c r="L21" i="4"/>
  <c r="E5" i="11" s="1"/>
  <c r="M9" i="5"/>
  <c r="M12" i="5" s="1"/>
  <c r="I7" i="10" l="1"/>
  <c r="J19" i="10"/>
  <c r="D13" i="11" s="1"/>
  <c r="L24" i="4"/>
  <c r="L25" i="4" s="1"/>
  <c r="K14" i="10" s="1"/>
  <c r="L76" i="4"/>
  <c r="L79" i="4" s="1"/>
  <c r="J70" i="4"/>
  <c r="I31" i="10"/>
  <c r="B27" i="9"/>
  <c r="B31" i="9" s="1"/>
  <c r="L37" i="3"/>
  <c r="M17" i="4" s="1"/>
  <c r="E24" i="9"/>
  <c r="K52" i="4"/>
  <c r="K67" i="4" s="1"/>
  <c r="K68" i="4" s="1"/>
  <c r="J20" i="10"/>
  <c r="D14" i="11" s="1"/>
  <c r="J32" i="10"/>
  <c r="J15" i="10"/>
  <c r="D12" i="11" s="1"/>
  <c r="M10" i="5"/>
  <c r="M56" i="4" s="1"/>
  <c r="M60" i="4" s="1"/>
  <c r="L7" i="2" l="1"/>
  <c r="L13" i="2" s="1"/>
  <c r="L21" i="2" s="1"/>
  <c r="L22" i="2" s="1"/>
  <c r="M5" i="2" s="1"/>
  <c r="K23" i="10"/>
  <c r="E8" i="11"/>
  <c r="L37" i="4"/>
  <c r="L38" i="4" s="1"/>
  <c r="K13" i="10"/>
  <c r="L26" i="4"/>
  <c r="J6" i="10"/>
  <c r="L28" i="4"/>
  <c r="J7" i="10" s="1"/>
  <c r="M20" i="4"/>
  <c r="L12" i="10" s="1"/>
  <c r="M77" i="4"/>
  <c r="N7" i="5"/>
  <c r="N9" i="5" s="1"/>
  <c r="N12" i="5" s="1"/>
  <c r="M8" i="2"/>
  <c r="K70" i="4"/>
  <c r="J31" i="10"/>
  <c r="C31" i="9"/>
  <c r="I30" i="10"/>
  <c r="I16" i="10"/>
  <c r="C11" i="11" s="1"/>
  <c r="E21" i="9" l="1"/>
  <c r="E23" i="9" s="1"/>
  <c r="E27" i="9" s="1"/>
  <c r="K19" i="10"/>
  <c r="E13" i="11" s="1"/>
  <c r="F4" i="11"/>
  <c r="K4" i="10"/>
  <c r="M21" i="4"/>
  <c r="F5" i="11" s="1"/>
  <c r="L11" i="10"/>
  <c r="L33" i="10"/>
  <c r="E9" i="11"/>
  <c r="M23" i="4"/>
  <c r="M76" i="4" s="1"/>
  <c r="M79" i="4" s="1"/>
  <c r="J30" i="10"/>
  <c r="J16" i="10"/>
  <c r="D11" i="11" s="1"/>
  <c r="M37" i="3"/>
  <c r="N17" i="4" s="1"/>
  <c r="F24" i="9"/>
  <c r="L52" i="4"/>
  <c r="L67" i="4" s="1"/>
  <c r="L68" i="4" s="1"/>
  <c r="K20" i="10"/>
  <c r="E14" i="11" s="1"/>
  <c r="K32" i="10"/>
  <c r="K15" i="10"/>
  <c r="E12" i="11" s="1"/>
  <c r="N10" i="5"/>
  <c r="N56" i="4" s="1"/>
  <c r="N60" i="4" s="1"/>
  <c r="M24" i="4" l="1"/>
  <c r="M25" i="4" s="1"/>
  <c r="K6" i="10" s="1"/>
  <c r="N8" i="2"/>
  <c r="N77" i="4"/>
  <c r="L70" i="4"/>
  <c r="K31" i="10"/>
  <c r="D31" i="9"/>
  <c r="N20" i="4"/>
  <c r="N21" i="4" s="1"/>
  <c r="G5" i="11" s="1"/>
  <c r="M28" i="4" l="1"/>
  <c r="K7" i="10" s="1"/>
  <c r="L13" i="10"/>
  <c r="M7" i="2"/>
  <c r="M13" i="2" s="1"/>
  <c r="M21" i="2" s="1"/>
  <c r="M22" i="2" s="1"/>
  <c r="N5" i="2" s="1"/>
  <c r="M26" i="4"/>
  <c r="L23" i="10"/>
  <c r="F8" i="11"/>
  <c r="M37" i="4"/>
  <c r="M38" i="4" s="1"/>
  <c r="L14" i="10"/>
  <c r="N23" i="4"/>
  <c r="N76" i="4" s="1"/>
  <c r="N79" i="4" s="1"/>
  <c r="M33" i="10"/>
  <c r="M11" i="10"/>
  <c r="M12" i="10"/>
  <c r="M4" i="10"/>
  <c r="G4" i="11"/>
  <c r="L4" i="10"/>
  <c r="F21" i="9"/>
  <c r="F23" i="9" s="1"/>
  <c r="F27" i="9" s="1"/>
  <c r="G27" i="9" s="1"/>
  <c r="F9" i="11"/>
  <c r="K30" i="10"/>
  <c r="K16" i="10"/>
  <c r="E11" i="11" s="1"/>
  <c r="L19" i="10" l="1"/>
  <c r="F13" i="11" s="1"/>
  <c r="N24" i="4"/>
  <c r="N25" i="4" s="1"/>
  <c r="M6" i="10" s="1"/>
  <c r="M52" i="4"/>
  <c r="M67" i="4" s="1"/>
  <c r="M68" i="4" s="1"/>
  <c r="L20" i="10"/>
  <c r="F14" i="11" s="1"/>
  <c r="L32" i="10"/>
  <c r="L15" i="10"/>
  <c r="F12" i="11" s="1"/>
  <c r="N7" i="2" l="1"/>
  <c r="N13" i="2" s="1"/>
  <c r="N21" i="2" s="1"/>
  <c r="N22" i="2" s="1"/>
  <c r="L6" i="10"/>
  <c r="N26" i="4"/>
  <c r="G8" i="11"/>
  <c r="M13" i="10"/>
  <c r="N37" i="4"/>
  <c r="N38" i="4" s="1"/>
  <c r="N52" i="4" s="1"/>
  <c r="N67" i="4" s="1"/>
  <c r="N68" i="4" s="1"/>
  <c r="N28" i="4"/>
  <c r="L7" i="10" s="1"/>
  <c r="M14" i="10"/>
  <c r="M23" i="10"/>
  <c r="M70" i="4"/>
  <c r="L31" i="10"/>
  <c r="E31" i="9"/>
  <c r="M19" i="10" l="1"/>
  <c r="G13" i="11" s="1"/>
  <c r="M15" i="10"/>
  <c r="G12" i="11" s="1"/>
  <c r="M32" i="10"/>
  <c r="M20" i="10"/>
  <c r="G14" i="11" s="1"/>
  <c r="M7" i="10"/>
  <c r="G9" i="11"/>
  <c r="N70" i="4"/>
  <c r="M31" i="10"/>
  <c r="L30" i="10"/>
  <c r="L16" i="10"/>
  <c r="F11" i="11" s="1"/>
  <c r="F31" i="9" l="1"/>
  <c r="K20" i="9" s="1"/>
  <c r="M30" i="10"/>
  <c r="M16" i="10"/>
  <c r="G11" i="11" s="1"/>
  <c r="K21" i="9" l="1"/>
  <c r="G31" i="9"/>
  <c r="K22" i="9" s="1"/>
  <c r="K23" i="9" s="1"/>
  <c r="K26" i="9" l="1"/>
  <c r="D22" i="10"/>
  <c r="L22" i="10"/>
  <c r="E22" i="10"/>
  <c r="M22" i="10"/>
  <c r="B22" i="10"/>
  <c r="I22" i="10"/>
  <c r="F22" i="10"/>
  <c r="C22" i="10"/>
  <c r="G22" i="10"/>
  <c r="H22" i="10"/>
  <c r="J22" i="10"/>
  <c r="K22" i="10"/>
  <c r="K28" i="9" l="1"/>
  <c r="F35" i="9" s="1"/>
  <c r="G21" i="10"/>
  <c r="D21" i="10"/>
  <c r="F21" i="10"/>
  <c r="H21" i="10"/>
  <c r="I21" i="10"/>
  <c r="J21" i="10"/>
  <c r="B21" i="10"/>
  <c r="L21" i="10"/>
  <c r="C21" i="10"/>
  <c r="K21" i="10"/>
  <c r="E21" i="10"/>
  <c r="M21" i="10"/>
  <c r="B37" i="9" l="1"/>
  <c r="B36" i="9" l="1"/>
  <c r="B38" i="9" s="1"/>
</calcChain>
</file>

<file path=xl/sharedStrings.xml><?xml version="1.0" encoding="utf-8"?>
<sst xmlns="http://schemas.openxmlformats.org/spreadsheetml/2006/main" count="896" uniqueCount="597">
  <si>
    <t>CIPLA LIMITED – INCOME STATEMENT  (Source: Capitaline)</t>
  </si>
  <si>
    <t>CIPLA LIMITED – BALANCE SHEET  (Source: Capitaline)</t>
  </si>
  <si>
    <t>Particulars (INR Cr.)</t>
  </si>
  <si>
    <t>2019</t>
  </si>
  <si>
    <t>2020</t>
  </si>
  <si>
    <t>2021</t>
  </si>
  <si>
    <t>2022</t>
  </si>
  <si>
    <t>2023</t>
  </si>
  <si>
    <t>2024</t>
  </si>
  <si>
    <t>2025</t>
  </si>
  <si>
    <t>INCOME STATEMENT</t>
  </si>
  <si>
    <t>BALANCE SHEET</t>
  </si>
  <si>
    <t>Year</t>
  </si>
  <si>
    <t>INCOME :</t>
  </si>
  <si>
    <t>Shareholder's Funds</t>
  </si>
  <si>
    <t>Sales Turnover</t>
  </si>
  <si>
    <t>Share Capital</t>
  </si>
  <si>
    <t>Net Sales</t>
  </si>
  <si>
    <t>Ordinary Capital</t>
  </si>
  <si>
    <t>Other Income</t>
  </si>
  <si>
    <t>Reserves and Surplus</t>
  </si>
  <si>
    <t>Dividend Income</t>
  </si>
  <si>
    <t>Total Shareholder's Fund</t>
  </si>
  <si>
    <t>Interest Income</t>
  </si>
  <si>
    <t>Non-Current Liabilities</t>
  </si>
  <si>
    <t>Profit on sale of Fixed Assets</t>
  </si>
  <si>
    <t>Long-Term Borrowings</t>
  </si>
  <si>
    <t>Profit on sale of investments</t>
  </si>
  <si>
    <t>Lease Liabilities</t>
  </si>
  <si>
    <t>Rent received</t>
  </si>
  <si>
    <t>Deferred Tax Liabilities (Net)</t>
  </si>
  <si>
    <t>Gain on Cancell. of Forward Contr/forex trans</t>
  </si>
  <si>
    <t>Deferred Tax Liability</t>
  </si>
  <si>
    <t>Refunds / Claims Received</t>
  </si>
  <si>
    <t>Deferred Tax Assets</t>
  </si>
  <si>
    <t>Income from Subsidiaries</t>
  </si>
  <si>
    <t>Other Long Term Liabilities</t>
  </si>
  <si>
    <t>Income from Investment Activities</t>
  </si>
  <si>
    <t>Long-Term Provisions</t>
  </si>
  <si>
    <t>Provision Written Back</t>
  </si>
  <si>
    <t>Total Non Current Liabilities</t>
  </si>
  <si>
    <t>Miscellaneous Income</t>
  </si>
  <si>
    <t>Current Liabilities</t>
  </si>
  <si>
    <t>Stock Adjustments</t>
  </si>
  <si>
    <t>Short-Term Borrowings</t>
  </si>
  <si>
    <t>Total Income</t>
  </si>
  <si>
    <t>EXPENDITURE :</t>
  </si>
  <si>
    <t>Trade Payables</t>
  </si>
  <si>
    <t>Raw Materials</t>
  </si>
  <si>
    <t>Other Current Liabilities</t>
  </si>
  <si>
    <t>Opening Stock of Raw Materials</t>
  </si>
  <si>
    <t>Short-Term Provisions</t>
  </si>
  <si>
    <t>Purchases of Raw Material</t>
  </si>
  <si>
    <t>Total Current Liabilities</t>
  </si>
  <si>
    <t>Purchase of Trading Goods</t>
  </si>
  <si>
    <t>Other Equity &amp; Liabilities</t>
  </si>
  <si>
    <t>Closing Stock of Raw Materials</t>
  </si>
  <si>
    <t>TOTAL EQUITY AND LIABILITIES</t>
  </si>
  <si>
    <t>Adjustment on amalgamation / trial runs</t>
  </si>
  <si>
    <t>Non-Current Assets</t>
  </si>
  <si>
    <t>Power &amp; Fuel Cost</t>
  </si>
  <si>
    <t>Fixed Assets</t>
  </si>
  <si>
    <t>Power, Oil &amp; Fuel</t>
  </si>
  <si>
    <t>Tangible Assets</t>
  </si>
  <si>
    <t>Employee Cost</t>
  </si>
  <si>
    <t>Intangible Assets</t>
  </si>
  <si>
    <t>Salaries,Wages &amp; Bonus</t>
  </si>
  <si>
    <t>Capital Work-in-Progress</t>
  </si>
  <si>
    <t>Contribution to funds</t>
  </si>
  <si>
    <t>Intangible assets under development</t>
  </si>
  <si>
    <t>Staff Welfare Expenses</t>
  </si>
  <si>
    <t>Right-of-Use Assets</t>
  </si>
  <si>
    <t>Other Employee Cost</t>
  </si>
  <si>
    <t>Non-Current Investments</t>
  </si>
  <si>
    <t>Other Manufacturing Expenses</t>
  </si>
  <si>
    <t>Deferred Tax Assets (net)</t>
  </si>
  <si>
    <t>Job Work / Contract / Processing Charges</t>
  </si>
  <si>
    <t>Stores Consumed</t>
  </si>
  <si>
    <t>Repairs</t>
  </si>
  <si>
    <t>Long-Term Loans and Advances</t>
  </si>
  <si>
    <t>Repairs - Plant &amp; machinery</t>
  </si>
  <si>
    <t>Other Non-Current Assets</t>
  </si>
  <si>
    <t>Repairs - Building</t>
  </si>
  <si>
    <t>Total Non Current Assets</t>
  </si>
  <si>
    <t>Other Operating Expenses</t>
  </si>
  <si>
    <t>Current Assets</t>
  </si>
  <si>
    <t>Selling and Administration Expenses</t>
  </si>
  <si>
    <t>Current Investments</t>
  </si>
  <si>
    <t>Rent,Rates and Taxes paid</t>
  </si>
  <si>
    <t>Inventories</t>
  </si>
  <si>
    <t>Others</t>
  </si>
  <si>
    <t>Trade Receivables</t>
  </si>
  <si>
    <t>Insurance</t>
  </si>
  <si>
    <t>Cash and Cash Equivalents</t>
  </si>
  <si>
    <t>Distribution Expenses</t>
  </si>
  <si>
    <t>Short-Term Loans and Advances</t>
  </si>
  <si>
    <t>Other Selling Expenses</t>
  </si>
  <si>
    <t>Other Current Assets</t>
  </si>
  <si>
    <t>Legal Expenses</t>
  </si>
  <si>
    <t>Total Current Assets</t>
  </si>
  <si>
    <t>Communication Expenses</t>
  </si>
  <si>
    <t>Other Assets</t>
  </si>
  <si>
    <t>Travel Expenses</t>
  </si>
  <si>
    <t>TOTAL ASSETS</t>
  </si>
  <si>
    <t>Audit Expenses</t>
  </si>
  <si>
    <t>Director''s Remuneration</t>
  </si>
  <si>
    <t>Other Commission paid</t>
  </si>
  <si>
    <t>R &amp; D Expenses</t>
  </si>
  <si>
    <t>Miscellaneous Expenses</t>
  </si>
  <si>
    <t>Donations</t>
  </si>
  <si>
    <t>Loss on Sale of Assets</t>
  </si>
  <si>
    <t>Bad Debts written off</t>
  </si>
  <si>
    <t>Provision for doubtful loan/ Deposit/ Advances</t>
  </si>
  <si>
    <t>Provision/Impairment of Assets</t>
  </si>
  <si>
    <t>Other Miscellaneous Expenses</t>
  </si>
  <si>
    <t>CSR Expenses</t>
  </si>
  <si>
    <t>Total Expenditure</t>
  </si>
  <si>
    <t>Operating Profit</t>
  </si>
  <si>
    <t>Interest</t>
  </si>
  <si>
    <t>Other Interest</t>
  </si>
  <si>
    <t>Financial Charges</t>
  </si>
  <si>
    <t>Gross Profit</t>
  </si>
  <si>
    <t>Depreciation</t>
  </si>
  <si>
    <t>Profit Before Tax</t>
  </si>
  <si>
    <t>Tax</t>
  </si>
  <si>
    <t>Tax for the current year</t>
  </si>
  <si>
    <t>Deferred Tax</t>
  </si>
  <si>
    <t>Deferred Tax for Current Year</t>
  </si>
  <si>
    <t>Reported Net Profit</t>
  </si>
  <si>
    <t>Extraordinary Items</t>
  </si>
  <si>
    <t>Profit/(Loss) on Sale of Assets</t>
  </si>
  <si>
    <t>Profit/(Loss) on Sale of Investment.</t>
  </si>
  <si>
    <t>Miscellaneous Income/Expense</t>
  </si>
  <si>
    <t>Less : Tax on Extra Ordinary Income/Expense</t>
  </si>
  <si>
    <t>Less : Deferred Tax on Extra Ordinary Income/Exp.</t>
  </si>
  <si>
    <t>Adjusted Net Profit</t>
  </si>
  <si>
    <t>Adjst. below Net Profit</t>
  </si>
  <si>
    <t>Other adjustments</t>
  </si>
  <si>
    <t>P &amp; L Balance brought forward</t>
  </si>
  <si>
    <t>Appropriations</t>
  </si>
  <si>
    <t>Prior Year Dividend Paid</t>
  </si>
  <si>
    <t>Provision for Equity Dividend</t>
  </si>
  <si>
    <t>Dividend Tax</t>
  </si>
  <si>
    <t>INTERIM DIVIDEND PAID</t>
  </si>
  <si>
    <t>P &amp; L Balance carried down</t>
  </si>
  <si>
    <t>Dividend</t>
  </si>
  <si>
    <t>Equity Dividend %</t>
  </si>
  <si>
    <t>Dividend Per Share(Rs)</t>
  </si>
  <si>
    <t>Earnings Per Share-Unit Curr</t>
  </si>
  <si>
    <t>Earnings Per Share(Adj)-Unit Curr</t>
  </si>
  <si>
    <t>Book Value-Unit Curr</t>
  </si>
  <si>
    <t>Book Value(Adj)-Unit Curr</t>
  </si>
  <si>
    <t>Dividend Per Share Adj.(Rs)</t>
  </si>
  <si>
    <t>CIPLA LIMITED – CASH FLOW STATEMENT  (Source: Capitaline)</t>
  </si>
  <si>
    <t>Cash at Beginning of Year</t>
  </si>
  <si>
    <t>Net Cash from Operating Activities</t>
  </si>
  <si>
    <t>Purchase of Fixed Assets (Capex)</t>
  </si>
  <si>
    <t>Net Cash Used in Investing Activities</t>
  </si>
  <si>
    <t>Net Cash Used in Financing Activities</t>
  </si>
  <si>
    <t>Net Inc/(Dec) in Cash &amp; Cash Equiv</t>
  </si>
  <si>
    <t>Cash at End of Year</t>
  </si>
  <si>
    <t>CIPLA LIMITED – CASH FLOW STATEMENT (PROJECTED)</t>
  </si>
  <si>
    <t>INR in Crores  |  Actual FY2019–FY2025 from Raw Data  |  Forecast FY2026–FY2030 from Financial Statements &amp; PPE Schedule</t>
  </si>
  <si>
    <t>Particulars</t>
  </si>
  <si>
    <t>2019
Actual</t>
  </si>
  <si>
    <t>2020
Actual</t>
  </si>
  <si>
    <t>2021
Actual</t>
  </si>
  <si>
    <t>2022
Actual</t>
  </si>
  <si>
    <t>2023
Actual</t>
  </si>
  <si>
    <t>2024
Actual</t>
  </si>
  <si>
    <t>2025
Actual</t>
  </si>
  <si>
    <t>2026
Forecast</t>
  </si>
  <si>
    <t>2027
Forecast</t>
  </si>
  <si>
    <t>2028
Forecast</t>
  </si>
  <si>
    <t>2029
Forecast</t>
  </si>
  <si>
    <t>2030
Forecast</t>
  </si>
  <si>
    <t>OPERATING ACTIVITIES</t>
  </si>
  <si>
    <t xml:space="preserve">  Net Profit After Tax (PAT)</t>
  </si>
  <si>
    <t xml:space="preserve">  Add: Depreciation &amp; Amortisation</t>
  </si>
  <si>
    <t xml:space="preserve">  Add: Finance Cost (Non-Cash Add-Back)</t>
  </si>
  <si>
    <t xml:space="preserve">  (Inc)/Dec in Inventories</t>
  </si>
  <si>
    <t xml:space="preserve">  (Inc)/Dec in Trade Receivables</t>
  </si>
  <si>
    <t xml:space="preserve">  Inc/(Dec) in Trade Payables</t>
  </si>
  <si>
    <t>Net Cash from Operating Activities (CFO)</t>
  </si>
  <si>
    <t>INVESTING ACTIVITIES</t>
  </si>
  <si>
    <t xml:space="preserve">  Purchase of Fixed Assets (Capex) – from Cash Flow Statement</t>
  </si>
  <si>
    <t xml:space="preserve">  Other Investing Activities (Investments &amp; Others)</t>
  </si>
  <si>
    <t>Net Cash Used in Investing Activities (CFI)</t>
  </si>
  <si>
    <t>FINANCING ACTIVITIES</t>
  </si>
  <si>
    <t xml:space="preserve">  Dividends Paid</t>
  </si>
  <si>
    <t>Net Cash Used in Financing Activities (CFF)</t>
  </si>
  <si>
    <t>Net Inc/(Dec) in Cash &amp; Cash Equivalents</t>
  </si>
  <si>
    <t>CIPLA LIMITED – ASSUMPTIONS</t>
  </si>
  <si>
    <t>Tax Rate</t>
  </si>
  <si>
    <t>Terminal Growth Rate</t>
  </si>
  <si>
    <t>P&amp;L ASSUMPTIONS</t>
  </si>
  <si>
    <t>Revenue from Operations (INR Cr.)</t>
  </si>
  <si>
    <t xml:space="preserve">  Revenue Growth YoY %</t>
  </si>
  <si>
    <t>N/A</t>
  </si>
  <si>
    <t>Other Income (INR Cr.)</t>
  </si>
  <si>
    <t xml:space="preserve">  Other Income % of Revenue</t>
  </si>
  <si>
    <t>Raw Materials Consumed (INR Cr.)</t>
  </si>
  <si>
    <t>Purchase of Trading Goods (INR Cr.)</t>
  </si>
  <si>
    <t>Total Material Cost (INR Cr.)</t>
  </si>
  <si>
    <t xml:space="preserve">  Material Cost % of Revenue</t>
  </si>
  <si>
    <t xml:space="preserve">  Assumed Material Cost % (= Average of Actuals FY2019–FY2025)</t>
  </si>
  <si>
    <t>Material Cost – Forecast (INR Cr.)</t>
  </si>
  <si>
    <t>Employee Cost (INR Cr.)</t>
  </si>
  <si>
    <t xml:space="preserve">  Employee Cost % of Revenue</t>
  </si>
  <si>
    <t xml:space="preserve">  Assumed Employee Cost % (= Average of Actuals FY2019–FY2025)</t>
  </si>
  <si>
    <t>Employee Cost – Forecast (INR Cr.)</t>
  </si>
  <si>
    <t>Other Operating Expenses (INR Cr.)</t>
  </si>
  <si>
    <t xml:space="preserve">  Other Opex % of Revenue</t>
  </si>
  <si>
    <t xml:space="preserve">  Assumed Other Opex % (= Average of Actuals FY2019–FY2025)</t>
  </si>
  <si>
    <t>Other Opex – Forecast (INR Cr.)</t>
  </si>
  <si>
    <t>Finance Cost / Interest (INR Cr.)</t>
  </si>
  <si>
    <t>Depreciation &amp; Amortisation – from PPE Schedule</t>
  </si>
  <si>
    <t>TAX ASSUMPTIONS</t>
  </si>
  <si>
    <t>Historical Effective Tax Rate</t>
  </si>
  <si>
    <t>Assumed Tax Rate – 23.62% from Parameters (= Average of Actuals FY2019–FY2025)</t>
  </si>
  <si>
    <t>BALANCE SHEET ASSUMPTIONS</t>
  </si>
  <si>
    <t>Inventory Days (Historical)</t>
  </si>
  <si>
    <t>Assumed Inventory Days (= Average of Actuals FY2019–FY2025)</t>
  </si>
  <si>
    <t>Receivable Days (Historical)</t>
  </si>
  <si>
    <t>Assumed Receivable Days (= Average of Actuals FY2019–FY2025)</t>
  </si>
  <si>
    <t>Payable Days (Historical)</t>
  </si>
  <si>
    <t>Assumed Payable Days (= Average of Actuals FY2019–FY2025)</t>
  </si>
  <si>
    <t>Capex % of Revenue  (Actuals from CF Statement | Forecast = Average of Actuals)</t>
  </si>
  <si>
    <t>Dividend Per Share INR (User Input)</t>
  </si>
  <si>
    <t>Shares Outstanding (Crores)</t>
  </si>
  <si>
    <t>CIPLA LIMITED – PROJECTED FINANCIAL STATEMENTS</t>
  </si>
  <si>
    <t>Revenue from Operations</t>
  </si>
  <si>
    <t>Raw Materials &amp; Trading Goods</t>
  </si>
  <si>
    <t>Employee Benefit Expenses</t>
  </si>
  <si>
    <t>Total Operating Expenditure</t>
  </si>
  <si>
    <t>EBITDA</t>
  </si>
  <si>
    <t>EBITDA Margin (%)</t>
  </si>
  <si>
    <t>Depreciation &amp; Amortisation</t>
  </si>
  <si>
    <t>Finance Costs / Interest</t>
  </si>
  <si>
    <t>EBIT</t>
  </si>
  <si>
    <t>EBIT Margin (%)</t>
  </si>
  <si>
    <t>Profit Before Tax (PBT)</t>
  </si>
  <si>
    <t>Tax Expense</t>
  </si>
  <si>
    <t>Net Profit / PAT</t>
  </si>
  <si>
    <t>PAT Margin (%)</t>
  </si>
  <si>
    <t>Earnings Per Share (INR)</t>
  </si>
  <si>
    <t>Dividend Per Share (INR)</t>
  </si>
  <si>
    <t>BALANCE SHEET – EQUITY &amp; LIABILITIES</t>
  </si>
  <si>
    <t>Reserves &amp; Surplus</t>
  </si>
  <si>
    <t>Total Shareholders' Equity</t>
  </si>
  <si>
    <t xml:space="preserve">  Long-Term Borrowings</t>
  </si>
  <si>
    <t xml:space="preserve">  Lease Liabilities (Non-Current)</t>
  </si>
  <si>
    <t xml:space="preserve">  Deferred Tax Liabilities (Net)</t>
  </si>
  <si>
    <t xml:space="preserve">  Other LT Liabilities &amp; Provisions</t>
  </si>
  <si>
    <t>Total Non-Current Liabilities</t>
  </si>
  <si>
    <t xml:space="preserve">  Short-Term Borrowings</t>
  </si>
  <si>
    <t xml:space="preserve">  Trade Payables</t>
  </si>
  <si>
    <t xml:space="preserve">  Other Current Liabilities</t>
  </si>
  <si>
    <t xml:space="preserve">  Short-Term Provisions</t>
  </si>
  <si>
    <t>TOTAL EQUITY &amp; LIABILITIES</t>
  </si>
  <si>
    <t>BALANCE SHEET – ASSETS</t>
  </si>
  <si>
    <t xml:space="preserve">  Net Fixed Assets (PPE) – from PPE Schedule</t>
  </si>
  <si>
    <t xml:space="preserve">  Non-Current Investments</t>
  </si>
  <si>
    <t xml:space="preserve">  Long-Term Loans &amp; Advances</t>
  </si>
  <si>
    <t xml:space="preserve">  Other Non-Current Assets</t>
  </si>
  <si>
    <t>Total Non-Current Assets</t>
  </si>
  <si>
    <t xml:space="preserve">  Inventories</t>
  </si>
  <si>
    <t xml:space="preserve">  Trade Receivables</t>
  </si>
  <si>
    <t xml:space="preserve">  Current Investments</t>
  </si>
  <si>
    <t xml:space="preserve">  Short-Term Loans &amp; Advances</t>
  </si>
  <si>
    <t xml:space="preserve">  Other Current Assets</t>
  </si>
  <si>
    <t xml:space="preserve">  Cash &amp; Cash Equivalents (Balancing Plug)</t>
  </si>
  <si>
    <t>Revenue from Operations (Reference)</t>
  </si>
  <si>
    <t>Opening Net PPE (Tangible Assets)</t>
  </si>
  <si>
    <t>Capital Expenditure – Actuals from Cash Flow Statement  |  Forecast = Capex % × Revenue</t>
  </si>
  <si>
    <t>Less: Depreciation &amp; Amortisation</t>
  </si>
  <si>
    <t>Closing Net PPE (Tangible)</t>
  </si>
  <si>
    <t>Depreciation Rate % of Opening PPE</t>
  </si>
  <si>
    <t>Capex % of Revenue (Computed)</t>
  </si>
  <si>
    <t xml:space="preserve">  Assumed Other Income % </t>
  </si>
  <si>
    <t>S. No</t>
  </si>
  <si>
    <t>Details of Assumptions/Data Point</t>
  </si>
  <si>
    <t>Assumed Figure</t>
  </si>
  <si>
    <t>Remarks</t>
  </si>
  <si>
    <t>URL</t>
  </si>
  <si>
    <t>Actual Financial Statement data for last 7 years</t>
  </si>
  <si>
    <t>Financial statements has been taken for the last seven years from capitaline database</t>
  </si>
  <si>
    <t>https://awsone.capitaline.com/index.html#/Company/Condensed/condensed?section=ProfitLoss</t>
  </si>
  <si>
    <t>Revenue Growth</t>
  </si>
  <si>
    <t>Cipla Annual Report 2025</t>
  </si>
  <si>
    <t>Risk free Rate (Rf)</t>
  </si>
  <si>
    <t>10-year Indian Government bond yield used as proxy for risk-free rate</t>
  </si>
  <si>
    <t>https://in.investing.com/rates-bonds/india-10-year-bond-yield-historical-data?utm_source</t>
  </si>
  <si>
    <t>Market Risk (Rm)</t>
  </si>
  <si>
    <t>Average long-term return of Indian stock market (NIFTY 50) used as market return</t>
  </si>
  <si>
    <t>Market Risk Premium (Rp= Rm-Rf)</t>
  </si>
  <si>
    <t>Market risk premium calculated as difference between market return and risk-free rate</t>
  </si>
  <si>
    <t>Terminal growth rate assumed based on long-term GDP growth and pharmaceutical industry growth</t>
  </si>
  <si>
    <t>https://data.worldbank.org/indicator/NY.GDP.MKTP.KD.ZG</t>
  </si>
  <si>
    <t>Cipla Stock Data</t>
  </si>
  <si>
    <t>Historical stock price data used for Beta calculation</t>
  </si>
  <si>
    <t>https://www.bseindia.com/</t>
  </si>
  <si>
    <t>NIFTY 50 data</t>
  </si>
  <si>
    <t>Market index data used for Beta calculation</t>
  </si>
  <si>
    <t>https://awsone.capitaline.com/index.html#/Company/General/CompanyInfo</t>
  </si>
  <si>
    <t>BETA CALCULATION</t>
  </si>
  <si>
    <t>CIPLA LTD.</t>
  </si>
  <si>
    <t>BSE SENSEX</t>
  </si>
  <si>
    <t>BETA : Market Risk</t>
  </si>
  <si>
    <t>Date</t>
  </si>
  <si>
    <t>Close Price</t>
  </si>
  <si>
    <t>Return %</t>
  </si>
  <si>
    <t>SENSEX</t>
  </si>
  <si>
    <t>10 Year Beta Computation</t>
  </si>
  <si>
    <t>Using SLOPE Function</t>
  </si>
  <si>
    <t>Performance VS Market</t>
  </si>
  <si>
    <t>Cipla Ltd.</t>
  </si>
  <si>
    <t>BSE Sensex</t>
  </si>
  <si>
    <t>Weighted Average Cost of Capital</t>
  </si>
  <si>
    <t>Capital Structure</t>
  </si>
  <si>
    <t>Total Debt</t>
  </si>
  <si>
    <t>Total Equity</t>
  </si>
  <si>
    <t>Total Mix</t>
  </si>
  <si>
    <t>% of debt</t>
  </si>
  <si>
    <t>% of Equity</t>
  </si>
  <si>
    <t>Debt to Equity</t>
  </si>
  <si>
    <t>Cost Of Equity</t>
  </si>
  <si>
    <t>Risk Free Rate(Rf)</t>
  </si>
  <si>
    <t>Beta</t>
  </si>
  <si>
    <t>Market Risk Premium</t>
  </si>
  <si>
    <t>Cost Of Debt</t>
  </si>
  <si>
    <t>Cost Of Debt after tax</t>
  </si>
  <si>
    <t>WACC</t>
  </si>
  <si>
    <t>Source</t>
  </si>
  <si>
    <t>Weight</t>
  </si>
  <si>
    <t>Cost</t>
  </si>
  <si>
    <t>Weighted Cost</t>
  </si>
  <si>
    <t>Debt</t>
  </si>
  <si>
    <t>Equity</t>
  </si>
  <si>
    <t>DCF Valuation</t>
  </si>
  <si>
    <t>Assumtions/Base</t>
  </si>
  <si>
    <t>Discount Rate (WACC)</t>
  </si>
  <si>
    <t>Perpetural Growth Rate</t>
  </si>
  <si>
    <t>Valuation Date</t>
  </si>
  <si>
    <t>Last Fiscal Year End</t>
  </si>
  <si>
    <t>Current Market Price</t>
  </si>
  <si>
    <t>Total Shares Outstanding (in Cr.)</t>
  </si>
  <si>
    <t>Debt (in Cr.)</t>
  </si>
  <si>
    <t>Cash (in Cr.)</t>
  </si>
  <si>
    <t>Discounted Cash Flows</t>
  </si>
  <si>
    <t>YEARS</t>
  </si>
  <si>
    <t>INTRINSIC VALUE</t>
  </si>
  <si>
    <t>PV of Cash Flows</t>
  </si>
  <si>
    <t>Continuing Value</t>
  </si>
  <si>
    <t>PV of contuning value</t>
  </si>
  <si>
    <t>NOPAT</t>
  </si>
  <si>
    <t>Enterprise Value (in Cr)</t>
  </si>
  <si>
    <t>Add- Depreciation</t>
  </si>
  <si>
    <t>Less: Debt (in Cr)</t>
  </si>
  <si>
    <t>Less-Capex</t>
  </si>
  <si>
    <t>Add: Cash (in Cr)</t>
  </si>
  <si>
    <t>Less-Net Changes In WC</t>
  </si>
  <si>
    <t>Equity Value (in Cr)</t>
  </si>
  <si>
    <t>Free Cash Flows</t>
  </si>
  <si>
    <t>No. of share (in Cr.)</t>
  </si>
  <si>
    <t>Intrincsic value of share</t>
  </si>
  <si>
    <t>Growth</t>
  </si>
  <si>
    <t>Current share price</t>
  </si>
  <si>
    <t>Discounting Factor</t>
  </si>
  <si>
    <t>No of shares</t>
  </si>
  <si>
    <t>PV of Free Cash Flow</t>
  </si>
  <si>
    <t>Market capitalization (in Cr)</t>
  </si>
  <si>
    <t>CMP</t>
  </si>
  <si>
    <t>Upside Potential</t>
  </si>
  <si>
    <t>Fair Value</t>
  </si>
  <si>
    <t>Upside Potential %</t>
  </si>
  <si>
    <t>Nature</t>
  </si>
  <si>
    <t xml:space="preserve">Recommendation </t>
  </si>
  <si>
    <t>RATIOS</t>
  </si>
  <si>
    <t>INR Cr.</t>
  </si>
  <si>
    <t>Operating Income (%)</t>
  </si>
  <si>
    <t>EBITDA (%)</t>
  </si>
  <si>
    <t>Adj PAT (%)</t>
  </si>
  <si>
    <t>Adj EPS (%)</t>
  </si>
  <si>
    <t>Profitability</t>
  </si>
  <si>
    <t>Operating Income</t>
  </si>
  <si>
    <t>PAT</t>
  </si>
  <si>
    <t>ROE (%)</t>
  </si>
  <si>
    <t>ROCE (%)</t>
  </si>
  <si>
    <t>Valuations</t>
  </si>
  <si>
    <t>Price-earnings</t>
  </si>
  <si>
    <t>Price-book</t>
  </si>
  <si>
    <t xml:space="preserve">EV/EBITDA </t>
  </si>
  <si>
    <t>EV/Sales</t>
  </si>
  <si>
    <t>Dividend payout ratio (%)</t>
  </si>
  <si>
    <t>Dividend yield (%)</t>
  </si>
  <si>
    <t>B/S ratios</t>
  </si>
  <si>
    <t>Inventory days</t>
  </si>
  <si>
    <t>Creditor days</t>
  </si>
  <si>
    <t>Debtor days</t>
  </si>
  <si>
    <t>Asset turnover</t>
  </si>
  <si>
    <t>Current ratio</t>
  </si>
  <si>
    <t>Debt/equity</t>
  </si>
  <si>
    <t>Interest Coverage ratio</t>
  </si>
  <si>
    <t>KEY FORECAST</t>
  </si>
  <si>
    <t>EBIT Growth</t>
  </si>
  <si>
    <t>Net Income</t>
  </si>
  <si>
    <t>EPS</t>
  </si>
  <si>
    <t>PE</t>
  </si>
  <si>
    <t>P/BV</t>
  </si>
  <si>
    <t>Forecast Depreciation - Linked to Assumptions Sheet</t>
  </si>
  <si>
    <t>CIPLA LIMITED – PPE SCHEDULE</t>
  </si>
  <si>
    <t>Select Case</t>
  </si>
  <si>
    <t>Case 2</t>
  </si>
  <si>
    <t>Case 1</t>
  </si>
  <si>
    <t>Optimistic Case</t>
  </si>
  <si>
    <t>Base Case</t>
  </si>
  <si>
    <t>Case 3</t>
  </si>
  <si>
    <t>Worst Case</t>
  </si>
  <si>
    <t>Scenarios:</t>
  </si>
  <si>
    <t>Y-o-Y Growth</t>
  </si>
  <si>
    <t>Peer Comparison</t>
  </si>
  <si>
    <t>Company Name</t>
  </si>
  <si>
    <t>EBITDA Margin</t>
  </si>
  <si>
    <t>Return on Assets</t>
  </si>
  <si>
    <t>Return on Equity</t>
  </si>
  <si>
    <t>Current Ratio</t>
  </si>
  <si>
    <t>Debt/Equity Ratio</t>
  </si>
  <si>
    <t>Interest Coverage Ratio</t>
  </si>
  <si>
    <t>Asset Turnover</t>
  </si>
  <si>
    <t>Sun pharma</t>
  </si>
  <si>
    <t xml:space="preserve">Zydus </t>
  </si>
  <si>
    <t>Dr. Reddy</t>
  </si>
  <si>
    <t>RELATIVE VALUATION</t>
  </si>
  <si>
    <t>Company</t>
  </si>
  <si>
    <t>Market Data</t>
  </si>
  <si>
    <t>Financial Data</t>
  </si>
  <si>
    <t>Valuation Ratios</t>
  </si>
  <si>
    <t>EV/EBITDA</t>
  </si>
  <si>
    <t>EV/EBIT</t>
  </si>
  <si>
    <t>Average Data</t>
  </si>
  <si>
    <t>Median Data</t>
  </si>
  <si>
    <t>Lupin</t>
  </si>
  <si>
    <t>Price
(₹)</t>
  </si>
  <si>
    <t>No. of Shares
(in Cr.)</t>
  </si>
  <si>
    <t>Market Cap
(in Cr)</t>
  </si>
  <si>
    <t>Enterprise Value
(in Cr)</t>
  </si>
  <si>
    <t>Sales
(in Cr)</t>
  </si>
  <si>
    <t>EBITDA
(in Cr)</t>
  </si>
  <si>
    <t>EBIT
(in Cr)</t>
  </si>
  <si>
    <t>EPS (₹)</t>
  </si>
  <si>
    <t>P/E</t>
  </si>
  <si>
    <t>Net Debt
(in Cr)</t>
  </si>
  <si>
    <t>D&amp;A
(in Cr)</t>
  </si>
  <si>
    <t>Sun Pharma</t>
  </si>
  <si>
    <t>Zydus</t>
  </si>
  <si>
    <t>Dr. Reddy's</t>
  </si>
  <si>
    <t>Sources and Bases  of the DATA / Assumptions used in the Valuation</t>
  </si>
  <si>
    <t>Terminal Value</t>
  </si>
  <si>
    <t>Market Value vs Fair Value</t>
  </si>
  <si>
    <t>Cash Flow Statement</t>
  </si>
  <si>
    <t>Profit before tax</t>
  </si>
  <si>
    <t>Add: Depreciation</t>
  </si>
  <si>
    <t>Add: Finance Cost</t>
  </si>
  <si>
    <t>Cash Flow before Working Capital Changes</t>
  </si>
  <si>
    <t>Changes in working capital</t>
  </si>
  <si>
    <t>Trade Receivable</t>
  </si>
  <si>
    <t>Other current assets</t>
  </si>
  <si>
    <t>Trade payable</t>
  </si>
  <si>
    <t>Other current liabilities</t>
  </si>
  <si>
    <t>Net Changes in working capital</t>
  </si>
  <si>
    <t>Over valued</t>
  </si>
  <si>
    <t>Total Current Assets(Operating)</t>
  </si>
  <si>
    <t>Total Current Liabalities(Operating)</t>
  </si>
  <si>
    <t>Provisions</t>
  </si>
  <si>
    <t>Sell / Avoid</t>
  </si>
  <si>
    <t>Row Labels</t>
  </si>
  <si>
    <t>Grand Total</t>
  </si>
  <si>
    <t>Average of Revenue Growth</t>
  </si>
  <si>
    <t>Sum of EBITDA Margin</t>
  </si>
  <si>
    <t>Sum of Return on Assets</t>
  </si>
  <si>
    <t>Sum of Return on Equity</t>
  </si>
  <si>
    <t>Sum of Current Ratio</t>
  </si>
  <si>
    <t>Sum of Debt/Equity Ratio</t>
  </si>
  <si>
    <t>Sum of Interest Coverage Ratio</t>
  </si>
  <si>
    <t>Sum of Asset Turnover</t>
  </si>
  <si>
    <t>Column Labels</t>
  </si>
  <si>
    <t>PHARMA INDUSTRY- PEER COMPARISON</t>
  </si>
  <si>
    <t>EVA = NOPAT -( WACC* Invested Capital)</t>
  </si>
  <si>
    <t>NOPAT = Operating Profit* (1 - Tax Rate)</t>
  </si>
  <si>
    <t>Tax rate</t>
  </si>
  <si>
    <t>Total Equity (M)</t>
  </si>
  <si>
    <t>Total Debt (M)</t>
  </si>
  <si>
    <t>Capital Employed</t>
  </si>
  <si>
    <t>WACC= Ke*Re+ Kd*Rd(1-tax rate)</t>
  </si>
  <si>
    <t>Cost of Equity (Ke)=Rf+Beta(Rm-Rf)</t>
  </si>
  <si>
    <t>Rf</t>
  </si>
  <si>
    <t>ERP</t>
  </si>
  <si>
    <t>Ke</t>
  </si>
  <si>
    <t>Kd</t>
  </si>
  <si>
    <t>Equity+Debt</t>
  </si>
  <si>
    <t>E/V</t>
  </si>
  <si>
    <t>D/V</t>
  </si>
  <si>
    <t>EVA</t>
  </si>
  <si>
    <t>Capital Employed = Total Shareholders' Funds+ Total Debt</t>
  </si>
  <si>
    <t>Latest market price from stock exchange</t>
  </si>
  <si>
    <t>ABOUT THE COMPANY</t>
  </si>
  <si>
    <t>Segment</t>
  </si>
  <si>
    <t>Cipla Limited</t>
  </si>
  <si>
    <t>Key Brands / Therapies</t>
  </si>
  <si>
    <t>Business Description</t>
  </si>
  <si>
    <t>Listing</t>
  </si>
  <si>
    <t>NSE / BSE</t>
  </si>
  <si>
    <t>Pharmaceuticals
(India)</t>
  </si>
  <si>
    <t>Ciprobay, Asthalin, Foracort,
Nexito, Ciplox, Rescof</t>
  </si>
  <si>
    <t>Branded prescription generics, trade generics, and consumer health products.
Largest revenue segment; #3 in Indian Rx market. #1 in Respiratory therapy.</t>
  </si>
  <si>
    <t>Sector</t>
  </si>
  <si>
    <t>Healthcare</t>
  </si>
  <si>
    <t>North America
(US)</t>
  </si>
  <si>
    <t>Generic inhalers, Albuterol,
Revlimid (generic), Absorica</t>
  </si>
  <si>
    <t>Industry</t>
  </si>
  <si>
    <t>Pharmaceuticals &amp; Generics</t>
  </si>
  <si>
    <t>South Africa /
Emerging Markets</t>
  </si>
  <si>
    <t>Cipla Medpro, Cipla Quality
Chemical Industries (CQCI)</t>
  </si>
  <si>
    <t>OTC, branded generics, and tender business. #3 private Rx market in South Africa.
Strong presence in Africa and EMEU (Emerging Markets &amp; Europe).</t>
  </si>
  <si>
    <t>Founded</t>
  </si>
  <si>
    <t>1935</t>
  </si>
  <si>
    <t>APIs (Active
Pharm. Ingredients)</t>
  </si>
  <si>
    <t>Bulk APIs supplied to third
parties and captive use</t>
  </si>
  <si>
    <t>Manufacture and supply of APIs globally. Supports cost control and supply chain
integrity. India is the world's 3rd largest API producer.</t>
  </si>
  <si>
    <t>Headquarters</t>
  </si>
  <si>
    <t>Mumbai, India</t>
  </si>
  <si>
    <t>New Ventures /
Digital Health</t>
  </si>
  <si>
    <t>Wellthy Therapeutics, Digital
Breathe Free, Inzpera</t>
  </si>
  <si>
    <t>Digital therapeutics, telehealth, biosimilars, and specialty pipeline investments.
Expansion into obesity (Semaglutide) and inhaled insulin (Afrezza).</t>
  </si>
  <si>
    <t>Promoter</t>
  </si>
  <si>
    <t>Hamied Family</t>
  </si>
  <si>
    <t>Market Cap</t>
  </si>
  <si>
    <t>Growth Drivers – Cipla Limited</t>
  </si>
  <si>
    <t>Cipla Limited represents a structurally strong play on India's branded generics and global respiratory franchise. Its #1 position in respiratory therapy, fast-growing US complex generics portfolio, and expanding South Africa/EMEU presence support durable revenue visibility. The company's investment in digital health and biosimilars provides future growth optionality. However, profitability is sensitive to US generic pricing, regulatory observations, and NPPA pricing controls in India.</t>
  </si>
  <si>
    <t>Growth Driver</t>
  </si>
  <si>
    <t>Explanation</t>
  </si>
  <si>
    <t>Valuation Significance</t>
  </si>
  <si>
    <t>Respiratory Market
Leadership</t>
  </si>
  <si>
    <t>Cipla holds #1 rank in India's respiratory therapy. Chronic COPD/asthma burden rising; inhalation CAGR ~9% to 2031.</t>
  </si>
  <si>
    <t>Supports pricing power, high-margin revenue mix, and competitive moat in complex device-led generics.</t>
  </si>
  <si>
    <t>US Complex Generics
Scale-Up</t>
  </si>
  <si>
    <t>FY25 US revenue reached $934M (highest ever). Pipeline of injectables, inhalation, and specialty products.</t>
  </si>
  <si>
    <t>Drives earnings growth and margin expansion; $10B+ patent cliff opportunity by 2029.</t>
  </si>
  <si>
    <t>Premiumization in
India Rx</t>
  </si>
  <si>
    <t>Chronic share rising (60%+ of India portfolio). Branded prescription growing ~12% YoY with price+mix uplift.</t>
  </si>
  <si>
    <t>Improves revenue quality and EBITDA margins; reduces cyclicality.</t>
  </si>
  <si>
    <t>Africa &amp; EMEU
Expansion</t>
  </si>
  <si>
    <t>South Africa private market growing 15-19% YoY; Africa provides tender + OTC revenue diversification.</t>
  </si>
  <si>
    <t>Adds geographic diversification; CQCI Africa is a long-term structural opportunity.</t>
  </si>
  <si>
    <t>Biosimilars &amp;
New Modalities</t>
  </si>
  <si>
    <t>Pipeline in semaglutide (GLP-1), oligonucleotides, inhaled insulin (Afrezza); digital therapeutics.</t>
  </si>
  <si>
    <t>Future growth optionality with high-barrier, high-margin pipeline.</t>
  </si>
  <si>
    <t>Jan Aushadhi /
Trade Generics</t>
  </si>
  <si>
    <t>Government push for affordable medicines expands volume market; Cipla's trade generics growing double-digit.</t>
  </si>
  <si>
    <t>Volume growth buffer and rural market penetration.</t>
  </si>
  <si>
    <t>Omni-Channel &amp;
Digital Health</t>
  </si>
  <si>
    <t>Digital Breathe Free platform (5L+ downloads). E-pharmacy and telehealth integration.</t>
  </si>
  <si>
    <t>Expands addressable patient base; improves adherence and brand recall.</t>
  </si>
  <si>
    <t>Brand Equity &amp;
Regulatory Track Record</t>
  </si>
  <si>
    <t>85%+ of physicians prescribe at least one Cipla product; 47 global manufacturing sites.</t>
  </si>
  <si>
    <t>Creates durable competitive advantages; supports entry into regulated markets like the US, EU.</t>
  </si>
  <si>
    <t>Economic Moat – Cipla Limited</t>
  </si>
  <si>
    <t>Cipla Limited possesses a strong economic moat anchored in three pillars: (1) Device-led inhalation leadership – Cipla's Rotahaler and respiratory franchise is the #1 in India and difficult to replicate, requiring device expertise alongside drug formulation. (2) Regulatory depth – with 47 manufacturing sites, US FDA approvals, and WHO GMP compliance, Cipla has built significant regulatory capital that serves as a durable entry barrier. (3) Brand trust in India and Africa – Cipla's 90-year legacy and Hamied family mission of affordable medicines has created deep physician loyalty (85%+ HCP coverage) and consumer trust. The company's net cash position of ~Rs. 10,369 crore (FY25) provides financial resilience and capacity for bolt-on acquisitions. Tata-like brand recall and public health credibility further reinforce competitive durability.</t>
  </si>
  <si>
    <t>Rs. 1.0 Trillion</t>
  </si>
  <si>
    <t>Complex generics, inhalation products, and specialty pharma for the US market.
Fastest-growing generic player; FY25 revenue of $934 million.</t>
  </si>
  <si>
    <t>CIPLA Limited.</t>
  </si>
  <si>
    <t>India Pharma Mkt (USD Bn)</t>
  </si>
  <si>
    <t>Cipla Revenue (Rs Cr)</t>
  </si>
  <si>
    <t>Cipla US Revenue (USD Mn)</t>
  </si>
  <si>
    <t>Organized Generics Share (%)</t>
  </si>
  <si>
    <t>Cipla India Mkt Share (%)</t>
  </si>
  <si>
    <t>Respiratory Market (Rs Cr)</t>
  </si>
  <si>
    <t>Cipla Rev Growth (%)</t>
  </si>
  <si>
    <t>India Pharma Mkt Growth (%)</t>
  </si>
  <si>
    <t>US Rev Growth (%)</t>
  </si>
  <si>
    <t>Org. Share Change (pp)</t>
  </si>
  <si>
    <t>Resp Mkt Growth (%)</t>
  </si>
  <si>
    <t>-</t>
  </si>
  <si>
    <t>Industry Analysis – Key Insights</t>
  </si>
  <si>
    <t>Cipla Revenue Trend</t>
  </si>
  <si>
    <t>Cipla's consolidated revenue has grown from ~Rs. 9,774 Cr (FY15) to ~Rs. 28,400 Cr (FY25), representing a ~11% CAGR over a decade. Growth has been driven by three engines: India branded prescription (+10-12% annually), North America complex generics (now $934M annually), and South Africa/EMEU markets. The company crossed Rs. 25,000 Cr in FY24 – a milestone that confirms large-cap generics scale. Revenue quality has improved as Cipla's revenue mix shifts toward complex, high-margin products (inhalers, specialty generics, biosimilars).</t>
  </si>
  <si>
    <t>India Pharma Market &amp; Organized Share</t>
  </si>
  <si>
    <t>India's pharma market grew from $20 Bn to $42 Bn over 2015-2025. Crucially, the organized segment's share has expanded from ~45% to ~60%, benefiting branded generics players like Cipla. Government schemes (Ayushman Bharat, PM Jan Aushadhi) have widened access while also constraining NPPA-regulated pricing. Cipla's India market share (~5.7%) has remained stable, reflecting both competitive market dynamics and Cipla's consistent outperformance in respiratory therapy.</t>
  </si>
  <si>
    <t>US Market &amp; Complex Generics</t>
  </si>
  <si>
    <t>North America revenue has scaled from ~$320M (FY15) to $934M (FY25), driven by complex generic launches (Albuterol, Revlimid, specialty injectables). The US generic market faces structural pricing erosion in plain generics, but complex products (inhalers, injectables, modified-release) provide pricing stability. Cipla is positioned as a 'fastest-growing generic player' in the US. The upcoming $10B+ patent cliff (2026-29) offers incremental launch opportunities.</t>
  </si>
  <si>
    <t>Respiratory Market Leadership</t>
  </si>
  <si>
    <t>Cipla's respiratory franchise is its deepest moat. India's respiratory burden (37M+ asthma/COPD patients) and rising pollution-linked cases (274 days exceeding WHO limits in Delhi) structurally support double-digit inhaler market growth. Cipla's Rotahaler platform and Foracort brand franchise dominate. Globally, inhalation therapy markets are expanding at 9%+ CAGR, and Cipla's device expertise creates high barriers for new entrants – regulatory ANDA pathways for inhalers are complex and time-consuming.</t>
  </si>
  <si>
    <t>Across the study period, Cipla's industry positioning has strengthened materially. The company has successfully navigated the complexity of operating across four distinct markets (India, US, South Africa, EMEU) with differentiated product strategies in each. The shift toward complex generics, inhalation, and specialty pharma has improved revenue quality and margin resilience. Market share in India's organized sector has remained stable while organized sector share itself expands – a structural tailwind. The industry's long-term outlook is favorable: India projected to reach $120-130 Bn by 2030, global patent cliff of $10B+ by 2029, and biosimilar/GLP-1 new market creation. Collectively, Cipla's industry analysis supports durable mid-to-high single digit revenue growth with margin expansion driven by complex product mix.</t>
  </si>
  <si>
    <t>Over the period 2015 to 2025, the Indian pharmaceutical market shows strong expansion, growing from $20 billion to $42 billion, indicating a robust increase in healthcare demand and industry potential. Alongside this, Cipla demonstrates consistent and significant revenue growth, with its revenue rising from ₹9,774 crore to ₹28,400 crore, reflecting strong operational performance and market positioning. A key contributor to this growth is the company’s increasing presence in the US market, where revenue nearly tripled from $320 million to $934 million, highlighting its success in regulated and high-margin markets. The share of organized generics also increased from 45% to 60%, suggesting a structural shift in the industry that benefits established players like Cipla. Although Cipla’s India market share improved from 4.8% to 5.8%, the growth remains gradual, indicating intense competition in the domestic market. Additionally, the respiratory segment, which is Cipla’s core strength, expanded significantly from ₹8,000 crore to ₹21,000 crore, supporting its competitive advantage. Overall, the data reflects that Cipla is on a strong growth trajectory driven by global expansion and therapeutic specialization, while still facing competitive pressures in its home market.</t>
  </si>
  <si>
    <t>WACC →</t>
  </si>
  <si>
    <t>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</si>
</sst>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0.00;\(#,##0.00\);\-"/>
    <numFmt numFmtId="165" formatCode="0.00%;\(0.00%\);\-"/>
    <numFmt numFmtId="166" formatCode="0.0%"/>
    <numFmt numFmtId="167" formatCode="#,##0.0"/>
    <numFmt numFmtId="168" formatCode="0.0"/>
    <numFmt numFmtId="169" formatCode="0.000%"/>
    <numFmt numFmtId="170" formatCode="0.00000000"/>
    <numFmt numFmtId="171" formatCode="_ * #,##0.0_ ;_ * \-#,##0.0_ ;_ * &quot;-&quot;??_ ;_ @_ "/>
    <numFmt numFmtId="172" formatCode="\₹#,##0"/>
    <numFmt numFmtId="173" formatCode="\₹#,##0.0"/>
    <numFmt numFmtId="174" formatCode="#,##0;\(#,##0\)"/>
    <numFmt numFmtId="175" formatCode="_(* #,##0.0_);_(* \(#,##0.0\);_(* &quot;-&quot;?_);@_)"/>
    <numFmt numFmtId="176" formatCode="_(* #,##0_);_(* \(#,##0\);_(* &quot;-&quot;?_);@_)"/>
    <numFmt numFmtId="177" formatCode="0.0000%"/>
  </numFmts>
  <fonts count="64" x14ac:knownFonts="1">
    <font>
      <sz val="11"/>
      <color theme="1"/>
      <name val="Calibri"/>
      <family val="2"/>
      <charset val="1"/>
    </font>
    <font>
      <sz val="11"/>
      <color theme="1"/>
      <name val="Calibri"/>
      <family val="2"/>
      <scheme val="minor"/>
    </font>
    <font>
      <sz val="11"/>
      <color theme="1"/>
      <name val="Calibri"/>
      <family val="2"/>
      <scheme val="minor"/>
    </font>
    <font>
      <sz val="10"/>
      <name val="Arial"/>
      <family val="2"/>
    </font>
    <font>
      <b/>
      <sz val="11"/>
      <color rgb="FFFFFFFF"/>
      <name val="Arial"/>
      <family val="2"/>
    </font>
    <font>
      <b/>
      <sz val="10"/>
      <color rgb="FFFFFFFF"/>
      <name val="Arial"/>
      <family val="2"/>
    </font>
    <font>
      <sz val="10"/>
      <name val="Arial"/>
      <family val="2"/>
    </font>
    <font>
      <sz val="10"/>
      <color rgb="FF0000FF"/>
      <name val="Arial"/>
      <family val="2"/>
    </font>
    <font>
      <b/>
      <sz val="10"/>
      <name val="Arial"/>
      <family val="2"/>
    </font>
    <font>
      <b/>
      <sz val="10"/>
      <color rgb="FF000000"/>
      <name val="Arial"/>
      <family val="2"/>
    </font>
    <font>
      <sz val="10"/>
      <color rgb="FF000000"/>
      <name val="Arial"/>
      <family val="2"/>
    </font>
    <font>
      <b/>
      <sz val="12"/>
      <color rgb="FFFFFFFF"/>
      <name val="Arial"/>
      <family val="2"/>
    </font>
    <font>
      <sz val="9"/>
      <color rgb="FFFFFFFF"/>
      <name val="Arial"/>
      <family val="2"/>
    </font>
    <font>
      <b/>
      <sz val="11"/>
      <color theme="0"/>
      <name val="Calibri"/>
      <family val="2"/>
      <scheme val="minor"/>
    </font>
    <font>
      <b/>
      <sz val="11"/>
      <color theme="1"/>
      <name val="Calibri"/>
      <family val="2"/>
      <scheme val="minor"/>
    </font>
    <font>
      <sz val="11"/>
      <name val="Calibri"/>
      <family val="2"/>
      <charset val="1"/>
    </font>
    <font>
      <sz val="9"/>
      <name val="Arial"/>
      <family val="2"/>
    </font>
    <font>
      <b/>
      <sz val="10"/>
      <name val="Arial"/>
      <family val="2"/>
    </font>
    <font>
      <sz val="10"/>
      <name val="Arial"/>
      <family val="2"/>
    </font>
    <font>
      <b/>
      <sz val="16"/>
      <color theme="0"/>
      <name val="Calibri"/>
      <family val="2"/>
      <scheme val="minor"/>
    </font>
    <font>
      <b/>
      <sz val="11"/>
      <color theme="0"/>
      <name val="Arial"/>
      <family val="2"/>
    </font>
    <font>
      <u/>
      <sz val="11"/>
      <color theme="10"/>
      <name val="Calibri"/>
      <family val="2"/>
      <charset val="1"/>
    </font>
    <font>
      <b/>
      <sz val="12"/>
      <color theme="0"/>
      <name val="Calibri"/>
      <family val="2"/>
      <scheme val="minor"/>
    </font>
    <font>
      <b/>
      <sz val="12"/>
      <color theme="1"/>
      <name val="Calibri"/>
      <family val="2"/>
      <scheme val="minor"/>
    </font>
    <font>
      <b/>
      <sz val="9"/>
      <color theme="1"/>
      <name val="Arial"/>
      <family val="2"/>
    </font>
    <font>
      <b/>
      <sz val="8"/>
      <color theme="0"/>
      <name val="Arial"/>
      <family val="2"/>
    </font>
    <font>
      <b/>
      <sz val="11"/>
      <color rgb="FFFFFFFF"/>
      <name val="Calibri"/>
      <family val="2"/>
    </font>
    <font>
      <sz val="9"/>
      <color rgb="FFFFFFFF"/>
      <name val="Arial"/>
      <family val="2"/>
    </font>
    <font>
      <b/>
      <sz val="12"/>
      <color rgb="FFFFFFFF"/>
      <name val="Arial"/>
      <family val="2"/>
    </font>
    <font>
      <sz val="12"/>
      <color theme="1"/>
      <name val="Calibri"/>
      <family val="2"/>
      <scheme val="minor"/>
    </font>
    <font>
      <b/>
      <sz val="14"/>
      <name val="Arial"/>
      <family val="2"/>
    </font>
    <font>
      <b/>
      <sz val="14"/>
      <color theme="0"/>
      <name val="Calibri"/>
      <family val="2"/>
      <scheme val="minor"/>
    </font>
    <font>
      <b/>
      <sz val="20"/>
      <color theme="0"/>
      <name val="Calibri"/>
      <family val="2"/>
      <scheme val="minor"/>
    </font>
    <font>
      <b/>
      <sz val="14"/>
      <color theme="1"/>
      <name val="Calibri"/>
      <family val="2"/>
      <scheme val="minor"/>
    </font>
    <font>
      <b/>
      <sz val="14"/>
      <color rgb="FFFFFFFF"/>
      <name val="Arial"/>
      <family val="2"/>
    </font>
    <font>
      <sz val="10"/>
      <color theme="0"/>
      <name val="Arial"/>
      <family val="2"/>
    </font>
    <font>
      <b/>
      <sz val="10"/>
      <color theme="0"/>
      <name val="Arial"/>
      <family val="2"/>
    </font>
    <font>
      <sz val="11"/>
      <color theme="0"/>
      <name val="Calibri"/>
      <family val="2"/>
      <charset val="1"/>
    </font>
    <font>
      <b/>
      <sz val="11"/>
      <color theme="0"/>
      <name val="Calibri"/>
      <family val="2"/>
    </font>
    <font>
      <b/>
      <sz val="11"/>
      <color theme="1"/>
      <name val="Arial"/>
      <family val="2"/>
    </font>
    <font>
      <sz val="9"/>
      <color theme="1"/>
      <name val="Arial"/>
      <family val="2"/>
    </font>
    <font>
      <b/>
      <sz val="16"/>
      <color theme="0"/>
      <name val="Calibri"/>
      <family val="2"/>
    </font>
    <font>
      <b/>
      <sz val="18"/>
      <color theme="0"/>
      <name val="Calibri"/>
      <family val="2"/>
    </font>
    <font>
      <b/>
      <sz val="26"/>
      <color theme="0"/>
      <name val="Calibri"/>
      <family val="2"/>
    </font>
    <font>
      <b/>
      <sz val="11"/>
      <color theme="1"/>
      <name val="Calibri"/>
      <family val="2"/>
    </font>
    <font>
      <b/>
      <sz val="12"/>
      <color theme="1"/>
      <name val="Calibri"/>
      <family val="2"/>
    </font>
    <font>
      <sz val="20"/>
      <color theme="0"/>
      <name val="Calibri"/>
      <family val="2"/>
      <scheme val="minor"/>
    </font>
    <font>
      <b/>
      <sz val="16"/>
      <color theme="0"/>
      <name val="Arial"/>
      <family val="2"/>
    </font>
    <font>
      <b/>
      <sz val="18"/>
      <color theme="0"/>
      <name val="Arial"/>
      <family val="2"/>
    </font>
    <font>
      <sz val="10"/>
      <color rgb="FF000000"/>
      <name val="Times"/>
    </font>
    <font>
      <sz val="18"/>
      <color theme="1"/>
      <name val="Calibri"/>
      <family val="2"/>
      <scheme val="minor"/>
    </font>
    <font>
      <sz val="12"/>
      <color theme="1"/>
      <name val="Calibri"/>
      <family val="2"/>
      <charset val="1"/>
    </font>
    <font>
      <u/>
      <sz val="12"/>
      <color theme="10"/>
      <name val="Calibri"/>
      <family val="2"/>
      <charset val="1"/>
    </font>
    <font>
      <sz val="12"/>
      <color rgb="FF000000"/>
      <name val="Roboto"/>
    </font>
    <font>
      <b/>
      <sz val="10"/>
      <color rgb="FF1F3864"/>
      <name val="Arial"/>
      <family val="2"/>
    </font>
    <font>
      <sz val="9"/>
      <color rgb="FF1F3864"/>
      <name val="Arial"/>
      <family val="2"/>
    </font>
    <font>
      <sz val="9"/>
      <color rgb="FF000000"/>
      <name val="Arial"/>
      <family val="2"/>
    </font>
    <font>
      <b/>
      <sz val="9"/>
      <color rgb="FFFFFFFF"/>
      <name val="Arial"/>
      <family val="2"/>
    </font>
    <font>
      <b/>
      <sz val="9"/>
      <color rgb="FF1F3864"/>
      <name val="Arial"/>
      <family val="2"/>
    </font>
    <font>
      <b/>
      <sz val="26"/>
      <color theme="5" tint="-0.249977111117893"/>
      <name val="Calibri"/>
      <family val="2"/>
    </font>
    <font>
      <b/>
      <sz val="10"/>
      <color rgb="FF000000"/>
      <name val="Calibri"/>
      <family val="2"/>
    </font>
    <font>
      <sz val="10"/>
      <color rgb="FF000000"/>
      <name val="Calibri"/>
      <family val="2"/>
    </font>
    <font>
      <sz val="11"/>
      <color theme="0"/>
      <name val="Calibri"/>
      <family val="2"/>
    </font>
    <font>
      <b/>
      <sz val="10"/>
      <color theme="0"/>
      <name val="Calibri"/>
      <family val="2"/>
    </font>
  </fonts>
  <fills count="33">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D6E4F0"/>
        <bgColor rgb="FFDCE6F1"/>
      </patternFill>
    </fill>
    <fill>
      <patternFill patternType="solid">
        <fgColor rgb="FFEBF3FB"/>
        <bgColor rgb="FFDCE6F1"/>
      </patternFill>
    </fill>
    <fill>
      <patternFill patternType="solid">
        <fgColor theme="4"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3" tint="-0.249977111117893"/>
        <bgColor indexed="64"/>
      </patternFill>
    </fill>
    <fill>
      <patternFill patternType="solid">
        <fgColor theme="7" tint="0.79998168889431442"/>
        <bgColor indexed="64"/>
      </patternFill>
    </fill>
    <fill>
      <patternFill patternType="solid">
        <fgColor rgb="FF1F3864"/>
        <bgColor rgb="FF333333"/>
      </patternFill>
    </fill>
    <fill>
      <patternFill patternType="solid">
        <fgColor rgb="FF2F5496"/>
        <bgColor rgb="FF1F3864"/>
      </patternFill>
    </fill>
    <fill>
      <patternFill patternType="solid">
        <fgColor rgb="FF4472C4"/>
        <bgColor rgb="FF2F5496"/>
      </patternFill>
    </fill>
    <fill>
      <patternFill patternType="solid">
        <fgColor theme="9" tint="0.79998168889431442"/>
        <bgColor indexed="64"/>
      </patternFill>
    </fill>
    <fill>
      <patternFill patternType="solid">
        <fgColor theme="0"/>
        <bgColor indexed="64"/>
      </patternFill>
    </fill>
    <fill>
      <patternFill patternType="gray125">
        <bgColor theme="0"/>
      </patternFill>
    </fill>
    <fill>
      <patternFill patternType="solid">
        <fgColor theme="8" tint="0.39997558519241921"/>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2F2F2"/>
      </patternFill>
    </fill>
    <fill>
      <patternFill patternType="solid">
        <fgColor rgb="FF2E86AB"/>
      </patternFill>
    </fill>
    <fill>
      <patternFill patternType="solid">
        <fgColor rgb="FFA8D5E2"/>
      </patternFill>
    </fill>
    <fill>
      <patternFill patternType="solid">
        <fgColor rgb="FFFFFFFF"/>
      </patternFill>
    </fill>
    <fill>
      <patternFill patternType="solid">
        <fgColor rgb="FF1F3864"/>
      </patternFill>
    </fill>
    <fill>
      <patternFill patternType="solid">
        <fgColor theme="5" tint="0.59999389629810485"/>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8" tint="-0.249977111117893"/>
        <bgColor rgb="FFD6EAF8"/>
      </patternFill>
    </fill>
    <fill>
      <patternFill patternType="solid">
        <fgColor theme="8" tint="-0.249977111117893"/>
        <bgColor rgb="FFDEEAF1"/>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BFBFBF"/>
      </left>
      <right/>
      <top style="thin">
        <color rgb="FFBFBFBF"/>
      </top>
      <bottom style="thin">
        <color rgb="FFBFBFBF"/>
      </bottom>
      <diagonal/>
    </border>
    <border>
      <left style="medium">
        <color indexed="64"/>
      </left>
      <right style="thin">
        <color rgb="FFBFBFBF"/>
      </right>
      <top/>
      <bottom style="medium">
        <color indexed="64"/>
      </bottom>
      <diagonal/>
    </border>
    <border>
      <left style="thin">
        <color rgb="FFBFBFBF"/>
      </left>
      <right style="thin">
        <color rgb="FFBFBFBF"/>
      </right>
      <top/>
      <bottom style="medium">
        <color indexed="64"/>
      </bottom>
      <diagonal/>
    </border>
    <border>
      <left style="thin">
        <color rgb="FFBFBFBF"/>
      </left>
      <right style="medium">
        <color indexed="64"/>
      </right>
      <top/>
      <bottom style="medium">
        <color indexed="64"/>
      </bottom>
      <diagonal/>
    </border>
    <border>
      <left style="medium">
        <color indexed="64"/>
      </left>
      <right style="thin">
        <color rgb="FFBFBFBF"/>
      </right>
      <top style="medium">
        <color indexed="64"/>
      </top>
      <bottom style="medium">
        <color indexed="64"/>
      </bottom>
      <diagonal/>
    </border>
    <border>
      <left style="thin">
        <color rgb="FFBFBFBF"/>
      </left>
      <right style="thin">
        <color rgb="FFBFBFBF"/>
      </right>
      <top style="medium">
        <color indexed="64"/>
      </top>
      <bottom style="medium">
        <color indexed="64"/>
      </bottom>
      <diagonal/>
    </border>
    <border>
      <left style="thin">
        <color rgb="FFBFBFBF"/>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thin">
        <color rgb="FFAAAAAA"/>
      </left>
      <right style="thin">
        <color rgb="FFAAAAAA"/>
      </right>
      <top style="thin">
        <color rgb="FFAAAAAA"/>
      </top>
      <bottom style="thin">
        <color rgb="FFAAAAAA"/>
      </bottom>
      <diagonal/>
    </border>
    <border>
      <left style="medium">
        <color indexed="64"/>
      </left>
      <right style="thin">
        <color rgb="FFAAAAAA"/>
      </right>
      <top style="thin">
        <color rgb="FFAAAAAA"/>
      </top>
      <bottom style="thin">
        <color rgb="FFAAAAAA"/>
      </bottom>
      <diagonal/>
    </border>
  </borders>
  <cellStyleXfs count="7">
    <xf numFmtId="0" fontId="0" fillId="0" borderId="0"/>
    <xf numFmtId="43" fontId="3" fillId="0" borderId="0" applyBorder="0" applyAlignment="0" applyProtection="0"/>
    <xf numFmtId="9" fontId="3" fillId="0" borderId="0" applyBorder="0" applyAlignment="0" applyProtection="0"/>
    <xf numFmtId="0" fontId="21" fillId="0" borderId="0" applyNumberFormat="0" applyFill="0" applyBorder="0" applyAlignment="0" applyProtection="0"/>
    <xf numFmtId="0" fontId="2" fillId="0" borderId="0"/>
    <xf numFmtId="9" fontId="2" fillId="0" borderId="0" applyFont="0" applyFill="0" applyBorder="0" applyAlignment="0" applyProtection="0"/>
    <xf numFmtId="0" fontId="1" fillId="0" borderId="0"/>
  </cellStyleXfs>
  <cellXfs count="407">
    <xf numFmtId="0" fontId="0" fillId="0" borderId="0" xfId="0"/>
    <xf numFmtId="0" fontId="5" fillId="3" borderId="0" xfId="0" applyFont="1" applyFill="1" applyAlignment="1">
      <alignment horizontal="left" vertical="center"/>
    </xf>
    <xf numFmtId="0" fontId="5" fillId="3" borderId="0" xfId="0" applyFont="1" applyFill="1" applyAlignment="1">
      <alignment horizontal="left" vertical="center" wrapText="1"/>
    </xf>
    <xf numFmtId="0" fontId="5" fillId="3" borderId="0" xfId="0" applyFont="1" applyFill="1" applyAlignment="1">
      <alignment horizontal="center" vertical="center" wrapText="1"/>
    </xf>
    <xf numFmtId="0" fontId="5" fillId="2" borderId="0" xfId="0" applyFont="1" applyFill="1" applyAlignment="1">
      <alignment horizontal="left" vertical="center" wrapText="1"/>
    </xf>
    <xf numFmtId="0" fontId="0" fillId="2" borderId="0" xfId="0" applyFill="1"/>
    <xf numFmtId="0" fontId="6" fillId="0" borderId="0" xfId="0" applyFont="1" applyAlignment="1">
      <alignment horizontal="left" vertical="center" wrapText="1"/>
    </xf>
    <xf numFmtId="164" fontId="7" fillId="0" borderId="0" xfId="0" applyNumberFormat="1" applyFont="1" applyAlignment="1">
      <alignment horizontal="right" vertical="center"/>
    </xf>
    <xf numFmtId="0" fontId="6" fillId="0" borderId="0" xfId="0" applyFont="1" applyAlignment="1">
      <alignment horizontal="left" vertical="center" wrapText="1" indent="1"/>
    </xf>
    <xf numFmtId="0" fontId="8" fillId="4" borderId="0" xfId="0" applyFont="1" applyFill="1" applyAlignment="1">
      <alignment horizontal="left" vertical="center" wrapText="1"/>
    </xf>
    <xf numFmtId="164" fontId="7" fillId="4" borderId="0" xfId="0" applyNumberFormat="1" applyFont="1" applyFill="1" applyAlignment="1">
      <alignment horizontal="right" vertical="center"/>
    </xf>
    <xf numFmtId="0" fontId="5" fillId="3" borderId="0" xfId="0" applyFont="1" applyFill="1" applyAlignment="1">
      <alignment horizontal="center" vertical="center"/>
    </xf>
    <xf numFmtId="0" fontId="9" fillId="4" borderId="0" xfId="0" applyFont="1" applyFill="1" applyAlignment="1">
      <alignment horizontal="left" vertical="center" wrapText="1"/>
    </xf>
    <xf numFmtId="0" fontId="10" fillId="0" borderId="0" xfId="0" applyFont="1" applyAlignment="1">
      <alignment horizontal="left" vertical="center" wrapText="1"/>
    </xf>
    <xf numFmtId="0" fontId="5" fillId="2" borderId="0" xfId="0" applyFont="1" applyFill="1" applyAlignment="1">
      <alignment horizontal="left" vertical="center"/>
    </xf>
    <xf numFmtId="0" fontId="5" fillId="2" borderId="0" xfId="0" applyFont="1" applyFill="1" applyAlignment="1">
      <alignment horizontal="center" vertical="center" wrapText="1"/>
    </xf>
    <xf numFmtId="164" fontId="10" fillId="4" borderId="0" xfId="0" applyNumberFormat="1" applyFont="1" applyFill="1" applyAlignment="1">
      <alignment horizontal="right" vertical="center"/>
    </xf>
    <xf numFmtId="0" fontId="10" fillId="0" borderId="0" xfId="0" applyFont="1" applyAlignment="1">
      <alignment horizontal="left" vertical="center" wrapText="1" indent="1"/>
    </xf>
    <xf numFmtId="0" fontId="15" fillId="0" borderId="0" xfId="0" applyFont="1"/>
    <xf numFmtId="0" fontId="17" fillId="0" borderId="0" xfId="0" applyFont="1" applyAlignment="1">
      <alignment horizontal="left" vertical="center" wrapText="1"/>
    </xf>
    <xf numFmtId="165" fontId="18" fillId="0" borderId="0" xfId="0" applyNumberFormat="1" applyFont="1" applyAlignment="1">
      <alignment horizontal="right" vertical="center" wrapText="1"/>
    </xf>
    <xf numFmtId="0" fontId="16" fillId="0" borderId="0" xfId="0" applyFont="1"/>
    <xf numFmtId="165" fontId="18" fillId="0" borderId="0" xfId="0" applyNumberFormat="1" applyFont="1" applyAlignment="1">
      <alignment horizontal="right" vertical="center"/>
    </xf>
    <xf numFmtId="166" fontId="18" fillId="0" borderId="0" xfId="0" applyNumberFormat="1" applyFont="1" applyAlignment="1">
      <alignment horizontal="right"/>
    </xf>
    <xf numFmtId="0" fontId="0" fillId="0" borderId="5" xfId="0" applyBorder="1"/>
    <xf numFmtId="0" fontId="0" fillId="0" borderId="7" xfId="0" applyBorder="1"/>
    <xf numFmtId="0" fontId="0" fillId="0" borderId="8" xfId="0" applyBorder="1"/>
    <xf numFmtId="9" fontId="0" fillId="0" borderId="8" xfId="0" applyNumberFormat="1" applyBorder="1"/>
    <xf numFmtId="10" fontId="0" fillId="0" borderId="8" xfId="0" applyNumberFormat="1" applyBorder="1"/>
    <xf numFmtId="0" fontId="0" fillId="0" borderId="10" xfId="0" applyBorder="1"/>
    <xf numFmtId="0" fontId="0" fillId="0" borderId="11" xfId="0" applyBorder="1"/>
    <xf numFmtId="0" fontId="23" fillId="7" borderId="8" xfId="0" applyFont="1" applyFill="1" applyBorder="1" applyAlignment="1">
      <alignment horizontal="center"/>
    </xf>
    <xf numFmtId="0" fontId="14" fillId="7" borderId="8" xfId="0" applyFont="1" applyFill="1" applyBorder="1"/>
    <xf numFmtId="15" fontId="0" fillId="7" borderId="8" xfId="0" applyNumberFormat="1" applyFill="1" applyBorder="1"/>
    <xf numFmtId="0" fontId="0" fillId="7" borderId="8" xfId="0" applyFill="1" applyBorder="1"/>
    <xf numFmtId="0" fontId="14" fillId="8" borderId="14" xfId="0" applyFont="1" applyFill="1" applyBorder="1"/>
    <xf numFmtId="0" fontId="14" fillId="8" borderId="15" xfId="0" applyFont="1" applyFill="1" applyBorder="1"/>
    <xf numFmtId="0" fontId="0" fillId="8" borderId="16" xfId="0" applyFill="1" applyBorder="1"/>
    <xf numFmtId="0" fontId="0" fillId="8" borderId="17" xfId="0" applyFill="1" applyBorder="1"/>
    <xf numFmtId="0" fontId="14" fillId="8" borderId="16" xfId="0" applyFont="1" applyFill="1" applyBorder="1"/>
    <xf numFmtId="0" fontId="14" fillId="8" borderId="17" xfId="0" applyFont="1" applyFill="1" applyBorder="1"/>
    <xf numFmtId="0" fontId="14" fillId="8" borderId="18" xfId="0" applyFont="1" applyFill="1" applyBorder="1"/>
    <xf numFmtId="0" fontId="14" fillId="8" borderId="19" xfId="0" applyFont="1" applyFill="1" applyBorder="1"/>
    <xf numFmtId="0" fontId="14" fillId="0" borderId="0" xfId="0" applyFont="1"/>
    <xf numFmtId="0" fontId="25" fillId="6" borderId="1" xfId="0" applyFont="1" applyFill="1" applyBorder="1" applyAlignment="1">
      <alignment horizontal="left"/>
    </xf>
    <xf numFmtId="0" fontId="13" fillId="10" borderId="1" xfId="0" applyFont="1" applyFill="1" applyBorder="1"/>
    <xf numFmtId="0" fontId="14" fillId="10" borderId="2" xfId="0" applyFont="1" applyFill="1" applyBorder="1"/>
    <xf numFmtId="0" fontId="14" fillId="10" borderId="3" xfId="0" applyFont="1" applyFill="1" applyBorder="1"/>
    <xf numFmtId="0" fontId="14" fillId="0" borderId="16" xfId="0" applyFont="1" applyBorder="1"/>
    <xf numFmtId="0" fontId="14" fillId="0" borderId="17" xfId="0" applyFont="1" applyBorder="1"/>
    <xf numFmtId="0" fontId="16" fillId="0" borderId="0" xfId="0" applyFont="1" applyAlignment="1">
      <alignment horizontal="left" indent="1"/>
    </xf>
    <xf numFmtId="0" fontId="29" fillId="0" borderId="0" xfId="0" applyFont="1"/>
    <xf numFmtId="9" fontId="29" fillId="0" borderId="0" xfId="0" applyNumberFormat="1" applyFont="1"/>
    <xf numFmtId="164" fontId="18" fillId="0" borderId="8" xfId="0" applyNumberFormat="1" applyFont="1" applyBorder="1" applyAlignment="1">
      <alignment horizontal="right" vertical="center"/>
    </xf>
    <xf numFmtId="164" fontId="18" fillId="8" borderId="8" xfId="0" applyNumberFormat="1" applyFont="1" applyFill="1" applyBorder="1" applyAlignment="1">
      <alignment horizontal="right" vertical="center"/>
    </xf>
    <xf numFmtId="0" fontId="18" fillId="0" borderId="8" xfId="0" applyFont="1" applyBorder="1" applyAlignment="1">
      <alignment horizontal="center"/>
    </xf>
    <xf numFmtId="165" fontId="18" fillId="0" borderId="8" xfId="0" applyNumberFormat="1" applyFont="1" applyBorder="1" applyAlignment="1">
      <alignment horizontal="right" vertical="center"/>
    </xf>
    <xf numFmtId="165" fontId="18" fillId="8" borderId="8" xfId="0" applyNumberFormat="1" applyFont="1" applyFill="1" applyBorder="1" applyAlignment="1">
      <alignment horizontal="right" vertical="center"/>
    </xf>
    <xf numFmtId="0" fontId="15" fillId="0" borderId="8" xfId="0" applyFont="1" applyBorder="1"/>
    <xf numFmtId="0" fontId="15" fillId="8" borderId="8" xfId="0" applyFont="1" applyFill="1" applyBorder="1"/>
    <xf numFmtId="166" fontId="18" fillId="8" borderId="8" xfId="0" applyNumberFormat="1" applyFont="1" applyFill="1" applyBorder="1" applyAlignment="1">
      <alignment horizontal="right"/>
    </xf>
    <xf numFmtId="0" fontId="17" fillId="0" borderId="8" xfId="0" applyFont="1" applyBorder="1" applyAlignment="1">
      <alignment vertical="center" wrapText="1"/>
    </xf>
    <xf numFmtId="0" fontId="17" fillId="8" borderId="8" xfId="0" applyFont="1" applyFill="1" applyBorder="1" applyAlignment="1">
      <alignment vertical="center" wrapText="1"/>
    </xf>
    <xf numFmtId="0" fontId="19" fillId="6" borderId="4" xfId="0" applyFont="1" applyFill="1" applyBorder="1" applyAlignment="1">
      <alignment horizontal="center" vertical="center"/>
    </xf>
    <xf numFmtId="0" fontId="20" fillId="6" borderId="5" xfId="0" applyFont="1" applyFill="1" applyBorder="1" applyAlignment="1">
      <alignment horizontal="center" vertical="center" wrapText="1"/>
    </xf>
    <xf numFmtId="0" fontId="20" fillId="6" borderId="6" xfId="0" applyFont="1" applyFill="1" applyBorder="1" applyAlignment="1">
      <alignment horizontal="center" vertical="center" wrapText="1"/>
    </xf>
    <xf numFmtId="0" fontId="17" fillId="0" borderId="7" xfId="0" applyFont="1" applyBorder="1" applyAlignment="1">
      <alignment horizontal="left" vertical="center" wrapText="1"/>
    </xf>
    <xf numFmtId="164" fontId="18" fillId="8" borderId="9" xfId="0" applyNumberFormat="1" applyFont="1" applyFill="1" applyBorder="1" applyAlignment="1">
      <alignment horizontal="right" vertical="center"/>
    </xf>
    <xf numFmtId="0" fontId="18" fillId="0" borderId="7" xfId="0" applyFont="1" applyBorder="1" applyAlignment="1">
      <alignment horizontal="left" vertical="center"/>
    </xf>
    <xf numFmtId="165" fontId="18" fillId="8" borderId="9" xfId="0" applyNumberFormat="1" applyFont="1" applyFill="1" applyBorder="1" applyAlignment="1">
      <alignment horizontal="right" vertical="center"/>
    </xf>
    <xf numFmtId="0" fontId="15" fillId="0" borderId="7" xfId="0" applyFont="1" applyBorder="1"/>
    <xf numFmtId="0" fontId="15" fillId="8" borderId="9" xfId="0" applyFont="1" applyFill="1" applyBorder="1"/>
    <xf numFmtId="0" fontId="18" fillId="0" borderId="7" xfId="0" applyFont="1" applyBorder="1" applyAlignment="1">
      <alignment horizontal="left" vertical="center" wrapText="1"/>
    </xf>
    <xf numFmtId="0" fontId="16" fillId="0" borderId="7" xfId="0" applyFont="1" applyBorder="1" applyAlignment="1">
      <alignment horizontal="left" indent="1"/>
    </xf>
    <xf numFmtId="166" fontId="18" fillId="8" borderId="9" xfId="0" applyNumberFormat="1" applyFont="1" applyFill="1" applyBorder="1" applyAlignment="1">
      <alignment horizontal="right"/>
    </xf>
    <xf numFmtId="0" fontId="17" fillId="0" borderId="7" xfId="0" applyFont="1" applyBorder="1" applyAlignment="1">
      <alignment vertical="center" wrapText="1"/>
    </xf>
    <xf numFmtId="0" fontId="17" fillId="8" borderId="9" xfId="0" applyFont="1" applyFill="1" applyBorder="1" applyAlignment="1">
      <alignment vertical="center" wrapText="1"/>
    </xf>
    <xf numFmtId="0" fontId="16" fillId="0" borderId="10" xfId="0" applyFont="1" applyBorder="1" applyAlignment="1">
      <alignment horizontal="left" indent="1"/>
    </xf>
    <xf numFmtId="165" fontId="18" fillId="0" borderId="11" xfId="0" applyNumberFormat="1" applyFont="1" applyBorder="1" applyAlignment="1">
      <alignment horizontal="right" vertical="center"/>
    </xf>
    <xf numFmtId="166" fontId="18" fillId="8" borderId="11" xfId="0" applyNumberFormat="1" applyFont="1" applyFill="1" applyBorder="1" applyAlignment="1">
      <alignment horizontal="right"/>
    </xf>
    <xf numFmtId="166" fontId="18" fillId="8" borderId="13" xfId="0" applyNumberFormat="1" applyFont="1" applyFill="1" applyBorder="1" applyAlignment="1">
      <alignment horizontal="right"/>
    </xf>
    <xf numFmtId="167" fontId="18" fillId="0" borderId="8" xfId="0" applyNumberFormat="1" applyFont="1" applyBorder="1" applyAlignment="1">
      <alignment horizontal="right" vertical="center"/>
    </xf>
    <xf numFmtId="4" fontId="18" fillId="0" borderId="8" xfId="0" applyNumberFormat="1" applyFont="1" applyBorder="1" applyAlignment="1">
      <alignment horizontal="right" vertical="center"/>
    </xf>
    <xf numFmtId="0" fontId="18" fillId="0" borderId="10" xfId="0" applyFont="1" applyBorder="1" applyAlignment="1">
      <alignment horizontal="left" vertical="center" wrapText="1"/>
    </xf>
    <xf numFmtId="4" fontId="18" fillId="0" borderId="11" xfId="0" applyNumberFormat="1" applyFont="1" applyBorder="1" applyAlignment="1">
      <alignment horizontal="right" vertical="center"/>
    </xf>
    <xf numFmtId="167" fontId="18" fillId="8" borderId="8" xfId="0" applyNumberFormat="1" applyFont="1" applyFill="1" applyBorder="1" applyAlignment="1">
      <alignment horizontal="right" vertical="center"/>
    </xf>
    <xf numFmtId="167" fontId="18" fillId="8" borderId="9" xfId="0" applyNumberFormat="1" applyFont="1" applyFill="1" applyBorder="1" applyAlignment="1">
      <alignment horizontal="right" vertical="center"/>
    </xf>
    <xf numFmtId="168" fontId="18" fillId="8" borderId="8" xfId="0" applyNumberFormat="1" applyFont="1" applyFill="1" applyBorder="1" applyAlignment="1">
      <alignment horizontal="right"/>
    </xf>
    <xf numFmtId="168" fontId="18" fillId="8" borderId="9" xfId="0" applyNumberFormat="1" applyFont="1" applyFill="1" applyBorder="1" applyAlignment="1">
      <alignment horizontal="right"/>
    </xf>
    <xf numFmtId="4" fontId="18" fillId="8" borderId="8" xfId="0" applyNumberFormat="1" applyFont="1" applyFill="1" applyBorder="1" applyAlignment="1">
      <alignment horizontal="right" vertical="center"/>
    </xf>
    <xf numFmtId="4" fontId="18" fillId="8" borderId="9" xfId="0" applyNumberFormat="1" applyFont="1" applyFill="1" applyBorder="1" applyAlignment="1">
      <alignment horizontal="right" vertical="center"/>
    </xf>
    <xf numFmtId="4" fontId="18" fillId="8" borderId="11" xfId="0" applyNumberFormat="1" applyFont="1" applyFill="1" applyBorder="1" applyAlignment="1">
      <alignment horizontal="right" vertical="center"/>
    </xf>
    <xf numFmtId="4" fontId="18" fillId="8" borderId="13" xfId="0" applyNumberFormat="1" applyFont="1" applyFill="1" applyBorder="1" applyAlignment="1">
      <alignment horizontal="right" vertical="center"/>
    </xf>
    <xf numFmtId="0" fontId="18" fillId="0" borderId="8" xfId="0" applyFont="1" applyBorder="1" applyAlignment="1">
      <alignment horizontal="center" vertical="center"/>
    </xf>
    <xf numFmtId="0" fontId="10" fillId="0" borderId="7" xfId="0" applyFont="1" applyBorder="1" applyAlignment="1">
      <alignment horizontal="left" vertical="center" wrapText="1"/>
    </xf>
    <xf numFmtId="0" fontId="8" fillId="0" borderId="7" xfId="0" applyFont="1" applyBorder="1" applyAlignment="1">
      <alignment horizontal="left" vertical="center"/>
    </xf>
    <xf numFmtId="0" fontId="9" fillId="0" borderId="7" xfId="0" applyFont="1" applyBorder="1" applyAlignment="1">
      <alignment horizontal="left" vertical="center" wrapText="1"/>
    </xf>
    <xf numFmtId="0" fontId="6" fillId="0" borderId="10" xfId="0" applyFont="1" applyBorder="1" applyAlignment="1">
      <alignment horizontal="left" vertical="center"/>
    </xf>
    <xf numFmtId="165" fontId="18" fillId="8" borderId="11" xfId="0" applyNumberFormat="1" applyFont="1" applyFill="1" applyBorder="1" applyAlignment="1">
      <alignment horizontal="right" vertical="center"/>
    </xf>
    <xf numFmtId="165" fontId="18" fillId="8" borderId="13" xfId="0" applyNumberFormat="1" applyFont="1" applyFill="1" applyBorder="1" applyAlignment="1">
      <alignment horizontal="right" vertical="center"/>
    </xf>
    <xf numFmtId="0" fontId="18" fillId="0" borderId="0" xfId="0" applyFont="1" applyAlignment="1">
      <alignment horizontal="left" vertical="center" wrapText="1"/>
    </xf>
    <xf numFmtId="4" fontId="18" fillId="0" borderId="0" xfId="0" applyNumberFormat="1" applyFont="1" applyAlignment="1">
      <alignment horizontal="right" vertical="center"/>
    </xf>
    <xf numFmtId="0" fontId="12" fillId="0" borderId="0" xfId="0" applyFont="1" applyAlignment="1">
      <alignment horizontal="center" vertical="center" wrapText="1"/>
    </xf>
    <xf numFmtId="164" fontId="18" fillId="4" borderId="8" xfId="0" applyNumberFormat="1" applyFont="1" applyFill="1" applyBorder="1" applyAlignment="1">
      <alignment horizontal="right" vertical="center"/>
    </xf>
    <xf numFmtId="0" fontId="5" fillId="2" borderId="7" xfId="0" applyFont="1" applyFill="1" applyBorder="1" applyAlignment="1">
      <alignment horizontal="left" vertical="center" wrapText="1"/>
    </xf>
    <xf numFmtId="164" fontId="18" fillId="0" borderId="9" xfId="0" applyNumberFormat="1" applyFont="1" applyBorder="1" applyAlignment="1">
      <alignment horizontal="right" vertical="center"/>
    </xf>
    <xf numFmtId="0" fontId="17" fillId="4" borderId="7" xfId="0" applyFont="1" applyFill="1" applyBorder="1" applyAlignment="1">
      <alignment horizontal="left" vertical="center" wrapText="1"/>
    </xf>
    <xf numFmtId="164" fontId="18" fillId="4" borderId="9" xfId="0" applyNumberFormat="1" applyFont="1" applyFill="1" applyBorder="1" applyAlignment="1">
      <alignment horizontal="right" vertical="center"/>
    </xf>
    <xf numFmtId="0" fontId="15" fillId="0" borderId="9" xfId="0" applyFont="1" applyBorder="1"/>
    <xf numFmtId="165" fontId="18" fillId="0" borderId="9" xfId="0" applyNumberFormat="1" applyFont="1" applyBorder="1" applyAlignment="1">
      <alignment horizontal="right" vertical="center"/>
    </xf>
    <xf numFmtId="0" fontId="0" fillId="0" borderId="9" xfId="0" applyBorder="1"/>
    <xf numFmtId="4" fontId="18" fillId="0" borderId="9" xfId="0" applyNumberFormat="1" applyFont="1" applyBorder="1" applyAlignment="1">
      <alignment horizontal="right" vertical="center"/>
    </xf>
    <xf numFmtId="4" fontId="18" fillId="0" borderId="13" xfId="0" applyNumberFormat="1" applyFont="1" applyBorder="1" applyAlignment="1">
      <alignment horizontal="right" vertical="center"/>
    </xf>
    <xf numFmtId="164" fontId="5" fillId="2" borderId="8" xfId="0" applyNumberFormat="1" applyFont="1" applyFill="1" applyBorder="1" applyAlignment="1">
      <alignment horizontal="right" vertical="center"/>
    </xf>
    <xf numFmtId="0" fontId="17" fillId="5" borderId="7" xfId="0" applyFont="1" applyFill="1" applyBorder="1" applyAlignment="1">
      <alignment horizontal="left" vertical="center"/>
    </xf>
    <xf numFmtId="0" fontId="18" fillId="0" borderId="7" xfId="0" applyFont="1" applyBorder="1" applyAlignment="1">
      <alignment horizontal="left" vertical="center" wrapText="1" indent="1"/>
    </xf>
    <xf numFmtId="164" fontId="5" fillId="2" borderId="9" xfId="0" applyNumberFormat="1" applyFont="1" applyFill="1" applyBorder="1" applyAlignment="1">
      <alignment horizontal="right" vertical="center"/>
    </xf>
    <xf numFmtId="0" fontId="18" fillId="0" borderId="7" xfId="0" applyFont="1" applyBorder="1" applyAlignment="1">
      <alignment horizontal="left" vertical="center" indent="1"/>
    </xf>
    <xf numFmtId="0" fontId="5" fillId="2" borderId="10" xfId="0" applyFont="1" applyFill="1" applyBorder="1" applyAlignment="1">
      <alignment horizontal="left" vertical="center" wrapText="1"/>
    </xf>
    <xf numFmtId="164" fontId="5" fillId="2" borderId="11" xfId="0" applyNumberFormat="1" applyFont="1" applyFill="1" applyBorder="1" applyAlignment="1">
      <alignment horizontal="right" vertical="center"/>
    </xf>
    <xf numFmtId="164" fontId="5" fillId="2" borderId="13" xfId="0" applyNumberFormat="1" applyFont="1" applyFill="1" applyBorder="1" applyAlignment="1">
      <alignment horizontal="right" vertical="center"/>
    </xf>
    <xf numFmtId="0" fontId="32" fillId="6" borderId="0" xfId="0" applyFont="1" applyFill="1"/>
    <xf numFmtId="2" fontId="0" fillId="0" borderId="0" xfId="0" applyNumberFormat="1"/>
    <xf numFmtId="2" fontId="15" fillId="0" borderId="0" xfId="0" applyNumberFormat="1" applyFont="1"/>
    <xf numFmtId="164" fontId="3" fillId="0" borderId="0" xfId="0" applyNumberFormat="1" applyFont="1" applyAlignment="1">
      <alignment horizontal="right" vertical="center"/>
    </xf>
    <xf numFmtId="164" fontId="3" fillId="4" borderId="0" xfId="0" applyNumberFormat="1" applyFont="1" applyFill="1" applyAlignment="1">
      <alignment horizontal="right" vertical="center"/>
    </xf>
    <xf numFmtId="164" fontId="35" fillId="2" borderId="0" xfId="0" applyNumberFormat="1" applyFont="1" applyFill="1" applyAlignment="1">
      <alignment horizontal="right" vertical="center"/>
    </xf>
    <xf numFmtId="164" fontId="36" fillId="2" borderId="0" xfId="0" applyNumberFormat="1" applyFont="1" applyFill="1" applyAlignment="1">
      <alignment horizontal="right" vertical="center"/>
    </xf>
    <xf numFmtId="43" fontId="0" fillId="0" borderId="8" xfId="0" applyNumberFormat="1" applyBorder="1"/>
    <xf numFmtId="10" fontId="0" fillId="0" borderId="9" xfId="0" applyNumberFormat="1" applyBorder="1"/>
    <xf numFmtId="9" fontId="0" fillId="0" borderId="9" xfId="0" applyNumberFormat="1" applyBorder="1"/>
    <xf numFmtId="43" fontId="0" fillId="0" borderId="9" xfId="0" applyNumberFormat="1" applyBorder="1"/>
    <xf numFmtId="43" fontId="0" fillId="0" borderId="13" xfId="0" applyNumberFormat="1" applyBorder="1"/>
    <xf numFmtId="0" fontId="38" fillId="6" borderId="0" xfId="0" applyFont="1" applyFill="1" applyAlignment="1">
      <alignment horizontal="right"/>
    </xf>
    <xf numFmtId="175" fontId="39" fillId="16" borderId="0" xfId="0" applyNumberFormat="1" applyFont="1" applyFill="1"/>
    <xf numFmtId="43" fontId="40" fillId="16" borderId="0" xfId="1" applyFont="1" applyFill="1"/>
    <xf numFmtId="176" fontId="40" fillId="16" borderId="0" xfId="0" applyNumberFormat="1" applyFont="1" applyFill="1"/>
    <xf numFmtId="0" fontId="40" fillId="16" borderId="0" xfId="0" applyFont="1" applyFill="1"/>
    <xf numFmtId="0" fontId="24" fillId="17" borderId="0" xfId="0" applyFont="1" applyFill="1"/>
    <xf numFmtId="43" fontId="40" fillId="0" borderId="0" xfId="1" applyFont="1"/>
    <xf numFmtId="0" fontId="24" fillId="17" borderId="20" xfId="0" applyFont="1" applyFill="1" applyBorder="1"/>
    <xf numFmtId="43" fontId="40" fillId="0" borderId="20" xfId="1" applyFont="1" applyBorder="1"/>
    <xf numFmtId="176" fontId="24" fillId="17" borderId="0" xfId="0" applyNumberFormat="1" applyFont="1" applyFill="1"/>
    <xf numFmtId="43" fontId="0" fillId="0" borderId="0" xfId="0" applyNumberFormat="1"/>
    <xf numFmtId="0" fontId="38" fillId="0" borderId="0" xfId="0" applyFont="1"/>
    <xf numFmtId="0" fontId="38" fillId="6" borderId="8" xfId="0" applyFont="1" applyFill="1" applyBorder="1"/>
    <xf numFmtId="4" fontId="0" fillId="0" borderId="8" xfId="0" applyNumberFormat="1" applyBorder="1"/>
    <xf numFmtId="43" fontId="0" fillId="18" borderId="8" xfId="0" applyNumberFormat="1" applyFill="1" applyBorder="1"/>
    <xf numFmtId="0" fontId="38" fillId="6" borderId="7" xfId="0" applyFont="1" applyFill="1" applyBorder="1"/>
    <xf numFmtId="0" fontId="38" fillId="6" borderId="9" xfId="0" applyFont="1" applyFill="1" applyBorder="1"/>
    <xf numFmtId="0" fontId="0" fillId="8" borderId="7" xfId="0" applyFill="1" applyBorder="1"/>
    <xf numFmtId="0" fontId="0" fillId="18" borderId="7" xfId="0" applyFill="1" applyBorder="1"/>
    <xf numFmtId="43" fontId="0" fillId="18" borderId="9" xfId="0" applyNumberFormat="1" applyFill="1" applyBorder="1"/>
    <xf numFmtId="170" fontId="0" fillId="0" borderId="9" xfId="0" applyNumberFormat="1" applyBorder="1"/>
    <xf numFmtId="0" fontId="0" fillId="18" borderId="10" xfId="0" applyFill="1" applyBorder="1"/>
    <xf numFmtId="43" fontId="0" fillId="18" borderId="11" xfId="0" applyNumberFormat="1" applyFill="1" applyBorder="1"/>
    <xf numFmtId="43" fontId="0" fillId="18" borderId="13" xfId="0" applyNumberFormat="1" applyFill="1" applyBorder="1"/>
    <xf numFmtId="0" fontId="0" fillId="8" borderId="10" xfId="0" applyFill="1" applyBorder="1"/>
    <xf numFmtId="10" fontId="0" fillId="0" borderId="9" xfId="2" applyNumberFormat="1" applyFont="1" applyBorder="1"/>
    <xf numFmtId="0" fontId="0" fillId="0" borderId="13" xfId="0" applyBorder="1"/>
    <xf numFmtId="0" fontId="0" fillId="0" borderId="9" xfId="0" applyBorder="1" applyAlignment="1">
      <alignment horizontal="center"/>
    </xf>
    <xf numFmtId="10" fontId="0" fillId="0" borderId="9" xfId="2" applyNumberFormat="1" applyFont="1" applyBorder="1" applyAlignment="1">
      <alignment horizontal="center"/>
    </xf>
    <xf numFmtId="0" fontId="0" fillId="0" borderId="13" xfId="0" applyBorder="1" applyAlignment="1">
      <alignment horizontal="center"/>
    </xf>
    <xf numFmtId="0" fontId="44" fillId="18" borderId="7" xfId="0" applyFont="1" applyFill="1" applyBorder="1"/>
    <xf numFmtId="0" fontId="45" fillId="18" borderId="7" xfId="0" applyFont="1" applyFill="1" applyBorder="1"/>
    <xf numFmtId="0" fontId="45" fillId="18" borderId="9" xfId="0" applyFont="1" applyFill="1" applyBorder="1" applyAlignment="1">
      <alignment horizontal="center"/>
    </xf>
    <xf numFmtId="43" fontId="44" fillId="18" borderId="9" xfId="0" applyNumberFormat="1" applyFont="1" applyFill="1" applyBorder="1"/>
    <xf numFmtId="0" fontId="44" fillId="18" borderId="9" xfId="0" applyFont="1" applyFill="1" applyBorder="1"/>
    <xf numFmtId="43" fontId="44" fillId="18" borderId="13" xfId="0" applyNumberFormat="1" applyFont="1" applyFill="1" applyBorder="1"/>
    <xf numFmtId="169" fontId="0" fillId="0" borderId="9" xfId="2" applyNumberFormat="1" applyFont="1" applyBorder="1"/>
    <xf numFmtId="10" fontId="0" fillId="0" borderId="13" xfId="0" applyNumberFormat="1" applyBorder="1"/>
    <xf numFmtId="10" fontId="3" fillId="0" borderId="9" xfId="2" applyNumberFormat="1" applyBorder="1"/>
    <xf numFmtId="10" fontId="0" fillId="0" borderId="13" xfId="2" applyNumberFormat="1" applyFont="1" applyBorder="1"/>
    <xf numFmtId="169" fontId="0" fillId="0" borderId="8" xfId="0" applyNumberFormat="1" applyBorder="1"/>
    <xf numFmtId="0" fontId="45" fillId="18" borderId="10" xfId="0" applyFont="1" applyFill="1" applyBorder="1"/>
    <xf numFmtId="0" fontId="45" fillId="18" borderId="11" xfId="0" applyFont="1" applyFill="1" applyBorder="1"/>
    <xf numFmtId="10" fontId="45" fillId="18" borderId="13" xfId="0" applyNumberFormat="1" applyFont="1" applyFill="1" applyBorder="1"/>
    <xf numFmtId="0" fontId="46" fillId="0" borderId="0" xfId="0" applyFont="1"/>
    <xf numFmtId="0" fontId="5" fillId="14" borderId="8" xfId="0" applyFont="1" applyFill="1" applyBorder="1" applyAlignment="1">
      <alignment horizontal="center" vertical="center" wrapText="1"/>
    </xf>
    <xf numFmtId="172" fontId="3" fillId="0" borderId="8" xfId="0" applyNumberFormat="1" applyFont="1" applyBorder="1" applyAlignment="1">
      <alignment horizontal="center" vertical="center" wrapText="1"/>
    </xf>
    <xf numFmtId="4" fontId="3" fillId="0" borderId="8" xfId="0" applyNumberFormat="1" applyFont="1" applyBorder="1" applyAlignment="1">
      <alignment horizontal="center" vertical="center" wrapText="1"/>
    </xf>
    <xf numFmtId="3" fontId="3" fillId="0" borderId="8" xfId="0" applyNumberFormat="1" applyFont="1" applyBorder="1" applyAlignment="1">
      <alignment horizontal="center" vertical="center" wrapText="1"/>
    </xf>
    <xf numFmtId="173" fontId="3" fillId="0" borderId="8" xfId="0" applyNumberFormat="1" applyFont="1" applyBorder="1" applyAlignment="1">
      <alignment horizontal="center" vertical="center" wrapText="1"/>
    </xf>
    <xf numFmtId="2" fontId="3" fillId="0" borderId="8" xfId="0" applyNumberFormat="1" applyFont="1" applyBorder="1" applyAlignment="1">
      <alignment horizontal="center" vertical="center" wrapText="1"/>
    </xf>
    <xf numFmtId="174" fontId="3" fillId="0" borderId="8" xfId="0" applyNumberFormat="1" applyFont="1" applyBorder="1" applyAlignment="1">
      <alignment horizontal="center" vertical="center" wrapText="1"/>
    </xf>
    <xf numFmtId="0" fontId="5" fillId="12" borderId="4" xfId="0" applyFont="1" applyFill="1" applyBorder="1" applyAlignment="1">
      <alignment horizontal="center" vertical="center" wrapText="1"/>
    </xf>
    <xf numFmtId="0" fontId="0" fillId="0" borderId="6" xfId="0" applyBorder="1"/>
    <xf numFmtId="0" fontId="5" fillId="14" borderId="7" xfId="0" applyFont="1" applyFill="1" applyBorder="1" applyAlignment="1">
      <alignment horizontal="center" vertical="center" wrapText="1"/>
    </xf>
    <xf numFmtId="0" fontId="5" fillId="14" borderId="9" xfId="0" applyFont="1" applyFill="1" applyBorder="1" applyAlignment="1">
      <alignment horizontal="center" vertical="center" wrapText="1"/>
    </xf>
    <xf numFmtId="3" fontId="3" fillId="0" borderId="9" xfId="0" applyNumberFormat="1" applyFont="1" applyBorder="1" applyAlignment="1">
      <alignment horizontal="center" vertical="center" wrapText="1"/>
    </xf>
    <xf numFmtId="172" fontId="3" fillId="0" borderId="11" xfId="0" applyNumberFormat="1" applyFont="1" applyBorder="1" applyAlignment="1">
      <alignment horizontal="center" vertical="center" wrapText="1"/>
    </xf>
    <xf numFmtId="4" fontId="3" fillId="0" borderId="11" xfId="0" applyNumberFormat="1" applyFont="1" applyBorder="1" applyAlignment="1">
      <alignment horizontal="center" vertical="center" wrapText="1"/>
    </xf>
    <xf numFmtId="3" fontId="3" fillId="0" borderId="11" xfId="0" applyNumberFormat="1" applyFont="1" applyBorder="1" applyAlignment="1">
      <alignment horizontal="center" vertical="center" wrapText="1"/>
    </xf>
    <xf numFmtId="173" fontId="3" fillId="0" borderId="11" xfId="0" applyNumberFormat="1" applyFont="1" applyBorder="1" applyAlignment="1">
      <alignment horizontal="center" vertical="center" wrapText="1"/>
    </xf>
    <xf numFmtId="2" fontId="3" fillId="0" borderId="11" xfId="0" applyNumberFormat="1" applyFont="1" applyBorder="1" applyAlignment="1">
      <alignment horizontal="center" vertical="center" wrapText="1"/>
    </xf>
    <xf numFmtId="174" fontId="3" fillId="0" borderId="11" xfId="0" applyNumberFormat="1" applyFont="1" applyBorder="1" applyAlignment="1">
      <alignment horizontal="center" vertical="center" wrapText="1"/>
    </xf>
    <xf numFmtId="3" fontId="3" fillId="0" borderId="13" xfId="0" applyNumberFormat="1" applyFont="1" applyBorder="1" applyAlignment="1">
      <alignment horizontal="center" vertical="center" wrapText="1"/>
    </xf>
    <xf numFmtId="0" fontId="3" fillId="0" borderId="23" xfId="0" applyFont="1" applyBorder="1" applyAlignment="1">
      <alignment horizontal="center" vertical="center" wrapText="1"/>
    </xf>
    <xf numFmtId="2" fontId="3" fillId="0" borderId="23" xfId="0" applyNumberFormat="1" applyFont="1" applyBorder="1" applyAlignment="1">
      <alignment horizontal="center" vertical="center" wrapText="1"/>
    </xf>
    <xf numFmtId="2" fontId="3" fillId="0" borderId="24" xfId="0" applyNumberFormat="1" applyFont="1" applyBorder="1" applyAlignment="1">
      <alignment horizontal="center" vertical="center" wrapText="1"/>
    </xf>
    <xf numFmtId="0" fontId="3" fillId="0" borderId="26" xfId="0" applyFont="1" applyBorder="1" applyAlignment="1">
      <alignment horizontal="center" vertical="center" wrapText="1"/>
    </xf>
    <xf numFmtId="2" fontId="3" fillId="0" borderId="26" xfId="0" applyNumberFormat="1" applyFont="1" applyBorder="1" applyAlignment="1">
      <alignment horizontal="center" vertical="center" wrapText="1"/>
    </xf>
    <xf numFmtId="2" fontId="3" fillId="0" borderId="27" xfId="0" applyNumberFormat="1" applyFont="1" applyBorder="1" applyAlignment="1">
      <alignment horizontal="center" vertical="center" wrapText="1"/>
    </xf>
    <xf numFmtId="0" fontId="8" fillId="8" borderId="7" xfId="0" applyFont="1" applyFill="1" applyBorder="1" applyAlignment="1">
      <alignment horizontal="center" vertical="center" wrapText="1"/>
    </xf>
    <xf numFmtId="0" fontId="8" fillId="8" borderId="10" xfId="0" applyFont="1" applyFill="1" applyBorder="1" applyAlignment="1">
      <alignment horizontal="center" vertical="center" wrapText="1"/>
    </xf>
    <xf numFmtId="0" fontId="8" fillId="8" borderId="25" xfId="0" applyFont="1" applyFill="1" applyBorder="1" applyAlignment="1">
      <alignment horizontal="center" vertical="center" wrapText="1"/>
    </xf>
    <xf numFmtId="0" fontId="8" fillId="8" borderId="22" xfId="0" applyFont="1" applyFill="1" applyBorder="1" applyAlignment="1">
      <alignment horizontal="center" vertical="center" wrapText="1"/>
    </xf>
    <xf numFmtId="166" fontId="3" fillId="0" borderId="8" xfId="2" applyNumberFormat="1" applyBorder="1"/>
    <xf numFmtId="168" fontId="0" fillId="0" borderId="8" xfId="0" applyNumberFormat="1" applyBorder="1"/>
    <xf numFmtId="171" fontId="0" fillId="0" borderId="8" xfId="0" applyNumberFormat="1" applyBorder="1"/>
    <xf numFmtId="0" fontId="26" fillId="9" borderId="5" xfId="0" applyFont="1" applyFill="1" applyBorder="1" applyAlignment="1">
      <alignment horizontal="center" vertical="center" wrapText="1"/>
    </xf>
    <xf numFmtId="0" fontId="26" fillId="9" borderId="6" xfId="0" applyFont="1" applyFill="1" applyBorder="1" applyAlignment="1">
      <alignment horizontal="center" vertical="center" wrapText="1"/>
    </xf>
    <xf numFmtId="0" fontId="14" fillId="0" borderId="7" xfId="0" applyFont="1" applyBorder="1"/>
    <xf numFmtId="166" fontId="3" fillId="0" borderId="9" xfId="2" applyNumberFormat="1" applyBorder="1"/>
    <xf numFmtId="168" fontId="0" fillId="0" borderId="9" xfId="0" applyNumberFormat="1" applyBorder="1"/>
    <xf numFmtId="171" fontId="0" fillId="0" borderId="9" xfId="0" applyNumberFormat="1" applyBorder="1"/>
    <xf numFmtId="0" fontId="14" fillId="0" borderId="10" xfId="0" applyFont="1" applyBorder="1"/>
    <xf numFmtId="168" fontId="0" fillId="0" borderId="11" xfId="0" applyNumberFormat="1" applyBorder="1"/>
    <xf numFmtId="168" fontId="0" fillId="0" borderId="13" xfId="0" applyNumberFormat="1" applyBorder="1"/>
    <xf numFmtId="0" fontId="26" fillId="9" borderId="31" xfId="0" applyFont="1" applyFill="1" applyBorder="1" applyAlignment="1">
      <alignment horizontal="center" vertical="center" wrapText="1"/>
    </xf>
    <xf numFmtId="0" fontId="26" fillId="9" borderId="32" xfId="0" applyFont="1" applyFill="1" applyBorder="1" applyAlignment="1">
      <alignment horizontal="center" vertical="center" wrapText="1"/>
    </xf>
    <xf numFmtId="166" fontId="3" fillId="0" borderId="11" xfId="2" applyNumberFormat="1" applyBorder="1"/>
    <xf numFmtId="166" fontId="3" fillId="0" borderId="13" xfId="2" applyNumberFormat="1" applyBorder="1"/>
    <xf numFmtId="171" fontId="0" fillId="0" borderId="11" xfId="0" applyNumberFormat="1" applyBorder="1"/>
    <xf numFmtId="171" fontId="0" fillId="0" borderId="13" xfId="0" applyNumberFormat="1" applyBorder="1"/>
    <xf numFmtId="0" fontId="14" fillId="8" borderId="33" xfId="0" applyFont="1" applyFill="1" applyBorder="1"/>
    <xf numFmtId="43" fontId="2" fillId="0" borderId="2" xfId="0" applyNumberFormat="1" applyFont="1" applyBorder="1"/>
    <xf numFmtId="9" fontId="2" fillId="0" borderId="0" xfId="2" applyFont="1" applyBorder="1"/>
    <xf numFmtId="2" fontId="2" fillId="0" borderId="12" xfId="0" applyNumberFormat="1" applyFont="1" applyBorder="1"/>
    <xf numFmtId="0" fontId="2" fillId="8" borderId="1" xfId="0" applyFont="1" applyFill="1" applyBorder="1"/>
    <xf numFmtId="0" fontId="2" fillId="8" borderId="16" xfId="0" applyFont="1" applyFill="1" applyBorder="1"/>
    <xf numFmtId="0" fontId="2" fillId="8" borderId="18" xfId="0" applyFont="1" applyFill="1" applyBorder="1"/>
    <xf numFmtId="43" fontId="2" fillId="0" borderId="3" xfId="0" applyNumberFormat="1" applyFont="1" applyBorder="1"/>
    <xf numFmtId="9" fontId="2" fillId="0" borderId="17" xfId="2" applyFont="1" applyBorder="1"/>
    <xf numFmtId="43" fontId="2" fillId="0" borderId="0" xfId="0" applyNumberFormat="1" applyFont="1"/>
    <xf numFmtId="43" fontId="2" fillId="0" borderId="17" xfId="0" applyNumberFormat="1" applyFont="1" applyBorder="1"/>
    <xf numFmtId="9" fontId="3" fillId="0" borderId="0" xfId="2" applyBorder="1"/>
    <xf numFmtId="9" fontId="3" fillId="0" borderId="17" xfId="2" applyBorder="1"/>
    <xf numFmtId="2" fontId="2" fillId="0" borderId="19" xfId="0" applyNumberFormat="1" applyFont="1" applyBorder="1"/>
    <xf numFmtId="0" fontId="44" fillId="19" borderId="0" xfId="0" applyFont="1" applyFill="1"/>
    <xf numFmtId="2" fontId="44" fillId="19" borderId="0" xfId="0" applyNumberFormat="1" applyFont="1" applyFill="1"/>
    <xf numFmtId="166" fontId="3" fillId="0" borderId="8" xfId="4" applyNumberFormat="1" applyFont="1" applyBorder="1" applyAlignment="1">
      <alignment horizontal="center" vertical="center"/>
    </xf>
    <xf numFmtId="2" fontId="3" fillId="0" borderId="8" xfId="4" applyNumberFormat="1" applyFont="1" applyBorder="1" applyAlignment="1">
      <alignment horizontal="center" vertical="center"/>
    </xf>
    <xf numFmtId="166" fontId="3" fillId="0" borderId="8" xfId="0" applyNumberFormat="1" applyFont="1" applyBorder="1" applyAlignment="1">
      <alignment horizontal="center" vertical="center" wrapText="1"/>
    </xf>
    <xf numFmtId="166" fontId="3" fillId="0" borderId="5" xfId="4" applyNumberFormat="1" applyFont="1" applyBorder="1" applyAlignment="1">
      <alignment horizontal="center" vertical="center"/>
    </xf>
    <xf numFmtId="2" fontId="3" fillId="0" borderId="5" xfId="4" applyNumberFormat="1" applyFont="1" applyBorder="1" applyAlignment="1">
      <alignment horizontal="center" vertical="center"/>
    </xf>
    <xf numFmtId="2" fontId="3" fillId="0" borderId="6" xfId="4" applyNumberFormat="1" applyFont="1" applyBorder="1" applyAlignment="1">
      <alignment horizontal="center" vertical="center"/>
    </xf>
    <xf numFmtId="2" fontId="3" fillId="0" borderId="9" xfId="4" applyNumberFormat="1" applyFont="1" applyBorder="1" applyAlignment="1">
      <alignment horizontal="center" vertical="center"/>
    </xf>
    <xf numFmtId="166" fontId="3" fillId="0" borderId="11" xfId="4" applyNumberFormat="1" applyFont="1" applyBorder="1" applyAlignment="1">
      <alignment horizontal="center" vertical="center"/>
    </xf>
    <xf numFmtId="2" fontId="3" fillId="0" borderId="11" xfId="4" applyNumberFormat="1" applyFont="1" applyBorder="1" applyAlignment="1">
      <alignment horizontal="center" vertical="center"/>
    </xf>
    <xf numFmtId="2" fontId="3" fillId="0" borderId="13" xfId="4" applyNumberFormat="1" applyFont="1" applyBorder="1" applyAlignment="1">
      <alignment horizontal="center" vertical="center"/>
    </xf>
    <xf numFmtId="0" fontId="3" fillId="0" borderId="5" xfId="0" applyFont="1" applyBorder="1" applyAlignment="1">
      <alignment horizontal="center" vertical="center" wrapText="1"/>
    </xf>
    <xf numFmtId="166" fontId="3" fillId="0" borderId="5" xfId="0" applyNumberFormat="1" applyFont="1" applyBorder="1" applyAlignment="1">
      <alignment horizontal="center" vertical="center" wrapText="1"/>
    </xf>
    <xf numFmtId="2" fontId="3" fillId="0" borderId="5" xfId="0" applyNumberFormat="1" applyFont="1" applyBorder="1" applyAlignment="1">
      <alignment horizontal="center" vertical="center" wrapText="1"/>
    </xf>
    <xf numFmtId="2" fontId="3" fillId="0" borderId="6" xfId="0" applyNumberFormat="1" applyFont="1" applyBorder="1" applyAlignment="1">
      <alignment horizontal="center" vertical="center" wrapText="1"/>
    </xf>
    <xf numFmtId="2" fontId="3" fillId="0" borderId="9" xfId="0" applyNumberFormat="1" applyFont="1" applyBorder="1" applyAlignment="1">
      <alignment horizontal="center" vertical="center" wrapText="1"/>
    </xf>
    <xf numFmtId="0" fontId="0" fillId="20" borderId="4" xfId="0" applyFill="1" applyBorder="1"/>
    <xf numFmtId="0" fontId="0" fillId="20" borderId="7" xfId="0" applyFill="1" applyBorder="1"/>
    <xf numFmtId="0" fontId="0" fillId="20" borderId="10" xfId="0" applyFill="1" applyBorder="1"/>
    <xf numFmtId="0" fontId="0" fillId="21" borderId="4" xfId="0" applyFill="1" applyBorder="1"/>
    <xf numFmtId="0" fontId="0" fillId="21" borderId="7" xfId="0" applyFill="1" applyBorder="1"/>
    <xf numFmtId="0" fontId="0" fillId="21" borderId="10" xfId="0" applyFill="1" applyBorder="1"/>
    <xf numFmtId="0" fontId="0" fillId="7" borderId="4" xfId="0" applyFill="1" applyBorder="1"/>
    <xf numFmtId="0" fontId="0" fillId="7" borderId="7" xfId="0" applyFill="1" applyBorder="1"/>
    <xf numFmtId="0" fontId="0" fillId="7" borderId="10" xfId="0" applyFill="1" applyBorder="1"/>
    <xf numFmtId="0" fontId="0" fillId="15" borderId="4" xfId="0" applyFill="1" applyBorder="1"/>
    <xf numFmtId="0" fontId="0" fillId="15" borderId="7" xfId="0" applyFill="1" applyBorder="1"/>
    <xf numFmtId="0" fontId="0" fillId="15" borderId="28" xfId="0" applyFill="1" applyBorder="1"/>
    <xf numFmtId="0" fontId="0" fillId="0" borderId="29" xfId="0" applyBorder="1"/>
    <xf numFmtId="166" fontId="3" fillId="0" borderId="29" xfId="0" applyNumberFormat="1" applyFont="1" applyBorder="1" applyAlignment="1">
      <alignment horizontal="center" vertical="center" wrapText="1"/>
    </xf>
    <xf numFmtId="2" fontId="3" fillId="0" borderId="29" xfId="0" applyNumberFormat="1" applyFont="1" applyBorder="1" applyAlignment="1">
      <alignment horizontal="center" vertical="center" wrapText="1"/>
    </xf>
    <xf numFmtId="2" fontId="3" fillId="0" borderId="30" xfId="0" applyNumberFormat="1" applyFont="1" applyBorder="1" applyAlignment="1">
      <alignment horizontal="center" vertical="center" wrapText="1"/>
    </xf>
    <xf numFmtId="0" fontId="0" fillId="0" borderId="0" xfId="0" pivotButton="1"/>
    <xf numFmtId="0" fontId="0" fillId="0" borderId="0" xfId="0" applyAlignment="1">
      <alignment horizontal="left"/>
    </xf>
    <xf numFmtId="166" fontId="0" fillId="0" borderId="0" xfId="0" applyNumberFormat="1"/>
    <xf numFmtId="0" fontId="2" fillId="0" borderId="0" xfId="4"/>
    <xf numFmtId="3" fontId="2" fillId="0" borderId="0" xfId="4" applyNumberFormat="1"/>
    <xf numFmtId="10" fontId="2" fillId="0" borderId="0" xfId="4" applyNumberFormat="1"/>
    <xf numFmtId="0" fontId="14" fillId="0" borderId="0" xfId="4" applyFont="1"/>
    <xf numFmtId="0" fontId="14" fillId="21" borderId="0" xfId="4" applyFont="1" applyFill="1"/>
    <xf numFmtId="3" fontId="14" fillId="21" borderId="0" xfId="4" applyNumberFormat="1" applyFont="1" applyFill="1"/>
    <xf numFmtId="10" fontId="49" fillId="0" borderId="0" xfId="4" applyNumberFormat="1" applyFont="1"/>
    <xf numFmtId="177" fontId="2" fillId="0" borderId="0" xfId="4" applyNumberFormat="1"/>
    <xf numFmtId="0" fontId="33" fillId="22" borderId="0" xfId="4" applyFont="1" applyFill="1"/>
    <xf numFmtId="0" fontId="50" fillId="0" borderId="0" xfId="4" applyFont="1"/>
    <xf numFmtId="9" fontId="2" fillId="0" borderId="0" xfId="5" applyFont="1"/>
    <xf numFmtId="10" fontId="14" fillId="21" borderId="0" xfId="5" applyNumberFormat="1" applyFont="1" applyFill="1"/>
    <xf numFmtId="168" fontId="33" fillId="22" borderId="0" xfId="4" applyNumberFormat="1" applyFont="1" applyFill="1"/>
    <xf numFmtId="0" fontId="51" fillId="0" borderId="4" xfId="0" applyFont="1" applyBorder="1"/>
    <xf numFmtId="0" fontId="51" fillId="0" borderId="5" xfId="0" applyFont="1" applyBorder="1"/>
    <xf numFmtId="0" fontId="51" fillId="0" borderId="6" xfId="0" applyFont="1" applyBorder="1" applyAlignment="1">
      <alignment wrapText="1"/>
    </xf>
    <xf numFmtId="0" fontId="51" fillId="0" borderId="7" xfId="0" applyFont="1" applyBorder="1"/>
    <xf numFmtId="0" fontId="51" fillId="0" borderId="8" xfId="0" applyFont="1" applyBorder="1"/>
    <xf numFmtId="0" fontId="51" fillId="0" borderId="8" xfId="0" applyFont="1" applyBorder="1" applyAlignment="1">
      <alignment wrapText="1"/>
    </xf>
    <xf numFmtId="0" fontId="52" fillId="0" borderId="9" xfId="3" applyFont="1" applyBorder="1" applyAlignment="1">
      <alignment wrapText="1"/>
    </xf>
    <xf numFmtId="9" fontId="51" fillId="0" borderId="8" xfId="0" applyNumberFormat="1" applyFont="1" applyBorder="1"/>
    <xf numFmtId="0" fontId="51" fillId="0" borderId="9" xfId="0" applyFont="1" applyBorder="1" applyAlignment="1">
      <alignment wrapText="1"/>
    </xf>
    <xf numFmtId="10" fontId="51" fillId="0" borderId="8" xfId="0" applyNumberFormat="1" applyFont="1" applyBorder="1"/>
    <xf numFmtId="166" fontId="51" fillId="0" borderId="8" xfId="0" applyNumberFormat="1" applyFont="1" applyBorder="1"/>
    <xf numFmtId="166" fontId="51" fillId="0" borderId="8" xfId="2" applyNumberFormat="1" applyFont="1" applyBorder="1"/>
    <xf numFmtId="0" fontId="51" fillId="0" borderId="8" xfId="0" applyFont="1" applyBorder="1" applyAlignment="1">
      <alignment vertical="center" wrapText="1"/>
    </xf>
    <xf numFmtId="0" fontId="51" fillId="0" borderId="10" xfId="0" applyFont="1" applyBorder="1"/>
    <xf numFmtId="0" fontId="51" fillId="0" borderId="11" xfId="0" applyFont="1" applyBorder="1"/>
    <xf numFmtId="0" fontId="53" fillId="0" borderId="11" xfId="0" applyFont="1" applyBorder="1"/>
    <xf numFmtId="0" fontId="52" fillId="0" borderId="13" xfId="3" applyFont="1" applyBorder="1"/>
    <xf numFmtId="0" fontId="1" fillId="0" borderId="0" xfId="6"/>
    <xf numFmtId="0" fontId="10" fillId="0" borderId="0" xfId="6" applyFont="1" applyAlignment="1">
      <alignment horizontal="center" vertical="center" wrapText="1"/>
    </xf>
    <xf numFmtId="0" fontId="54" fillId="0" borderId="0" xfId="6" applyFont="1" applyAlignment="1">
      <alignment horizontal="center" vertical="center" wrapText="1"/>
    </xf>
    <xf numFmtId="0" fontId="5" fillId="29" borderId="0" xfId="6" applyFont="1" applyFill="1" applyAlignment="1">
      <alignment horizontal="center" vertical="center" wrapText="1"/>
    </xf>
    <xf numFmtId="0" fontId="54" fillId="28" borderId="0" xfId="6" applyFont="1" applyFill="1" applyAlignment="1">
      <alignment horizontal="center" vertical="center" wrapText="1"/>
    </xf>
    <xf numFmtId="0" fontId="10" fillId="28" borderId="0" xfId="6" applyFont="1" applyFill="1" applyAlignment="1">
      <alignment horizontal="center" vertical="center" wrapText="1"/>
    </xf>
    <xf numFmtId="0" fontId="10" fillId="28" borderId="0" xfId="6" applyFont="1" applyFill="1" applyAlignment="1">
      <alignment horizontal="left" vertical="center" wrapText="1"/>
    </xf>
    <xf numFmtId="0" fontId="5" fillId="30" borderId="0" xfId="6" applyFont="1" applyFill="1" applyAlignment="1">
      <alignment horizontal="center" vertical="center" wrapText="1"/>
    </xf>
    <xf numFmtId="0" fontId="10" fillId="26" borderId="34" xfId="6" applyFont="1" applyFill="1" applyBorder="1" applyAlignment="1">
      <alignment horizontal="center" vertical="center" wrapText="1"/>
    </xf>
    <xf numFmtId="0" fontId="10" fillId="23" borderId="34" xfId="6" applyFont="1" applyFill="1" applyBorder="1" applyAlignment="1">
      <alignment horizontal="center" vertical="center" wrapText="1"/>
    </xf>
    <xf numFmtId="0" fontId="5" fillId="27" borderId="34" xfId="6" applyFont="1" applyFill="1" applyBorder="1" applyAlignment="1">
      <alignment horizontal="center" vertical="center" wrapText="1"/>
    </xf>
    <xf numFmtId="0" fontId="5" fillId="24" borderId="34" xfId="6" applyFont="1" applyFill="1" applyBorder="1" applyAlignment="1">
      <alignment horizontal="center" vertical="center" wrapText="1"/>
    </xf>
    <xf numFmtId="0" fontId="3" fillId="0" borderId="0" xfId="0" applyFont="1" applyAlignment="1">
      <alignment horizontal="left" vertical="center" wrapText="1" indent="1"/>
    </xf>
    <xf numFmtId="0" fontId="3" fillId="0" borderId="0" xfId="0" applyFont="1" applyAlignment="1">
      <alignment horizontal="left" vertical="center" wrapText="1"/>
    </xf>
    <xf numFmtId="0" fontId="60" fillId="0" borderId="0" xfId="0" applyFont="1" applyAlignment="1">
      <alignment horizontal="left" vertical="center"/>
    </xf>
    <xf numFmtId="4" fontId="61" fillId="0" borderId="0" xfId="0" applyNumberFormat="1" applyFont="1" applyAlignment="1">
      <alignment horizontal="right" vertical="center"/>
    </xf>
    <xf numFmtId="0" fontId="60" fillId="0" borderId="0" xfId="0" applyFont="1"/>
    <xf numFmtId="0" fontId="62" fillId="9" borderId="0" xfId="0" applyFont="1" applyFill="1"/>
    <xf numFmtId="10" fontId="63" fillId="32" borderId="0" xfId="0" applyNumberFormat="1" applyFont="1" applyFill="1" applyAlignment="1">
      <alignment horizontal="right" vertical="center"/>
    </xf>
    <xf numFmtId="10" fontId="63" fillId="31" borderId="0" xfId="0" applyNumberFormat="1" applyFont="1" applyFill="1" applyAlignment="1">
      <alignment horizontal="center" vertical="center"/>
    </xf>
    <xf numFmtId="14" fontId="0" fillId="0" borderId="9" xfId="0" applyNumberFormat="1" applyBorder="1"/>
    <xf numFmtId="0" fontId="38" fillId="6" borderId="4" xfId="0" applyFont="1" applyFill="1" applyBorder="1" applyAlignment="1">
      <alignment horizontal="center"/>
    </xf>
    <xf numFmtId="0" fontId="38" fillId="6" borderId="6" xfId="0" applyFont="1" applyFill="1" applyBorder="1" applyAlignment="1">
      <alignment horizontal="center"/>
    </xf>
    <xf numFmtId="0" fontId="41" fillId="6" borderId="4" xfId="0" applyFont="1" applyFill="1" applyBorder="1" applyAlignment="1">
      <alignment horizontal="center" wrapText="1"/>
    </xf>
    <xf numFmtId="0" fontId="41" fillId="6" borderId="5" xfId="0" applyFont="1" applyFill="1" applyBorder="1" applyAlignment="1">
      <alignment horizontal="center" wrapText="1"/>
    </xf>
    <xf numFmtId="0" fontId="41" fillId="6" borderId="6" xfId="0" applyFont="1" applyFill="1" applyBorder="1" applyAlignment="1">
      <alignment horizontal="center" wrapText="1"/>
    </xf>
    <xf numFmtId="0" fontId="20" fillId="6" borderId="4" xfId="0" applyFont="1" applyFill="1" applyBorder="1" applyAlignment="1">
      <alignment horizontal="center"/>
    </xf>
    <xf numFmtId="0" fontId="20" fillId="6" borderId="6" xfId="0" applyFont="1" applyFill="1" applyBorder="1" applyAlignment="1">
      <alignment horizontal="center"/>
    </xf>
    <xf numFmtId="0" fontId="41" fillId="6" borderId="4" xfId="0" applyFont="1" applyFill="1" applyBorder="1" applyAlignment="1">
      <alignment horizontal="center"/>
    </xf>
    <xf numFmtId="0" fontId="41" fillId="6" borderId="6" xfId="0" applyFont="1" applyFill="1" applyBorder="1" applyAlignment="1">
      <alignment horizontal="center"/>
    </xf>
    <xf numFmtId="0" fontId="43" fillId="6" borderId="0" xfId="0" applyFont="1" applyFill="1" applyAlignment="1">
      <alignment horizontal="center" wrapText="1"/>
    </xf>
    <xf numFmtId="0" fontId="31" fillId="6" borderId="0" xfId="0" applyFont="1" applyFill="1" applyAlignment="1">
      <alignment horizontal="center"/>
    </xf>
    <xf numFmtId="0" fontId="5" fillId="30" borderId="0" xfId="6" applyFont="1" applyFill="1" applyAlignment="1">
      <alignment horizontal="center" vertical="center" wrapText="1"/>
    </xf>
    <xf numFmtId="0" fontId="5" fillId="0" borderId="0" xfId="6" applyFont="1" applyAlignment="1">
      <alignment horizontal="center" vertical="center" wrapText="1"/>
    </xf>
    <xf numFmtId="0" fontId="1" fillId="0" borderId="0" xfId="6"/>
    <xf numFmtId="0" fontId="56" fillId="21" borderId="0" xfId="6" applyFont="1" applyFill="1" applyAlignment="1">
      <alignment horizontal="center" vertical="center" wrapText="1"/>
    </xf>
    <xf numFmtId="0" fontId="59" fillId="0" borderId="0" xfId="0" applyFont="1" applyAlignment="1">
      <alignment horizontal="center"/>
    </xf>
    <xf numFmtId="0" fontId="4" fillId="30" borderId="0" xfId="6" applyFont="1" applyFill="1" applyAlignment="1">
      <alignment horizontal="center" vertical="center" wrapText="1"/>
    </xf>
    <xf numFmtId="0" fontId="1" fillId="30" borderId="0" xfId="6" applyFill="1"/>
    <xf numFmtId="0" fontId="5" fillId="29" borderId="0" xfId="6" applyFont="1" applyFill="1" applyAlignment="1">
      <alignment horizontal="center" vertical="center" wrapText="1"/>
    </xf>
    <xf numFmtId="0" fontId="1" fillId="29" borderId="0" xfId="6" applyFill="1"/>
    <xf numFmtId="0" fontId="5" fillId="29" borderId="34" xfId="6" applyFont="1" applyFill="1" applyBorder="1" applyAlignment="1">
      <alignment horizontal="center" vertical="center" wrapText="1"/>
    </xf>
    <xf numFmtId="0" fontId="4" fillId="29" borderId="0" xfId="6" applyFont="1" applyFill="1" applyAlignment="1">
      <alignment horizontal="center" vertical="center" wrapText="1"/>
    </xf>
    <xf numFmtId="0" fontId="55" fillId="21" borderId="0" xfId="6" applyFont="1" applyFill="1" applyAlignment="1">
      <alignment horizontal="center" vertical="center" wrapText="1"/>
    </xf>
    <xf numFmtId="0" fontId="1" fillId="21" borderId="0" xfId="6" applyFill="1" applyAlignment="1">
      <alignment horizontal="center" vertical="center"/>
    </xf>
    <xf numFmtId="0" fontId="4" fillId="27" borderId="1" xfId="6" applyFont="1" applyFill="1" applyBorder="1" applyAlignment="1">
      <alignment horizontal="center" vertical="center" wrapText="1"/>
    </xf>
    <xf numFmtId="0" fontId="4" fillId="27" borderId="2" xfId="6" applyFont="1" applyFill="1" applyBorder="1" applyAlignment="1">
      <alignment horizontal="center" vertical="center" wrapText="1"/>
    </xf>
    <xf numFmtId="0" fontId="4" fillId="27" borderId="3" xfId="6" applyFont="1" applyFill="1" applyBorder="1" applyAlignment="1">
      <alignment horizontal="center" vertical="center" wrapText="1"/>
    </xf>
    <xf numFmtId="0" fontId="58" fillId="25" borderId="16" xfId="6" applyFont="1" applyFill="1" applyBorder="1" applyAlignment="1">
      <alignment horizontal="center" vertical="top" wrapText="1"/>
    </xf>
    <xf numFmtId="0" fontId="58" fillId="25" borderId="0" xfId="6" applyFont="1" applyFill="1" applyAlignment="1">
      <alignment horizontal="center" vertical="top" wrapText="1"/>
    </xf>
    <xf numFmtId="0" fontId="58" fillId="25" borderId="17" xfId="6" applyFont="1" applyFill="1" applyBorder="1" applyAlignment="1">
      <alignment horizontal="center" vertical="top" wrapText="1"/>
    </xf>
    <xf numFmtId="0" fontId="58" fillId="25" borderId="18" xfId="6" applyFont="1" applyFill="1" applyBorder="1" applyAlignment="1">
      <alignment horizontal="center" vertical="top" wrapText="1"/>
    </xf>
    <xf numFmtId="0" fontId="58" fillId="25" borderId="12" xfId="6" applyFont="1" applyFill="1" applyBorder="1" applyAlignment="1">
      <alignment horizontal="center" vertical="top" wrapText="1"/>
    </xf>
    <xf numFmtId="0" fontId="58" fillId="25" borderId="19" xfId="6" applyFont="1" applyFill="1" applyBorder="1" applyAlignment="1">
      <alignment horizontal="center" vertical="top" wrapText="1"/>
    </xf>
    <xf numFmtId="0" fontId="0" fillId="0" borderId="0" xfId="0" applyAlignment="1">
      <alignment horizontal="left" vertical="top" wrapText="1"/>
    </xf>
    <xf numFmtId="0" fontId="57" fillId="24" borderId="35" xfId="6" applyFont="1" applyFill="1" applyBorder="1" applyAlignment="1">
      <alignment horizontal="center" vertical="center" wrapText="1"/>
    </xf>
    <xf numFmtId="0" fontId="1" fillId="0" borderId="16" xfId="6" applyBorder="1"/>
    <xf numFmtId="0" fontId="16" fillId="23" borderId="0" xfId="6" applyFont="1" applyFill="1" applyAlignment="1">
      <alignment horizontal="center" vertical="top" wrapText="1"/>
    </xf>
    <xf numFmtId="0" fontId="16" fillId="23" borderId="17" xfId="6" applyFont="1" applyFill="1" applyBorder="1" applyAlignment="1">
      <alignment horizontal="center" vertical="top" wrapText="1"/>
    </xf>
    <xf numFmtId="0" fontId="16" fillId="26" borderId="0" xfId="6" applyFont="1" applyFill="1" applyAlignment="1">
      <alignment horizontal="center" vertical="top" wrapText="1"/>
    </xf>
    <xf numFmtId="0" fontId="16" fillId="26" borderId="17" xfId="6" applyFont="1" applyFill="1" applyBorder="1" applyAlignment="1">
      <alignment horizontal="center" vertical="top" wrapText="1"/>
    </xf>
    <xf numFmtId="0" fontId="4" fillId="2" borderId="0" xfId="0" applyFont="1" applyFill="1" applyAlignment="1">
      <alignment horizontal="center" vertical="center" wrapText="1"/>
    </xf>
    <xf numFmtId="0" fontId="4" fillId="2" borderId="0" xfId="0" applyFont="1" applyFill="1" applyAlignment="1">
      <alignment horizontal="center" vertical="center"/>
    </xf>
    <xf numFmtId="0" fontId="11" fillId="2" borderId="0" xfId="0" applyFont="1" applyFill="1" applyAlignment="1">
      <alignment horizontal="center" vertical="center"/>
    </xf>
    <xf numFmtId="0" fontId="12" fillId="3" borderId="0" xfId="0" applyFont="1" applyFill="1" applyAlignment="1">
      <alignment horizontal="center" vertical="center"/>
    </xf>
    <xf numFmtId="0" fontId="5" fillId="3" borderId="0" xfId="0" applyFont="1" applyFill="1" applyAlignment="1">
      <alignment horizontal="left" vertical="center"/>
    </xf>
    <xf numFmtId="0" fontId="17" fillId="11" borderId="7" xfId="0" applyFont="1" applyFill="1" applyBorder="1" applyAlignment="1">
      <alignment horizontal="center" vertical="center" wrapText="1"/>
    </xf>
    <xf numFmtId="0" fontId="17" fillId="11" borderId="8" xfId="0" applyFont="1" applyFill="1" applyBorder="1" applyAlignment="1">
      <alignment horizontal="center" vertical="center" wrapText="1"/>
    </xf>
    <xf numFmtId="0" fontId="17" fillId="11" borderId="9" xfId="0" applyFont="1" applyFill="1" applyBorder="1" applyAlignment="1">
      <alignment horizontal="center" vertical="center" wrapText="1"/>
    </xf>
    <xf numFmtId="0" fontId="30" fillId="11" borderId="7" xfId="0" applyFont="1" applyFill="1" applyBorder="1" applyAlignment="1">
      <alignment horizontal="center" vertical="center" wrapText="1"/>
    </xf>
    <xf numFmtId="0" fontId="30" fillId="11" borderId="8" xfId="0" applyFont="1" applyFill="1" applyBorder="1" applyAlignment="1">
      <alignment horizontal="center" vertical="center" wrapText="1"/>
    </xf>
    <xf numFmtId="0" fontId="30" fillId="11" borderId="9" xfId="0" applyFont="1" applyFill="1" applyBorder="1" applyAlignment="1">
      <alignment horizontal="center" vertical="center" wrapText="1"/>
    </xf>
    <xf numFmtId="0" fontId="48" fillId="6" borderId="0" xfId="0" applyFont="1" applyFill="1" applyAlignment="1">
      <alignment horizontal="center" vertical="center" wrapText="1"/>
    </xf>
    <xf numFmtId="0" fontId="11" fillId="2" borderId="0" xfId="0" applyFont="1" applyFill="1" applyAlignment="1">
      <alignment horizontal="center" vertical="center" wrapText="1"/>
    </xf>
    <xf numFmtId="0" fontId="27" fillId="3" borderId="0" xfId="0" applyFont="1" applyFill="1" applyAlignment="1">
      <alignment horizontal="center" vertical="center" wrapText="1"/>
    </xf>
    <xf numFmtId="0" fontId="12" fillId="3" borderId="0" xfId="0" applyFont="1" applyFill="1" applyAlignment="1">
      <alignment horizontal="center" vertical="center" wrapText="1"/>
    </xf>
    <xf numFmtId="0" fontId="5" fillId="2" borderId="7"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2" borderId="9" xfId="0" applyFont="1" applyFill="1" applyBorder="1" applyAlignment="1">
      <alignment horizontal="left" vertical="center" wrapText="1"/>
    </xf>
    <xf numFmtId="0" fontId="28" fillId="2" borderId="0" xfId="0" applyFont="1" applyFill="1" applyAlignment="1">
      <alignment horizontal="center" vertical="center" wrapText="1"/>
    </xf>
    <xf numFmtId="0" fontId="22" fillId="6" borderId="1" xfId="0" applyFont="1" applyFill="1" applyBorder="1" applyAlignment="1">
      <alignment horizontal="center"/>
    </xf>
    <xf numFmtId="0" fontId="22" fillId="6" borderId="3" xfId="0" applyFont="1" applyFill="1" applyBorder="1" applyAlignment="1">
      <alignment horizontal="center"/>
    </xf>
    <xf numFmtId="0" fontId="19" fillId="6" borderId="0" xfId="0" applyFont="1" applyFill="1" applyAlignment="1">
      <alignment horizontal="center"/>
    </xf>
    <xf numFmtId="0" fontId="22" fillId="6" borderId="0" xfId="0" applyFont="1" applyFill="1" applyAlignment="1">
      <alignment horizontal="center"/>
    </xf>
    <xf numFmtId="0" fontId="22" fillId="6" borderId="14" xfId="0" applyFont="1" applyFill="1" applyBorder="1" applyAlignment="1">
      <alignment horizontal="center"/>
    </xf>
    <xf numFmtId="0" fontId="22" fillId="6" borderId="15" xfId="0" applyFont="1" applyFill="1" applyBorder="1" applyAlignment="1">
      <alignment horizontal="center"/>
    </xf>
    <xf numFmtId="0" fontId="0" fillId="8" borderId="1" xfId="0" applyFill="1" applyBorder="1" applyAlignment="1">
      <alignment horizontal="center" vertical="center"/>
    </xf>
    <xf numFmtId="0" fontId="0" fillId="8" borderId="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38" fillId="6" borderId="4" xfId="0" applyFont="1" applyFill="1" applyBorder="1" applyAlignment="1">
      <alignment horizontal="center" wrapText="1"/>
    </xf>
    <xf numFmtId="0" fontId="38" fillId="6" borderId="6" xfId="0" applyFont="1" applyFill="1" applyBorder="1" applyAlignment="1">
      <alignment horizontal="center" wrapText="1"/>
    </xf>
    <xf numFmtId="0" fontId="37" fillId="6" borderId="4" xfId="0" applyFont="1" applyFill="1" applyBorder="1" applyAlignment="1">
      <alignment horizontal="center"/>
    </xf>
    <xf numFmtId="0" fontId="37" fillId="6" borderId="6" xfId="0" applyFont="1" applyFill="1" applyBorder="1" applyAlignment="1">
      <alignment horizontal="center"/>
    </xf>
    <xf numFmtId="0" fontId="38" fillId="6" borderId="5" xfId="0" applyFont="1" applyFill="1" applyBorder="1" applyAlignment="1">
      <alignment horizontal="center"/>
    </xf>
    <xf numFmtId="0" fontId="47" fillId="6" borderId="0" xfId="0" applyFont="1" applyFill="1" applyAlignment="1">
      <alignment horizontal="center" wrapText="1"/>
    </xf>
    <xf numFmtId="0" fontId="2" fillId="7" borderId="0" xfId="4" applyFill="1" applyAlignment="1">
      <alignment horizontal="center"/>
    </xf>
    <xf numFmtId="0" fontId="34" fillId="12" borderId="21" xfId="0" applyFont="1" applyFill="1" applyBorder="1" applyAlignment="1">
      <alignment horizontal="center" vertical="center" wrapText="1"/>
    </xf>
    <xf numFmtId="0" fontId="5" fillId="13" borderId="5" xfId="0" applyFont="1" applyFill="1" applyBorder="1" applyAlignment="1">
      <alignment horizontal="center" vertical="center" wrapText="1"/>
    </xf>
    <xf numFmtId="0" fontId="32" fillId="6" borderId="0" xfId="0" applyFont="1" applyFill="1" applyAlignment="1">
      <alignment horizontal="center" wrapText="1"/>
    </xf>
    <xf numFmtId="0" fontId="32" fillId="6" borderId="0" xfId="0" applyFont="1" applyFill="1" applyAlignment="1">
      <alignment horizontal="center"/>
    </xf>
    <xf numFmtId="0" fontId="42" fillId="6" borderId="0" xfId="0" applyFont="1" applyFill="1" applyAlignment="1">
      <alignment horizontal="center"/>
    </xf>
  </cellXfs>
  <cellStyles count="7">
    <cellStyle name="Comma" xfId="1" builtinId="3"/>
    <cellStyle name="Hyperlink" xfId="3" builtinId="8"/>
    <cellStyle name="Normal" xfId="0" builtinId="0"/>
    <cellStyle name="Normal 2" xfId="4" xr:uid="{8BD26693-90B4-4C1A-94BF-C450F0BA4C04}"/>
    <cellStyle name="Normal 3" xfId="6" xr:uid="{2DB356A3-5488-482B-95E7-8A7070EABAF8}"/>
    <cellStyle name="Percent" xfId="2" builtinId="5"/>
    <cellStyle name="Percent 2" xfId="5" xr:uid="{57A4F516-DD69-4353-A2CC-8BFE9C537F8A}"/>
  </cellStyles>
  <dxfs count="13">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166" formatCode="0.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166" formatCode="0.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166" formatCode="0.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166" formatCode="0.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medium">
          <color indexed="64"/>
        </left>
        <right style="thin">
          <color indexed="64"/>
        </right>
        <top style="thin">
          <color indexed="64"/>
        </top>
        <bottom style="thin">
          <color indexed="64"/>
        </bottom>
        <vertical/>
        <horizontal/>
      </border>
    </dxf>
    <dxf>
      <border outline="0">
        <bottom style="medium">
          <color indexed="64"/>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theme="8" tint="0.5999938962981048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BF3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DCE6F1"/>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CIPLA</a:t>
            </a:r>
            <a:r>
              <a:rPr lang="en-IN" b="1" u="sng" baseline="0"/>
              <a:t> Share</a:t>
            </a:r>
            <a:r>
              <a:rPr lang="en-IN" b="1" u="sng"/>
              <a:t> Price Movement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Close Price</c:v>
          </c:tx>
          <c:spPr>
            <a:ln w="28575" cap="rnd">
              <a:solidFill>
                <a:schemeClr val="accent1"/>
              </a:solidFill>
              <a:round/>
            </a:ln>
            <a:effectLst/>
          </c:spPr>
          <c:marker>
            <c:symbol val="none"/>
          </c:marker>
          <c:trendline>
            <c:spPr>
              <a:ln w="38100" cap="rnd">
                <a:solidFill>
                  <a:schemeClr val="accent2">
                    <a:lumMod val="75000"/>
                  </a:schemeClr>
                </a:solidFill>
                <a:prstDash val="solid"/>
              </a:ln>
              <a:effectLst/>
            </c:spPr>
            <c:trendlineType val="linear"/>
            <c:dispRSqr val="0"/>
            <c:dispEq val="0"/>
          </c:trendline>
          <c:cat>
            <c:numLit>
              <c:formatCode>General</c:formatCode>
              <c:ptCount val="2478"/>
              <c:pt idx="0">
                <c:v>42370</c:v>
              </c:pt>
              <c:pt idx="1">
                <c:v>42373</c:v>
              </c:pt>
              <c:pt idx="2">
                <c:v>42374</c:v>
              </c:pt>
              <c:pt idx="3">
                <c:v>42375</c:v>
              </c:pt>
              <c:pt idx="4">
                <c:v>42376</c:v>
              </c:pt>
              <c:pt idx="5">
                <c:v>42377</c:v>
              </c:pt>
              <c:pt idx="6">
                <c:v>42380</c:v>
              </c:pt>
              <c:pt idx="7">
                <c:v>42381</c:v>
              </c:pt>
              <c:pt idx="8">
                <c:v>42382</c:v>
              </c:pt>
              <c:pt idx="9">
                <c:v>42383</c:v>
              </c:pt>
              <c:pt idx="10">
                <c:v>42384</c:v>
              </c:pt>
              <c:pt idx="11">
                <c:v>42387</c:v>
              </c:pt>
              <c:pt idx="12">
                <c:v>42388</c:v>
              </c:pt>
              <c:pt idx="13">
                <c:v>42389</c:v>
              </c:pt>
              <c:pt idx="14">
                <c:v>42390</c:v>
              </c:pt>
              <c:pt idx="15">
                <c:v>42391</c:v>
              </c:pt>
              <c:pt idx="16">
                <c:v>42394</c:v>
              </c:pt>
              <c:pt idx="17">
                <c:v>42396</c:v>
              </c:pt>
              <c:pt idx="18">
                <c:v>42397</c:v>
              </c:pt>
              <c:pt idx="19">
                <c:v>42398</c:v>
              </c:pt>
              <c:pt idx="20">
                <c:v>42401</c:v>
              </c:pt>
              <c:pt idx="21">
                <c:v>42402</c:v>
              </c:pt>
              <c:pt idx="22">
                <c:v>42403</c:v>
              </c:pt>
              <c:pt idx="23">
                <c:v>42404</c:v>
              </c:pt>
              <c:pt idx="24">
                <c:v>42405</c:v>
              </c:pt>
              <c:pt idx="25">
                <c:v>42408</c:v>
              </c:pt>
              <c:pt idx="26">
                <c:v>42409</c:v>
              </c:pt>
              <c:pt idx="27">
                <c:v>42410</c:v>
              </c:pt>
              <c:pt idx="28">
                <c:v>42411</c:v>
              </c:pt>
              <c:pt idx="29">
                <c:v>42412</c:v>
              </c:pt>
              <c:pt idx="30">
                <c:v>42415</c:v>
              </c:pt>
              <c:pt idx="31">
                <c:v>42416</c:v>
              </c:pt>
              <c:pt idx="32">
                <c:v>42417</c:v>
              </c:pt>
              <c:pt idx="33">
                <c:v>42418</c:v>
              </c:pt>
              <c:pt idx="34">
                <c:v>42419</c:v>
              </c:pt>
              <c:pt idx="35">
                <c:v>42422</c:v>
              </c:pt>
              <c:pt idx="36">
                <c:v>42423</c:v>
              </c:pt>
              <c:pt idx="37">
                <c:v>42424</c:v>
              </c:pt>
              <c:pt idx="38">
                <c:v>42425</c:v>
              </c:pt>
              <c:pt idx="39">
                <c:v>42426</c:v>
              </c:pt>
              <c:pt idx="40">
                <c:v>42429</c:v>
              </c:pt>
              <c:pt idx="41">
                <c:v>42430</c:v>
              </c:pt>
              <c:pt idx="42">
                <c:v>42431</c:v>
              </c:pt>
              <c:pt idx="43">
                <c:v>42432</c:v>
              </c:pt>
              <c:pt idx="44">
                <c:v>42433</c:v>
              </c:pt>
              <c:pt idx="45">
                <c:v>42437</c:v>
              </c:pt>
              <c:pt idx="46">
                <c:v>42438</c:v>
              </c:pt>
              <c:pt idx="47">
                <c:v>42439</c:v>
              </c:pt>
              <c:pt idx="48">
                <c:v>42440</c:v>
              </c:pt>
              <c:pt idx="49">
                <c:v>42443</c:v>
              </c:pt>
              <c:pt idx="50">
                <c:v>42444</c:v>
              </c:pt>
              <c:pt idx="51">
                <c:v>42445</c:v>
              </c:pt>
              <c:pt idx="52">
                <c:v>42446</c:v>
              </c:pt>
              <c:pt idx="53">
                <c:v>42447</c:v>
              </c:pt>
              <c:pt idx="54">
                <c:v>42450</c:v>
              </c:pt>
              <c:pt idx="55">
                <c:v>42451</c:v>
              </c:pt>
              <c:pt idx="56">
                <c:v>42452</c:v>
              </c:pt>
              <c:pt idx="57">
                <c:v>42457</c:v>
              </c:pt>
              <c:pt idx="58">
                <c:v>42458</c:v>
              </c:pt>
              <c:pt idx="59">
                <c:v>42459</c:v>
              </c:pt>
              <c:pt idx="60">
                <c:v>42460</c:v>
              </c:pt>
              <c:pt idx="61">
                <c:v>42461</c:v>
              </c:pt>
              <c:pt idx="62">
                <c:v>42464</c:v>
              </c:pt>
              <c:pt idx="63">
                <c:v>42465</c:v>
              </c:pt>
              <c:pt idx="64">
                <c:v>42466</c:v>
              </c:pt>
              <c:pt idx="65">
                <c:v>42467</c:v>
              </c:pt>
              <c:pt idx="66">
                <c:v>42468</c:v>
              </c:pt>
              <c:pt idx="67">
                <c:v>42471</c:v>
              </c:pt>
              <c:pt idx="68">
                <c:v>42472</c:v>
              </c:pt>
              <c:pt idx="69">
                <c:v>42473</c:v>
              </c:pt>
              <c:pt idx="70">
                <c:v>42478</c:v>
              </c:pt>
              <c:pt idx="71">
                <c:v>42480</c:v>
              </c:pt>
              <c:pt idx="72">
                <c:v>42481</c:v>
              </c:pt>
              <c:pt idx="73">
                <c:v>42482</c:v>
              </c:pt>
              <c:pt idx="74">
                <c:v>42485</c:v>
              </c:pt>
              <c:pt idx="75">
                <c:v>42486</c:v>
              </c:pt>
              <c:pt idx="76">
                <c:v>42487</c:v>
              </c:pt>
              <c:pt idx="77">
                <c:v>42488</c:v>
              </c:pt>
              <c:pt idx="78">
                <c:v>42489</c:v>
              </c:pt>
              <c:pt idx="79">
                <c:v>42492</c:v>
              </c:pt>
              <c:pt idx="80">
                <c:v>42493</c:v>
              </c:pt>
              <c:pt idx="81">
                <c:v>42494</c:v>
              </c:pt>
              <c:pt idx="82">
                <c:v>42495</c:v>
              </c:pt>
              <c:pt idx="83">
                <c:v>42496</c:v>
              </c:pt>
              <c:pt idx="84">
                <c:v>42499</c:v>
              </c:pt>
              <c:pt idx="85">
                <c:v>42500</c:v>
              </c:pt>
              <c:pt idx="86">
                <c:v>42501</c:v>
              </c:pt>
              <c:pt idx="87">
                <c:v>42502</c:v>
              </c:pt>
              <c:pt idx="88">
                <c:v>42503</c:v>
              </c:pt>
              <c:pt idx="89">
                <c:v>42506</c:v>
              </c:pt>
              <c:pt idx="90">
                <c:v>42507</c:v>
              </c:pt>
              <c:pt idx="91">
                <c:v>42508</c:v>
              </c:pt>
              <c:pt idx="92">
                <c:v>42509</c:v>
              </c:pt>
              <c:pt idx="93">
                <c:v>42510</c:v>
              </c:pt>
              <c:pt idx="94">
                <c:v>42513</c:v>
              </c:pt>
              <c:pt idx="95">
                <c:v>42514</c:v>
              </c:pt>
              <c:pt idx="96">
                <c:v>42515</c:v>
              </c:pt>
              <c:pt idx="97">
                <c:v>42516</c:v>
              </c:pt>
              <c:pt idx="98">
                <c:v>42517</c:v>
              </c:pt>
              <c:pt idx="99">
                <c:v>42520</c:v>
              </c:pt>
              <c:pt idx="100">
                <c:v>42521</c:v>
              </c:pt>
              <c:pt idx="101">
                <c:v>42522</c:v>
              </c:pt>
              <c:pt idx="102">
                <c:v>42523</c:v>
              </c:pt>
              <c:pt idx="103">
                <c:v>42524</c:v>
              </c:pt>
              <c:pt idx="104">
                <c:v>42527</c:v>
              </c:pt>
              <c:pt idx="105">
                <c:v>42528</c:v>
              </c:pt>
              <c:pt idx="106">
                <c:v>42529</c:v>
              </c:pt>
              <c:pt idx="107">
                <c:v>42530</c:v>
              </c:pt>
              <c:pt idx="108">
                <c:v>42531</c:v>
              </c:pt>
              <c:pt idx="109">
                <c:v>42534</c:v>
              </c:pt>
              <c:pt idx="110">
                <c:v>42535</c:v>
              </c:pt>
              <c:pt idx="111">
                <c:v>42536</c:v>
              </c:pt>
              <c:pt idx="112">
                <c:v>42537</c:v>
              </c:pt>
              <c:pt idx="113">
                <c:v>42538</c:v>
              </c:pt>
              <c:pt idx="114">
                <c:v>42541</c:v>
              </c:pt>
              <c:pt idx="115">
                <c:v>42542</c:v>
              </c:pt>
              <c:pt idx="116">
                <c:v>42543</c:v>
              </c:pt>
              <c:pt idx="117">
                <c:v>42544</c:v>
              </c:pt>
              <c:pt idx="118">
                <c:v>42545</c:v>
              </c:pt>
              <c:pt idx="119">
                <c:v>42548</c:v>
              </c:pt>
              <c:pt idx="120">
                <c:v>42549</c:v>
              </c:pt>
              <c:pt idx="121">
                <c:v>42550</c:v>
              </c:pt>
              <c:pt idx="122">
                <c:v>42551</c:v>
              </c:pt>
              <c:pt idx="123">
                <c:v>42552</c:v>
              </c:pt>
              <c:pt idx="124">
                <c:v>42555</c:v>
              </c:pt>
              <c:pt idx="125">
                <c:v>42556</c:v>
              </c:pt>
              <c:pt idx="126">
                <c:v>42558</c:v>
              </c:pt>
              <c:pt idx="127">
                <c:v>42559</c:v>
              </c:pt>
              <c:pt idx="128">
                <c:v>42562</c:v>
              </c:pt>
              <c:pt idx="129">
                <c:v>42563</c:v>
              </c:pt>
              <c:pt idx="130">
                <c:v>42564</c:v>
              </c:pt>
              <c:pt idx="131">
                <c:v>42565</c:v>
              </c:pt>
              <c:pt idx="132">
                <c:v>42566</c:v>
              </c:pt>
              <c:pt idx="133">
                <c:v>42569</c:v>
              </c:pt>
              <c:pt idx="134">
                <c:v>42570</c:v>
              </c:pt>
              <c:pt idx="135">
                <c:v>42571</c:v>
              </c:pt>
              <c:pt idx="136">
                <c:v>42572</c:v>
              </c:pt>
              <c:pt idx="137">
                <c:v>42573</c:v>
              </c:pt>
              <c:pt idx="138">
                <c:v>42576</c:v>
              </c:pt>
              <c:pt idx="139">
                <c:v>42577</c:v>
              </c:pt>
              <c:pt idx="140">
                <c:v>42578</c:v>
              </c:pt>
              <c:pt idx="141">
                <c:v>42579</c:v>
              </c:pt>
              <c:pt idx="142">
                <c:v>42580</c:v>
              </c:pt>
              <c:pt idx="143">
                <c:v>42583</c:v>
              </c:pt>
              <c:pt idx="144">
                <c:v>42584</c:v>
              </c:pt>
              <c:pt idx="145">
                <c:v>42585</c:v>
              </c:pt>
              <c:pt idx="146">
                <c:v>42586</c:v>
              </c:pt>
              <c:pt idx="147">
                <c:v>42587</c:v>
              </c:pt>
              <c:pt idx="148">
                <c:v>42590</c:v>
              </c:pt>
              <c:pt idx="149">
                <c:v>42591</c:v>
              </c:pt>
              <c:pt idx="150">
                <c:v>42592</c:v>
              </c:pt>
              <c:pt idx="151">
                <c:v>42593</c:v>
              </c:pt>
              <c:pt idx="152">
                <c:v>42594</c:v>
              </c:pt>
              <c:pt idx="153">
                <c:v>42598</c:v>
              </c:pt>
              <c:pt idx="154">
                <c:v>42599</c:v>
              </c:pt>
              <c:pt idx="155">
                <c:v>42600</c:v>
              </c:pt>
              <c:pt idx="156">
                <c:v>42601</c:v>
              </c:pt>
              <c:pt idx="157">
                <c:v>42604</c:v>
              </c:pt>
              <c:pt idx="158">
                <c:v>42605</c:v>
              </c:pt>
              <c:pt idx="159">
                <c:v>42606</c:v>
              </c:pt>
              <c:pt idx="160">
                <c:v>42607</c:v>
              </c:pt>
              <c:pt idx="161">
                <c:v>42608</c:v>
              </c:pt>
              <c:pt idx="162">
                <c:v>42611</c:v>
              </c:pt>
              <c:pt idx="163">
                <c:v>42612</c:v>
              </c:pt>
              <c:pt idx="164">
                <c:v>42613</c:v>
              </c:pt>
              <c:pt idx="165">
                <c:v>42614</c:v>
              </c:pt>
              <c:pt idx="166">
                <c:v>42615</c:v>
              </c:pt>
              <c:pt idx="167">
                <c:v>42619</c:v>
              </c:pt>
              <c:pt idx="168">
                <c:v>42620</c:v>
              </c:pt>
              <c:pt idx="169">
                <c:v>42621</c:v>
              </c:pt>
              <c:pt idx="170">
                <c:v>42622</c:v>
              </c:pt>
              <c:pt idx="171">
                <c:v>42625</c:v>
              </c:pt>
              <c:pt idx="172">
                <c:v>42627</c:v>
              </c:pt>
              <c:pt idx="173">
                <c:v>42628</c:v>
              </c:pt>
              <c:pt idx="174">
                <c:v>42629</c:v>
              </c:pt>
              <c:pt idx="175">
                <c:v>42632</c:v>
              </c:pt>
              <c:pt idx="176">
                <c:v>42633</c:v>
              </c:pt>
              <c:pt idx="177">
                <c:v>42634</c:v>
              </c:pt>
              <c:pt idx="178">
                <c:v>42635</c:v>
              </c:pt>
              <c:pt idx="179">
                <c:v>42636</c:v>
              </c:pt>
              <c:pt idx="180">
                <c:v>42639</c:v>
              </c:pt>
              <c:pt idx="181">
                <c:v>42640</c:v>
              </c:pt>
              <c:pt idx="182">
                <c:v>42641</c:v>
              </c:pt>
              <c:pt idx="183">
                <c:v>42642</c:v>
              </c:pt>
              <c:pt idx="184">
                <c:v>42643</c:v>
              </c:pt>
              <c:pt idx="185">
                <c:v>42646</c:v>
              </c:pt>
              <c:pt idx="186">
                <c:v>42647</c:v>
              </c:pt>
              <c:pt idx="187">
                <c:v>42648</c:v>
              </c:pt>
              <c:pt idx="188">
                <c:v>42649</c:v>
              </c:pt>
              <c:pt idx="189">
                <c:v>42650</c:v>
              </c:pt>
              <c:pt idx="190">
                <c:v>42653</c:v>
              </c:pt>
              <c:pt idx="191">
                <c:v>42656</c:v>
              </c:pt>
              <c:pt idx="192">
                <c:v>42657</c:v>
              </c:pt>
              <c:pt idx="193">
                <c:v>42660</c:v>
              </c:pt>
              <c:pt idx="194">
                <c:v>42661</c:v>
              </c:pt>
              <c:pt idx="195">
                <c:v>42662</c:v>
              </c:pt>
              <c:pt idx="196">
                <c:v>42663</c:v>
              </c:pt>
              <c:pt idx="197">
                <c:v>42664</c:v>
              </c:pt>
              <c:pt idx="198">
                <c:v>42667</c:v>
              </c:pt>
              <c:pt idx="199">
                <c:v>42668</c:v>
              </c:pt>
              <c:pt idx="200">
                <c:v>42669</c:v>
              </c:pt>
              <c:pt idx="201">
                <c:v>42670</c:v>
              </c:pt>
              <c:pt idx="202">
                <c:v>42671</c:v>
              </c:pt>
              <c:pt idx="203">
                <c:v>42673</c:v>
              </c:pt>
              <c:pt idx="204">
                <c:v>42675</c:v>
              </c:pt>
              <c:pt idx="205">
                <c:v>42676</c:v>
              </c:pt>
              <c:pt idx="206">
                <c:v>42677</c:v>
              </c:pt>
              <c:pt idx="207">
                <c:v>42678</c:v>
              </c:pt>
              <c:pt idx="208">
                <c:v>42681</c:v>
              </c:pt>
              <c:pt idx="209">
                <c:v>42682</c:v>
              </c:pt>
              <c:pt idx="210">
                <c:v>42683</c:v>
              </c:pt>
              <c:pt idx="211">
                <c:v>42684</c:v>
              </c:pt>
              <c:pt idx="212">
                <c:v>42685</c:v>
              </c:pt>
              <c:pt idx="213">
                <c:v>42689</c:v>
              </c:pt>
              <c:pt idx="214">
                <c:v>42690</c:v>
              </c:pt>
              <c:pt idx="215">
                <c:v>42691</c:v>
              </c:pt>
              <c:pt idx="216">
                <c:v>42692</c:v>
              </c:pt>
              <c:pt idx="217">
                <c:v>42695</c:v>
              </c:pt>
              <c:pt idx="218">
                <c:v>42696</c:v>
              </c:pt>
              <c:pt idx="219">
                <c:v>42697</c:v>
              </c:pt>
              <c:pt idx="220">
                <c:v>42698</c:v>
              </c:pt>
              <c:pt idx="221">
                <c:v>42699</c:v>
              </c:pt>
              <c:pt idx="222">
                <c:v>42702</c:v>
              </c:pt>
              <c:pt idx="223">
                <c:v>42703</c:v>
              </c:pt>
              <c:pt idx="224">
                <c:v>42704</c:v>
              </c:pt>
              <c:pt idx="225">
                <c:v>42705</c:v>
              </c:pt>
              <c:pt idx="226">
                <c:v>42706</c:v>
              </c:pt>
              <c:pt idx="227">
                <c:v>42709</c:v>
              </c:pt>
              <c:pt idx="228">
                <c:v>42710</c:v>
              </c:pt>
              <c:pt idx="229">
                <c:v>42711</c:v>
              </c:pt>
              <c:pt idx="230">
                <c:v>42712</c:v>
              </c:pt>
              <c:pt idx="231">
                <c:v>42713</c:v>
              </c:pt>
              <c:pt idx="232">
                <c:v>42716</c:v>
              </c:pt>
              <c:pt idx="233">
                <c:v>42717</c:v>
              </c:pt>
              <c:pt idx="234">
                <c:v>42718</c:v>
              </c:pt>
              <c:pt idx="235">
                <c:v>42719</c:v>
              </c:pt>
              <c:pt idx="236">
                <c:v>42720</c:v>
              </c:pt>
              <c:pt idx="237">
                <c:v>42723</c:v>
              </c:pt>
              <c:pt idx="238">
                <c:v>42724</c:v>
              </c:pt>
              <c:pt idx="239">
                <c:v>42725</c:v>
              </c:pt>
              <c:pt idx="240">
                <c:v>42726</c:v>
              </c:pt>
              <c:pt idx="241">
                <c:v>42727</c:v>
              </c:pt>
              <c:pt idx="242">
                <c:v>42730</c:v>
              </c:pt>
              <c:pt idx="243">
                <c:v>42731</c:v>
              </c:pt>
              <c:pt idx="244">
                <c:v>42732</c:v>
              </c:pt>
              <c:pt idx="245">
                <c:v>42733</c:v>
              </c:pt>
              <c:pt idx="246">
                <c:v>42734</c:v>
              </c:pt>
              <c:pt idx="247">
                <c:v>42737</c:v>
              </c:pt>
              <c:pt idx="248">
                <c:v>42738</c:v>
              </c:pt>
              <c:pt idx="249">
                <c:v>42739</c:v>
              </c:pt>
              <c:pt idx="250">
                <c:v>42740</c:v>
              </c:pt>
              <c:pt idx="251">
                <c:v>42741</c:v>
              </c:pt>
              <c:pt idx="252">
                <c:v>42744</c:v>
              </c:pt>
              <c:pt idx="253">
                <c:v>42745</c:v>
              </c:pt>
              <c:pt idx="254">
                <c:v>42746</c:v>
              </c:pt>
              <c:pt idx="255">
                <c:v>42747</c:v>
              </c:pt>
              <c:pt idx="256">
                <c:v>42748</c:v>
              </c:pt>
              <c:pt idx="257">
                <c:v>42751</c:v>
              </c:pt>
              <c:pt idx="258">
                <c:v>42752</c:v>
              </c:pt>
              <c:pt idx="259">
                <c:v>42753</c:v>
              </c:pt>
              <c:pt idx="260">
                <c:v>42754</c:v>
              </c:pt>
              <c:pt idx="261">
                <c:v>42755</c:v>
              </c:pt>
              <c:pt idx="262">
                <c:v>42758</c:v>
              </c:pt>
              <c:pt idx="263">
                <c:v>42759</c:v>
              </c:pt>
              <c:pt idx="264">
                <c:v>42760</c:v>
              </c:pt>
              <c:pt idx="265">
                <c:v>42762</c:v>
              </c:pt>
              <c:pt idx="266">
                <c:v>42765</c:v>
              </c:pt>
              <c:pt idx="267">
                <c:v>42766</c:v>
              </c:pt>
              <c:pt idx="268">
                <c:v>42767</c:v>
              </c:pt>
              <c:pt idx="269">
                <c:v>42768</c:v>
              </c:pt>
              <c:pt idx="270">
                <c:v>42769</c:v>
              </c:pt>
              <c:pt idx="271">
                <c:v>42772</c:v>
              </c:pt>
              <c:pt idx="272">
                <c:v>42773</c:v>
              </c:pt>
              <c:pt idx="273">
                <c:v>42774</c:v>
              </c:pt>
              <c:pt idx="274">
                <c:v>42775</c:v>
              </c:pt>
              <c:pt idx="275">
                <c:v>42776</c:v>
              </c:pt>
              <c:pt idx="276">
                <c:v>42779</c:v>
              </c:pt>
              <c:pt idx="277">
                <c:v>42780</c:v>
              </c:pt>
              <c:pt idx="278">
                <c:v>42781</c:v>
              </c:pt>
              <c:pt idx="279">
                <c:v>42782</c:v>
              </c:pt>
              <c:pt idx="280">
                <c:v>42783</c:v>
              </c:pt>
              <c:pt idx="281">
                <c:v>42786</c:v>
              </c:pt>
              <c:pt idx="282">
                <c:v>42787</c:v>
              </c:pt>
              <c:pt idx="283">
                <c:v>42788</c:v>
              </c:pt>
              <c:pt idx="284">
                <c:v>42789</c:v>
              </c:pt>
              <c:pt idx="285">
                <c:v>42793</c:v>
              </c:pt>
              <c:pt idx="286">
                <c:v>42794</c:v>
              </c:pt>
              <c:pt idx="287">
                <c:v>42795</c:v>
              </c:pt>
              <c:pt idx="288">
                <c:v>42796</c:v>
              </c:pt>
              <c:pt idx="289">
                <c:v>42797</c:v>
              </c:pt>
              <c:pt idx="290">
                <c:v>42800</c:v>
              </c:pt>
              <c:pt idx="291">
                <c:v>42801</c:v>
              </c:pt>
              <c:pt idx="292">
                <c:v>42802</c:v>
              </c:pt>
              <c:pt idx="293">
                <c:v>42803</c:v>
              </c:pt>
              <c:pt idx="294">
                <c:v>42804</c:v>
              </c:pt>
              <c:pt idx="295">
                <c:v>42808</c:v>
              </c:pt>
              <c:pt idx="296">
                <c:v>42809</c:v>
              </c:pt>
              <c:pt idx="297">
                <c:v>42810</c:v>
              </c:pt>
              <c:pt idx="298">
                <c:v>42811</c:v>
              </c:pt>
              <c:pt idx="299">
                <c:v>42814</c:v>
              </c:pt>
              <c:pt idx="300">
                <c:v>42815</c:v>
              </c:pt>
              <c:pt idx="301">
                <c:v>42816</c:v>
              </c:pt>
              <c:pt idx="302">
                <c:v>42817</c:v>
              </c:pt>
              <c:pt idx="303">
                <c:v>42818</c:v>
              </c:pt>
              <c:pt idx="304">
                <c:v>42821</c:v>
              </c:pt>
              <c:pt idx="305">
                <c:v>42822</c:v>
              </c:pt>
              <c:pt idx="306">
                <c:v>42823</c:v>
              </c:pt>
              <c:pt idx="307">
                <c:v>42824</c:v>
              </c:pt>
              <c:pt idx="308">
                <c:v>42825</c:v>
              </c:pt>
              <c:pt idx="309">
                <c:v>42828</c:v>
              </c:pt>
              <c:pt idx="310">
                <c:v>42830</c:v>
              </c:pt>
              <c:pt idx="311">
                <c:v>42831</c:v>
              </c:pt>
              <c:pt idx="312">
                <c:v>42832</c:v>
              </c:pt>
              <c:pt idx="313">
                <c:v>42835</c:v>
              </c:pt>
              <c:pt idx="314">
                <c:v>42836</c:v>
              </c:pt>
              <c:pt idx="315">
                <c:v>42837</c:v>
              </c:pt>
              <c:pt idx="316">
                <c:v>42838</c:v>
              </c:pt>
              <c:pt idx="317">
                <c:v>42842</c:v>
              </c:pt>
              <c:pt idx="318">
                <c:v>42843</c:v>
              </c:pt>
              <c:pt idx="319">
                <c:v>42844</c:v>
              </c:pt>
              <c:pt idx="320">
                <c:v>42845</c:v>
              </c:pt>
              <c:pt idx="321">
                <c:v>42846</c:v>
              </c:pt>
              <c:pt idx="322">
                <c:v>42849</c:v>
              </c:pt>
              <c:pt idx="323">
                <c:v>42850</c:v>
              </c:pt>
              <c:pt idx="324">
                <c:v>42851</c:v>
              </c:pt>
              <c:pt idx="325">
                <c:v>42852</c:v>
              </c:pt>
              <c:pt idx="326">
                <c:v>42853</c:v>
              </c:pt>
              <c:pt idx="327">
                <c:v>42857</c:v>
              </c:pt>
              <c:pt idx="328">
                <c:v>42858</c:v>
              </c:pt>
              <c:pt idx="329">
                <c:v>42859</c:v>
              </c:pt>
              <c:pt idx="330">
                <c:v>42860</c:v>
              </c:pt>
              <c:pt idx="331">
                <c:v>42863</c:v>
              </c:pt>
              <c:pt idx="332">
                <c:v>42864</c:v>
              </c:pt>
              <c:pt idx="333">
                <c:v>42865</c:v>
              </c:pt>
              <c:pt idx="334">
                <c:v>42866</c:v>
              </c:pt>
              <c:pt idx="335">
                <c:v>42867</c:v>
              </c:pt>
              <c:pt idx="336">
                <c:v>42870</c:v>
              </c:pt>
              <c:pt idx="337">
                <c:v>42871</c:v>
              </c:pt>
              <c:pt idx="338">
                <c:v>42872</c:v>
              </c:pt>
              <c:pt idx="339">
                <c:v>42873</c:v>
              </c:pt>
              <c:pt idx="340">
                <c:v>42874</c:v>
              </c:pt>
              <c:pt idx="341">
                <c:v>42877</c:v>
              </c:pt>
              <c:pt idx="342">
                <c:v>42878</c:v>
              </c:pt>
              <c:pt idx="343">
                <c:v>42879</c:v>
              </c:pt>
              <c:pt idx="344">
                <c:v>42880</c:v>
              </c:pt>
              <c:pt idx="345">
                <c:v>42881</c:v>
              </c:pt>
              <c:pt idx="346">
                <c:v>42884</c:v>
              </c:pt>
              <c:pt idx="347">
                <c:v>42885</c:v>
              </c:pt>
              <c:pt idx="348">
                <c:v>42886</c:v>
              </c:pt>
              <c:pt idx="349">
                <c:v>42887</c:v>
              </c:pt>
              <c:pt idx="350">
                <c:v>42888</c:v>
              </c:pt>
              <c:pt idx="351">
                <c:v>42891</c:v>
              </c:pt>
              <c:pt idx="352">
                <c:v>42892</c:v>
              </c:pt>
              <c:pt idx="353">
                <c:v>42893</c:v>
              </c:pt>
              <c:pt idx="354">
                <c:v>42894</c:v>
              </c:pt>
              <c:pt idx="355">
                <c:v>42895</c:v>
              </c:pt>
              <c:pt idx="356">
                <c:v>42898</c:v>
              </c:pt>
              <c:pt idx="357">
                <c:v>42899</c:v>
              </c:pt>
              <c:pt idx="358">
                <c:v>42900</c:v>
              </c:pt>
              <c:pt idx="359">
                <c:v>42901</c:v>
              </c:pt>
              <c:pt idx="360">
                <c:v>42902</c:v>
              </c:pt>
              <c:pt idx="361">
                <c:v>42905</c:v>
              </c:pt>
              <c:pt idx="362">
                <c:v>42906</c:v>
              </c:pt>
              <c:pt idx="363">
                <c:v>42907</c:v>
              </c:pt>
              <c:pt idx="364">
                <c:v>42908</c:v>
              </c:pt>
              <c:pt idx="365">
                <c:v>42909</c:v>
              </c:pt>
              <c:pt idx="366">
                <c:v>42913</c:v>
              </c:pt>
              <c:pt idx="367">
                <c:v>42914</c:v>
              </c:pt>
              <c:pt idx="368">
                <c:v>42915</c:v>
              </c:pt>
              <c:pt idx="369">
                <c:v>42916</c:v>
              </c:pt>
              <c:pt idx="370">
                <c:v>42919</c:v>
              </c:pt>
              <c:pt idx="371">
                <c:v>42920</c:v>
              </c:pt>
              <c:pt idx="372">
                <c:v>42921</c:v>
              </c:pt>
              <c:pt idx="373">
                <c:v>42922</c:v>
              </c:pt>
              <c:pt idx="374">
                <c:v>42923</c:v>
              </c:pt>
              <c:pt idx="375">
                <c:v>42926</c:v>
              </c:pt>
              <c:pt idx="376">
                <c:v>42927</c:v>
              </c:pt>
              <c:pt idx="377">
                <c:v>42928</c:v>
              </c:pt>
              <c:pt idx="378">
                <c:v>42929</c:v>
              </c:pt>
              <c:pt idx="379">
                <c:v>42930</c:v>
              </c:pt>
              <c:pt idx="380">
                <c:v>42933</c:v>
              </c:pt>
              <c:pt idx="381">
                <c:v>42934</c:v>
              </c:pt>
              <c:pt idx="382">
                <c:v>42935</c:v>
              </c:pt>
              <c:pt idx="383">
                <c:v>42936</c:v>
              </c:pt>
              <c:pt idx="384">
                <c:v>42937</c:v>
              </c:pt>
              <c:pt idx="385">
                <c:v>42940</c:v>
              </c:pt>
              <c:pt idx="386">
                <c:v>42941</c:v>
              </c:pt>
              <c:pt idx="387">
                <c:v>42942</c:v>
              </c:pt>
              <c:pt idx="388">
                <c:v>42943</c:v>
              </c:pt>
              <c:pt idx="389">
                <c:v>42944</c:v>
              </c:pt>
              <c:pt idx="390">
                <c:v>42947</c:v>
              </c:pt>
              <c:pt idx="391">
                <c:v>42948</c:v>
              </c:pt>
              <c:pt idx="392">
                <c:v>42949</c:v>
              </c:pt>
              <c:pt idx="393">
                <c:v>42950</c:v>
              </c:pt>
              <c:pt idx="394">
                <c:v>42951</c:v>
              </c:pt>
              <c:pt idx="395">
                <c:v>42954</c:v>
              </c:pt>
              <c:pt idx="396">
                <c:v>42955</c:v>
              </c:pt>
              <c:pt idx="397">
                <c:v>42956</c:v>
              </c:pt>
              <c:pt idx="398">
                <c:v>42957</c:v>
              </c:pt>
              <c:pt idx="399">
                <c:v>42958</c:v>
              </c:pt>
              <c:pt idx="400">
                <c:v>42961</c:v>
              </c:pt>
              <c:pt idx="401">
                <c:v>42963</c:v>
              </c:pt>
              <c:pt idx="402">
                <c:v>42964</c:v>
              </c:pt>
              <c:pt idx="403">
                <c:v>42965</c:v>
              </c:pt>
              <c:pt idx="404">
                <c:v>42968</c:v>
              </c:pt>
              <c:pt idx="405">
                <c:v>42969</c:v>
              </c:pt>
              <c:pt idx="406">
                <c:v>42970</c:v>
              </c:pt>
              <c:pt idx="407">
                <c:v>42971</c:v>
              </c:pt>
              <c:pt idx="408">
                <c:v>42975</c:v>
              </c:pt>
              <c:pt idx="409">
                <c:v>42976</c:v>
              </c:pt>
              <c:pt idx="410">
                <c:v>42977</c:v>
              </c:pt>
              <c:pt idx="411">
                <c:v>42978</c:v>
              </c:pt>
              <c:pt idx="412">
                <c:v>42979</c:v>
              </c:pt>
              <c:pt idx="413">
                <c:v>42982</c:v>
              </c:pt>
              <c:pt idx="414">
                <c:v>42983</c:v>
              </c:pt>
              <c:pt idx="415">
                <c:v>42984</c:v>
              </c:pt>
              <c:pt idx="416">
                <c:v>42985</c:v>
              </c:pt>
              <c:pt idx="417">
                <c:v>42986</c:v>
              </c:pt>
              <c:pt idx="418">
                <c:v>42989</c:v>
              </c:pt>
              <c:pt idx="419">
                <c:v>42990</c:v>
              </c:pt>
              <c:pt idx="420">
                <c:v>42991</c:v>
              </c:pt>
              <c:pt idx="421">
                <c:v>42992</c:v>
              </c:pt>
              <c:pt idx="422">
                <c:v>42993</c:v>
              </c:pt>
              <c:pt idx="423">
                <c:v>42996</c:v>
              </c:pt>
              <c:pt idx="424">
                <c:v>42997</c:v>
              </c:pt>
              <c:pt idx="425">
                <c:v>42998</c:v>
              </c:pt>
              <c:pt idx="426">
                <c:v>42999</c:v>
              </c:pt>
              <c:pt idx="427">
                <c:v>43000</c:v>
              </c:pt>
              <c:pt idx="428">
                <c:v>43003</c:v>
              </c:pt>
              <c:pt idx="429">
                <c:v>43004</c:v>
              </c:pt>
              <c:pt idx="430">
                <c:v>43005</c:v>
              </c:pt>
              <c:pt idx="431">
                <c:v>43006</c:v>
              </c:pt>
              <c:pt idx="432">
                <c:v>43007</c:v>
              </c:pt>
              <c:pt idx="433">
                <c:v>43011</c:v>
              </c:pt>
              <c:pt idx="434">
                <c:v>43012</c:v>
              </c:pt>
              <c:pt idx="435">
                <c:v>43013</c:v>
              </c:pt>
              <c:pt idx="436">
                <c:v>43014</c:v>
              </c:pt>
              <c:pt idx="437">
                <c:v>43017</c:v>
              </c:pt>
              <c:pt idx="438">
                <c:v>43018</c:v>
              </c:pt>
              <c:pt idx="439">
                <c:v>43019</c:v>
              </c:pt>
              <c:pt idx="440">
                <c:v>43020</c:v>
              </c:pt>
              <c:pt idx="441">
                <c:v>43021</c:v>
              </c:pt>
              <c:pt idx="442">
                <c:v>43024</c:v>
              </c:pt>
              <c:pt idx="443">
                <c:v>43025</c:v>
              </c:pt>
              <c:pt idx="444">
                <c:v>43026</c:v>
              </c:pt>
              <c:pt idx="445">
                <c:v>43027</c:v>
              </c:pt>
              <c:pt idx="446">
                <c:v>43031</c:v>
              </c:pt>
              <c:pt idx="447">
                <c:v>43032</c:v>
              </c:pt>
              <c:pt idx="448">
                <c:v>43033</c:v>
              </c:pt>
              <c:pt idx="449">
                <c:v>43034</c:v>
              </c:pt>
              <c:pt idx="450">
                <c:v>43035</c:v>
              </c:pt>
              <c:pt idx="451">
                <c:v>43038</c:v>
              </c:pt>
              <c:pt idx="452">
                <c:v>43039</c:v>
              </c:pt>
              <c:pt idx="453">
                <c:v>43040</c:v>
              </c:pt>
              <c:pt idx="454">
                <c:v>43041</c:v>
              </c:pt>
              <c:pt idx="455">
                <c:v>43042</c:v>
              </c:pt>
              <c:pt idx="456">
                <c:v>43045</c:v>
              </c:pt>
              <c:pt idx="457">
                <c:v>43046</c:v>
              </c:pt>
              <c:pt idx="458">
                <c:v>43047</c:v>
              </c:pt>
              <c:pt idx="459">
                <c:v>43048</c:v>
              </c:pt>
              <c:pt idx="460">
                <c:v>43049</c:v>
              </c:pt>
              <c:pt idx="461">
                <c:v>43052</c:v>
              </c:pt>
              <c:pt idx="462">
                <c:v>43053</c:v>
              </c:pt>
              <c:pt idx="463">
                <c:v>43054</c:v>
              </c:pt>
              <c:pt idx="464">
                <c:v>43055</c:v>
              </c:pt>
              <c:pt idx="465">
                <c:v>43056</c:v>
              </c:pt>
              <c:pt idx="466">
                <c:v>43059</c:v>
              </c:pt>
              <c:pt idx="467">
                <c:v>43060</c:v>
              </c:pt>
              <c:pt idx="468">
                <c:v>43061</c:v>
              </c:pt>
              <c:pt idx="469">
                <c:v>43062</c:v>
              </c:pt>
              <c:pt idx="470">
                <c:v>43063</c:v>
              </c:pt>
              <c:pt idx="471">
                <c:v>43066</c:v>
              </c:pt>
              <c:pt idx="472">
                <c:v>43067</c:v>
              </c:pt>
              <c:pt idx="473">
                <c:v>43068</c:v>
              </c:pt>
              <c:pt idx="474">
                <c:v>43069</c:v>
              </c:pt>
              <c:pt idx="475">
                <c:v>43070</c:v>
              </c:pt>
              <c:pt idx="476">
                <c:v>43073</c:v>
              </c:pt>
              <c:pt idx="477">
                <c:v>43074</c:v>
              </c:pt>
              <c:pt idx="478">
                <c:v>43075</c:v>
              </c:pt>
              <c:pt idx="479">
                <c:v>43076</c:v>
              </c:pt>
              <c:pt idx="480">
                <c:v>43077</c:v>
              </c:pt>
              <c:pt idx="481">
                <c:v>43080</c:v>
              </c:pt>
              <c:pt idx="482">
                <c:v>43081</c:v>
              </c:pt>
              <c:pt idx="483">
                <c:v>43082</c:v>
              </c:pt>
              <c:pt idx="484">
                <c:v>43083</c:v>
              </c:pt>
              <c:pt idx="485">
                <c:v>43084</c:v>
              </c:pt>
              <c:pt idx="486">
                <c:v>43087</c:v>
              </c:pt>
              <c:pt idx="487">
                <c:v>43088</c:v>
              </c:pt>
              <c:pt idx="488">
                <c:v>43089</c:v>
              </c:pt>
              <c:pt idx="489">
                <c:v>43090</c:v>
              </c:pt>
              <c:pt idx="490">
                <c:v>43091</c:v>
              </c:pt>
              <c:pt idx="491">
                <c:v>43095</c:v>
              </c:pt>
              <c:pt idx="492">
                <c:v>43096</c:v>
              </c:pt>
              <c:pt idx="493">
                <c:v>43097</c:v>
              </c:pt>
              <c:pt idx="494">
                <c:v>43098</c:v>
              </c:pt>
              <c:pt idx="495">
                <c:v>43101</c:v>
              </c:pt>
              <c:pt idx="496">
                <c:v>43102</c:v>
              </c:pt>
              <c:pt idx="497">
                <c:v>43103</c:v>
              </c:pt>
              <c:pt idx="498">
                <c:v>43104</c:v>
              </c:pt>
              <c:pt idx="499">
                <c:v>43105</c:v>
              </c:pt>
              <c:pt idx="500">
                <c:v>43108</c:v>
              </c:pt>
              <c:pt idx="501">
                <c:v>43109</c:v>
              </c:pt>
              <c:pt idx="502">
                <c:v>43110</c:v>
              </c:pt>
              <c:pt idx="503">
                <c:v>43111</c:v>
              </c:pt>
              <c:pt idx="504">
                <c:v>43112</c:v>
              </c:pt>
              <c:pt idx="505">
                <c:v>43115</c:v>
              </c:pt>
              <c:pt idx="506">
                <c:v>43116</c:v>
              </c:pt>
              <c:pt idx="507">
                <c:v>43117</c:v>
              </c:pt>
              <c:pt idx="508">
                <c:v>43118</c:v>
              </c:pt>
              <c:pt idx="509">
                <c:v>43119</c:v>
              </c:pt>
              <c:pt idx="510">
                <c:v>43122</c:v>
              </c:pt>
              <c:pt idx="511">
                <c:v>43123</c:v>
              </c:pt>
              <c:pt idx="512">
                <c:v>43124</c:v>
              </c:pt>
              <c:pt idx="513">
                <c:v>43125</c:v>
              </c:pt>
              <c:pt idx="514">
                <c:v>43129</c:v>
              </c:pt>
              <c:pt idx="515">
                <c:v>43130</c:v>
              </c:pt>
              <c:pt idx="516">
                <c:v>43131</c:v>
              </c:pt>
              <c:pt idx="517">
                <c:v>43132</c:v>
              </c:pt>
              <c:pt idx="518">
                <c:v>43133</c:v>
              </c:pt>
              <c:pt idx="519">
                <c:v>43136</c:v>
              </c:pt>
              <c:pt idx="520">
                <c:v>43137</c:v>
              </c:pt>
              <c:pt idx="521">
                <c:v>43138</c:v>
              </c:pt>
              <c:pt idx="522">
                <c:v>43139</c:v>
              </c:pt>
              <c:pt idx="523">
                <c:v>43140</c:v>
              </c:pt>
              <c:pt idx="524">
                <c:v>43143</c:v>
              </c:pt>
              <c:pt idx="525">
                <c:v>43145</c:v>
              </c:pt>
              <c:pt idx="526">
                <c:v>43146</c:v>
              </c:pt>
              <c:pt idx="527">
                <c:v>43147</c:v>
              </c:pt>
              <c:pt idx="528">
                <c:v>43150</c:v>
              </c:pt>
              <c:pt idx="529">
                <c:v>43151</c:v>
              </c:pt>
              <c:pt idx="530">
                <c:v>43152</c:v>
              </c:pt>
              <c:pt idx="531">
                <c:v>43153</c:v>
              </c:pt>
              <c:pt idx="532">
                <c:v>43154</c:v>
              </c:pt>
              <c:pt idx="533">
                <c:v>43157</c:v>
              </c:pt>
              <c:pt idx="534">
                <c:v>43158</c:v>
              </c:pt>
              <c:pt idx="535">
                <c:v>43159</c:v>
              </c:pt>
              <c:pt idx="536">
                <c:v>43160</c:v>
              </c:pt>
              <c:pt idx="537">
                <c:v>43164</c:v>
              </c:pt>
              <c:pt idx="538">
                <c:v>43165</c:v>
              </c:pt>
              <c:pt idx="539">
                <c:v>43166</c:v>
              </c:pt>
              <c:pt idx="540">
                <c:v>43167</c:v>
              </c:pt>
              <c:pt idx="541">
                <c:v>43168</c:v>
              </c:pt>
              <c:pt idx="542">
                <c:v>43171</c:v>
              </c:pt>
              <c:pt idx="543">
                <c:v>43172</c:v>
              </c:pt>
              <c:pt idx="544">
                <c:v>43173</c:v>
              </c:pt>
              <c:pt idx="545">
                <c:v>43174</c:v>
              </c:pt>
              <c:pt idx="546">
                <c:v>43175</c:v>
              </c:pt>
              <c:pt idx="547">
                <c:v>43178</c:v>
              </c:pt>
              <c:pt idx="548">
                <c:v>43179</c:v>
              </c:pt>
              <c:pt idx="549">
                <c:v>43180</c:v>
              </c:pt>
              <c:pt idx="550">
                <c:v>43181</c:v>
              </c:pt>
              <c:pt idx="551">
                <c:v>43182</c:v>
              </c:pt>
              <c:pt idx="552">
                <c:v>43185</c:v>
              </c:pt>
              <c:pt idx="553">
                <c:v>43186</c:v>
              </c:pt>
              <c:pt idx="554">
                <c:v>43187</c:v>
              </c:pt>
              <c:pt idx="555">
                <c:v>43192</c:v>
              </c:pt>
              <c:pt idx="556">
                <c:v>43193</c:v>
              </c:pt>
              <c:pt idx="557">
                <c:v>43194</c:v>
              </c:pt>
              <c:pt idx="558">
                <c:v>43195</c:v>
              </c:pt>
              <c:pt idx="559">
                <c:v>43196</c:v>
              </c:pt>
              <c:pt idx="560">
                <c:v>43199</c:v>
              </c:pt>
              <c:pt idx="561">
                <c:v>43200</c:v>
              </c:pt>
              <c:pt idx="562">
                <c:v>43201</c:v>
              </c:pt>
              <c:pt idx="563">
                <c:v>43202</c:v>
              </c:pt>
              <c:pt idx="564">
                <c:v>43203</c:v>
              </c:pt>
              <c:pt idx="565">
                <c:v>43206</c:v>
              </c:pt>
              <c:pt idx="566">
                <c:v>43207</c:v>
              </c:pt>
              <c:pt idx="567">
                <c:v>43208</c:v>
              </c:pt>
              <c:pt idx="568">
                <c:v>43209</c:v>
              </c:pt>
              <c:pt idx="569">
                <c:v>43210</c:v>
              </c:pt>
              <c:pt idx="570">
                <c:v>43213</c:v>
              </c:pt>
              <c:pt idx="571">
                <c:v>43214</c:v>
              </c:pt>
              <c:pt idx="572">
                <c:v>43215</c:v>
              </c:pt>
              <c:pt idx="573">
                <c:v>43216</c:v>
              </c:pt>
              <c:pt idx="574">
                <c:v>43217</c:v>
              </c:pt>
              <c:pt idx="575">
                <c:v>43220</c:v>
              </c:pt>
              <c:pt idx="576">
                <c:v>43222</c:v>
              </c:pt>
              <c:pt idx="577">
                <c:v>43223</c:v>
              </c:pt>
              <c:pt idx="578">
                <c:v>43224</c:v>
              </c:pt>
              <c:pt idx="579">
                <c:v>43227</c:v>
              </c:pt>
              <c:pt idx="580">
                <c:v>43228</c:v>
              </c:pt>
              <c:pt idx="581">
                <c:v>43229</c:v>
              </c:pt>
              <c:pt idx="582">
                <c:v>43230</c:v>
              </c:pt>
              <c:pt idx="583">
                <c:v>43231</c:v>
              </c:pt>
              <c:pt idx="584">
                <c:v>43234</c:v>
              </c:pt>
              <c:pt idx="585">
                <c:v>43235</c:v>
              </c:pt>
              <c:pt idx="586">
                <c:v>43236</c:v>
              </c:pt>
              <c:pt idx="587">
                <c:v>43237</c:v>
              </c:pt>
              <c:pt idx="588">
                <c:v>43238</c:v>
              </c:pt>
              <c:pt idx="589">
                <c:v>43241</c:v>
              </c:pt>
              <c:pt idx="590">
                <c:v>43242</c:v>
              </c:pt>
              <c:pt idx="591">
                <c:v>43243</c:v>
              </c:pt>
              <c:pt idx="592">
                <c:v>43244</c:v>
              </c:pt>
              <c:pt idx="593">
                <c:v>43245</c:v>
              </c:pt>
              <c:pt idx="594">
                <c:v>43248</c:v>
              </c:pt>
              <c:pt idx="595">
                <c:v>43249</c:v>
              </c:pt>
              <c:pt idx="596">
                <c:v>43250</c:v>
              </c:pt>
              <c:pt idx="597">
                <c:v>43251</c:v>
              </c:pt>
              <c:pt idx="598">
                <c:v>43252</c:v>
              </c:pt>
              <c:pt idx="599">
                <c:v>43255</c:v>
              </c:pt>
              <c:pt idx="600">
                <c:v>43256</c:v>
              </c:pt>
              <c:pt idx="601">
                <c:v>43257</c:v>
              </c:pt>
              <c:pt idx="602">
                <c:v>43258</c:v>
              </c:pt>
              <c:pt idx="603">
                <c:v>43259</c:v>
              </c:pt>
              <c:pt idx="604">
                <c:v>43262</c:v>
              </c:pt>
              <c:pt idx="605">
                <c:v>43263</c:v>
              </c:pt>
              <c:pt idx="606">
                <c:v>43264</c:v>
              </c:pt>
              <c:pt idx="607">
                <c:v>43265</c:v>
              </c:pt>
              <c:pt idx="608">
                <c:v>43266</c:v>
              </c:pt>
              <c:pt idx="609">
                <c:v>43269</c:v>
              </c:pt>
              <c:pt idx="610">
                <c:v>43270</c:v>
              </c:pt>
              <c:pt idx="611">
                <c:v>43271</c:v>
              </c:pt>
              <c:pt idx="612">
                <c:v>43272</c:v>
              </c:pt>
              <c:pt idx="613">
                <c:v>43273</c:v>
              </c:pt>
              <c:pt idx="614">
                <c:v>43276</c:v>
              </c:pt>
              <c:pt idx="615">
                <c:v>43277</c:v>
              </c:pt>
              <c:pt idx="616">
                <c:v>43278</c:v>
              </c:pt>
              <c:pt idx="617">
                <c:v>43279</c:v>
              </c:pt>
              <c:pt idx="618">
                <c:v>43280</c:v>
              </c:pt>
              <c:pt idx="619">
                <c:v>43283</c:v>
              </c:pt>
              <c:pt idx="620">
                <c:v>43284</c:v>
              </c:pt>
              <c:pt idx="621">
                <c:v>43285</c:v>
              </c:pt>
              <c:pt idx="622">
                <c:v>43286</c:v>
              </c:pt>
              <c:pt idx="623">
                <c:v>43287</c:v>
              </c:pt>
              <c:pt idx="624">
                <c:v>43290</c:v>
              </c:pt>
              <c:pt idx="625">
                <c:v>43291</c:v>
              </c:pt>
              <c:pt idx="626">
                <c:v>43292</c:v>
              </c:pt>
              <c:pt idx="627">
                <c:v>43293</c:v>
              </c:pt>
              <c:pt idx="628">
                <c:v>43294</c:v>
              </c:pt>
              <c:pt idx="629">
                <c:v>43297</c:v>
              </c:pt>
              <c:pt idx="630">
                <c:v>43298</c:v>
              </c:pt>
              <c:pt idx="631">
                <c:v>43299</c:v>
              </c:pt>
              <c:pt idx="632">
                <c:v>43300</c:v>
              </c:pt>
              <c:pt idx="633">
                <c:v>43301</c:v>
              </c:pt>
              <c:pt idx="634">
                <c:v>43304</c:v>
              </c:pt>
              <c:pt idx="635">
                <c:v>43305</c:v>
              </c:pt>
              <c:pt idx="636">
                <c:v>43306</c:v>
              </c:pt>
              <c:pt idx="637">
                <c:v>43307</c:v>
              </c:pt>
              <c:pt idx="638">
                <c:v>43308</c:v>
              </c:pt>
              <c:pt idx="639">
                <c:v>43311</c:v>
              </c:pt>
              <c:pt idx="640">
                <c:v>43312</c:v>
              </c:pt>
              <c:pt idx="641">
                <c:v>43313</c:v>
              </c:pt>
              <c:pt idx="642">
                <c:v>43314</c:v>
              </c:pt>
              <c:pt idx="643">
                <c:v>43315</c:v>
              </c:pt>
              <c:pt idx="644">
                <c:v>43318</c:v>
              </c:pt>
              <c:pt idx="645">
                <c:v>43319</c:v>
              </c:pt>
              <c:pt idx="646">
                <c:v>43320</c:v>
              </c:pt>
              <c:pt idx="647">
                <c:v>43321</c:v>
              </c:pt>
              <c:pt idx="648">
                <c:v>43322</c:v>
              </c:pt>
              <c:pt idx="649">
                <c:v>43325</c:v>
              </c:pt>
              <c:pt idx="650">
                <c:v>43326</c:v>
              </c:pt>
              <c:pt idx="651">
                <c:v>43328</c:v>
              </c:pt>
              <c:pt idx="652">
                <c:v>43329</c:v>
              </c:pt>
              <c:pt idx="653">
                <c:v>43332</c:v>
              </c:pt>
              <c:pt idx="654">
                <c:v>43333</c:v>
              </c:pt>
              <c:pt idx="655">
                <c:v>43335</c:v>
              </c:pt>
              <c:pt idx="656">
                <c:v>43336</c:v>
              </c:pt>
              <c:pt idx="657">
                <c:v>43339</c:v>
              </c:pt>
              <c:pt idx="658">
                <c:v>43340</c:v>
              </c:pt>
              <c:pt idx="659">
                <c:v>43341</c:v>
              </c:pt>
              <c:pt idx="660">
                <c:v>43342</c:v>
              </c:pt>
              <c:pt idx="661">
                <c:v>43343</c:v>
              </c:pt>
              <c:pt idx="662">
                <c:v>43346</c:v>
              </c:pt>
              <c:pt idx="663">
                <c:v>43347</c:v>
              </c:pt>
              <c:pt idx="664">
                <c:v>43348</c:v>
              </c:pt>
              <c:pt idx="665">
                <c:v>43349</c:v>
              </c:pt>
              <c:pt idx="666">
                <c:v>43350</c:v>
              </c:pt>
              <c:pt idx="667">
                <c:v>43353</c:v>
              </c:pt>
              <c:pt idx="668">
                <c:v>43354</c:v>
              </c:pt>
              <c:pt idx="669">
                <c:v>43355</c:v>
              </c:pt>
              <c:pt idx="670">
                <c:v>43357</c:v>
              </c:pt>
              <c:pt idx="671">
                <c:v>43360</c:v>
              </c:pt>
              <c:pt idx="672">
                <c:v>43361</c:v>
              </c:pt>
              <c:pt idx="673">
                <c:v>43362</c:v>
              </c:pt>
              <c:pt idx="674">
                <c:v>43364</c:v>
              </c:pt>
              <c:pt idx="675">
                <c:v>43367</c:v>
              </c:pt>
              <c:pt idx="676">
                <c:v>43368</c:v>
              </c:pt>
              <c:pt idx="677">
                <c:v>43369</c:v>
              </c:pt>
              <c:pt idx="678">
                <c:v>43370</c:v>
              </c:pt>
              <c:pt idx="679">
                <c:v>43371</c:v>
              </c:pt>
              <c:pt idx="680">
                <c:v>43374</c:v>
              </c:pt>
              <c:pt idx="681">
                <c:v>43376</c:v>
              </c:pt>
              <c:pt idx="682">
                <c:v>43377</c:v>
              </c:pt>
              <c:pt idx="683">
                <c:v>43378</c:v>
              </c:pt>
              <c:pt idx="684">
                <c:v>43381</c:v>
              </c:pt>
              <c:pt idx="685">
                <c:v>43382</c:v>
              </c:pt>
              <c:pt idx="686">
                <c:v>43383</c:v>
              </c:pt>
              <c:pt idx="687">
                <c:v>43384</c:v>
              </c:pt>
              <c:pt idx="688">
                <c:v>43385</c:v>
              </c:pt>
              <c:pt idx="689">
                <c:v>43388</c:v>
              </c:pt>
              <c:pt idx="690">
                <c:v>43389</c:v>
              </c:pt>
              <c:pt idx="691">
                <c:v>43390</c:v>
              </c:pt>
              <c:pt idx="692">
                <c:v>43392</c:v>
              </c:pt>
              <c:pt idx="693">
                <c:v>43395</c:v>
              </c:pt>
              <c:pt idx="694">
                <c:v>43396</c:v>
              </c:pt>
              <c:pt idx="695">
                <c:v>43397</c:v>
              </c:pt>
              <c:pt idx="696">
                <c:v>43398</c:v>
              </c:pt>
              <c:pt idx="697">
                <c:v>43399</c:v>
              </c:pt>
              <c:pt idx="698">
                <c:v>43402</c:v>
              </c:pt>
              <c:pt idx="699">
                <c:v>43403</c:v>
              </c:pt>
              <c:pt idx="700">
                <c:v>43404</c:v>
              </c:pt>
              <c:pt idx="701">
                <c:v>43405</c:v>
              </c:pt>
              <c:pt idx="702">
                <c:v>43406</c:v>
              </c:pt>
              <c:pt idx="703">
                <c:v>43409</c:v>
              </c:pt>
              <c:pt idx="704">
                <c:v>43410</c:v>
              </c:pt>
              <c:pt idx="705">
                <c:v>43411</c:v>
              </c:pt>
              <c:pt idx="706">
                <c:v>43413</c:v>
              </c:pt>
              <c:pt idx="707">
                <c:v>43416</c:v>
              </c:pt>
              <c:pt idx="708">
                <c:v>43417</c:v>
              </c:pt>
              <c:pt idx="709">
                <c:v>43418</c:v>
              </c:pt>
              <c:pt idx="710">
                <c:v>43419</c:v>
              </c:pt>
              <c:pt idx="711">
                <c:v>43420</c:v>
              </c:pt>
              <c:pt idx="712">
                <c:v>43423</c:v>
              </c:pt>
              <c:pt idx="713">
                <c:v>43424</c:v>
              </c:pt>
              <c:pt idx="714">
                <c:v>43425</c:v>
              </c:pt>
              <c:pt idx="715">
                <c:v>43426</c:v>
              </c:pt>
              <c:pt idx="716">
                <c:v>43430</c:v>
              </c:pt>
              <c:pt idx="717">
                <c:v>43431</c:v>
              </c:pt>
              <c:pt idx="718">
                <c:v>43432</c:v>
              </c:pt>
              <c:pt idx="719">
                <c:v>43433</c:v>
              </c:pt>
              <c:pt idx="720">
                <c:v>43434</c:v>
              </c:pt>
              <c:pt idx="721">
                <c:v>43437</c:v>
              </c:pt>
              <c:pt idx="722">
                <c:v>43438</c:v>
              </c:pt>
              <c:pt idx="723">
                <c:v>43439</c:v>
              </c:pt>
              <c:pt idx="724">
                <c:v>43440</c:v>
              </c:pt>
              <c:pt idx="725">
                <c:v>43441</c:v>
              </c:pt>
              <c:pt idx="726">
                <c:v>43444</c:v>
              </c:pt>
              <c:pt idx="727">
                <c:v>43445</c:v>
              </c:pt>
              <c:pt idx="728">
                <c:v>43446</c:v>
              </c:pt>
              <c:pt idx="729">
                <c:v>43447</c:v>
              </c:pt>
              <c:pt idx="730">
                <c:v>43448</c:v>
              </c:pt>
              <c:pt idx="731">
                <c:v>43451</c:v>
              </c:pt>
              <c:pt idx="732">
                <c:v>43452</c:v>
              </c:pt>
              <c:pt idx="733">
                <c:v>43453</c:v>
              </c:pt>
              <c:pt idx="734">
                <c:v>43454</c:v>
              </c:pt>
              <c:pt idx="735">
                <c:v>43455</c:v>
              </c:pt>
              <c:pt idx="736">
                <c:v>43458</c:v>
              </c:pt>
              <c:pt idx="737">
                <c:v>43460</c:v>
              </c:pt>
              <c:pt idx="738">
                <c:v>43461</c:v>
              </c:pt>
              <c:pt idx="739">
                <c:v>43462</c:v>
              </c:pt>
              <c:pt idx="740">
                <c:v>43465</c:v>
              </c:pt>
              <c:pt idx="741">
                <c:v>43466</c:v>
              </c:pt>
              <c:pt idx="742">
                <c:v>43467</c:v>
              </c:pt>
              <c:pt idx="743">
                <c:v>43468</c:v>
              </c:pt>
              <c:pt idx="744">
                <c:v>43469</c:v>
              </c:pt>
              <c:pt idx="745">
                <c:v>43472</c:v>
              </c:pt>
              <c:pt idx="746">
                <c:v>43473</c:v>
              </c:pt>
              <c:pt idx="747">
                <c:v>43474</c:v>
              </c:pt>
              <c:pt idx="748">
                <c:v>43475</c:v>
              </c:pt>
              <c:pt idx="749">
                <c:v>43476</c:v>
              </c:pt>
              <c:pt idx="750">
                <c:v>43479</c:v>
              </c:pt>
              <c:pt idx="751">
                <c:v>43480</c:v>
              </c:pt>
              <c:pt idx="752">
                <c:v>43481</c:v>
              </c:pt>
              <c:pt idx="753">
                <c:v>43482</c:v>
              </c:pt>
              <c:pt idx="754">
                <c:v>43483</c:v>
              </c:pt>
              <c:pt idx="755">
                <c:v>43486</c:v>
              </c:pt>
              <c:pt idx="756">
                <c:v>43487</c:v>
              </c:pt>
              <c:pt idx="757">
                <c:v>43488</c:v>
              </c:pt>
              <c:pt idx="758">
                <c:v>43489</c:v>
              </c:pt>
              <c:pt idx="759">
                <c:v>43490</c:v>
              </c:pt>
              <c:pt idx="760">
                <c:v>43493</c:v>
              </c:pt>
              <c:pt idx="761">
                <c:v>43494</c:v>
              </c:pt>
              <c:pt idx="762">
                <c:v>43495</c:v>
              </c:pt>
              <c:pt idx="763">
                <c:v>43496</c:v>
              </c:pt>
              <c:pt idx="764">
                <c:v>43497</c:v>
              </c:pt>
              <c:pt idx="765">
                <c:v>43500</c:v>
              </c:pt>
              <c:pt idx="766">
                <c:v>43501</c:v>
              </c:pt>
              <c:pt idx="767">
                <c:v>43502</c:v>
              </c:pt>
              <c:pt idx="768">
                <c:v>43503</c:v>
              </c:pt>
              <c:pt idx="769">
                <c:v>43504</c:v>
              </c:pt>
              <c:pt idx="770">
                <c:v>43507</c:v>
              </c:pt>
              <c:pt idx="771">
                <c:v>43508</c:v>
              </c:pt>
              <c:pt idx="772">
                <c:v>43509</c:v>
              </c:pt>
              <c:pt idx="773">
                <c:v>43510</c:v>
              </c:pt>
              <c:pt idx="774">
                <c:v>43511</c:v>
              </c:pt>
              <c:pt idx="775">
                <c:v>43514</c:v>
              </c:pt>
              <c:pt idx="776">
                <c:v>43515</c:v>
              </c:pt>
              <c:pt idx="777">
                <c:v>43516</c:v>
              </c:pt>
              <c:pt idx="778">
                <c:v>43517</c:v>
              </c:pt>
              <c:pt idx="779">
                <c:v>43518</c:v>
              </c:pt>
              <c:pt idx="780">
                <c:v>43521</c:v>
              </c:pt>
              <c:pt idx="781">
                <c:v>43522</c:v>
              </c:pt>
              <c:pt idx="782">
                <c:v>43523</c:v>
              </c:pt>
              <c:pt idx="783">
                <c:v>43524</c:v>
              </c:pt>
              <c:pt idx="784">
                <c:v>43525</c:v>
              </c:pt>
              <c:pt idx="785">
                <c:v>43529</c:v>
              </c:pt>
              <c:pt idx="786">
                <c:v>43530</c:v>
              </c:pt>
              <c:pt idx="787">
                <c:v>43531</c:v>
              </c:pt>
              <c:pt idx="788">
                <c:v>43532</c:v>
              </c:pt>
              <c:pt idx="789">
                <c:v>43535</c:v>
              </c:pt>
              <c:pt idx="790">
                <c:v>43536</c:v>
              </c:pt>
              <c:pt idx="791">
                <c:v>43537</c:v>
              </c:pt>
              <c:pt idx="792">
                <c:v>43538</c:v>
              </c:pt>
              <c:pt idx="793">
                <c:v>43539</c:v>
              </c:pt>
              <c:pt idx="794">
                <c:v>43542</c:v>
              </c:pt>
              <c:pt idx="795">
                <c:v>43543</c:v>
              </c:pt>
              <c:pt idx="796">
                <c:v>43544</c:v>
              </c:pt>
              <c:pt idx="797">
                <c:v>43546</c:v>
              </c:pt>
              <c:pt idx="798">
                <c:v>43549</c:v>
              </c:pt>
              <c:pt idx="799">
                <c:v>43550</c:v>
              </c:pt>
              <c:pt idx="800">
                <c:v>43551</c:v>
              </c:pt>
              <c:pt idx="801">
                <c:v>43552</c:v>
              </c:pt>
              <c:pt idx="802">
                <c:v>43553</c:v>
              </c:pt>
              <c:pt idx="803">
                <c:v>43556</c:v>
              </c:pt>
              <c:pt idx="804">
                <c:v>43557</c:v>
              </c:pt>
              <c:pt idx="805">
                <c:v>43558</c:v>
              </c:pt>
              <c:pt idx="806">
                <c:v>43559</c:v>
              </c:pt>
              <c:pt idx="807">
                <c:v>43560</c:v>
              </c:pt>
              <c:pt idx="808">
                <c:v>43563</c:v>
              </c:pt>
              <c:pt idx="809">
                <c:v>43564</c:v>
              </c:pt>
              <c:pt idx="810">
                <c:v>43565</c:v>
              </c:pt>
              <c:pt idx="811">
                <c:v>43566</c:v>
              </c:pt>
              <c:pt idx="812">
                <c:v>43567</c:v>
              </c:pt>
              <c:pt idx="813">
                <c:v>43570</c:v>
              </c:pt>
              <c:pt idx="814">
                <c:v>43571</c:v>
              </c:pt>
              <c:pt idx="815">
                <c:v>43573</c:v>
              </c:pt>
              <c:pt idx="816">
                <c:v>43577</c:v>
              </c:pt>
              <c:pt idx="817">
                <c:v>43578</c:v>
              </c:pt>
              <c:pt idx="818">
                <c:v>43579</c:v>
              </c:pt>
              <c:pt idx="819">
                <c:v>43580</c:v>
              </c:pt>
              <c:pt idx="820">
                <c:v>43581</c:v>
              </c:pt>
              <c:pt idx="821">
                <c:v>43585</c:v>
              </c:pt>
              <c:pt idx="822">
                <c:v>43587</c:v>
              </c:pt>
              <c:pt idx="823">
                <c:v>43588</c:v>
              </c:pt>
              <c:pt idx="824">
                <c:v>43591</c:v>
              </c:pt>
              <c:pt idx="825">
                <c:v>43592</c:v>
              </c:pt>
              <c:pt idx="826">
                <c:v>43593</c:v>
              </c:pt>
              <c:pt idx="827">
                <c:v>43594</c:v>
              </c:pt>
              <c:pt idx="828">
                <c:v>43595</c:v>
              </c:pt>
              <c:pt idx="829">
                <c:v>43598</c:v>
              </c:pt>
              <c:pt idx="830">
                <c:v>43599</c:v>
              </c:pt>
              <c:pt idx="831">
                <c:v>43600</c:v>
              </c:pt>
              <c:pt idx="832">
                <c:v>43601</c:v>
              </c:pt>
              <c:pt idx="833">
                <c:v>43602</c:v>
              </c:pt>
              <c:pt idx="834">
                <c:v>43605</c:v>
              </c:pt>
              <c:pt idx="835">
                <c:v>43606</c:v>
              </c:pt>
              <c:pt idx="836">
                <c:v>43607</c:v>
              </c:pt>
              <c:pt idx="837">
                <c:v>43608</c:v>
              </c:pt>
              <c:pt idx="838">
                <c:v>43609</c:v>
              </c:pt>
              <c:pt idx="839">
                <c:v>43612</c:v>
              </c:pt>
              <c:pt idx="840">
                <c:v>43613</c:v>
              </c:pt>
              <c:pt idx="841">
                <c:v>43614</c:v>
              </c:pt>
              <c:pt idx="842">
                <c:v>43615</c:v>
              </c:pt>
              <c:pt idx="843">
                <c:v>43616</c:v>
              </c:pt>
              <c:pt idx="844">
                <c:v>43619</c:v>
              </c:pt>
              <c:pt idx="845">
                <c:v>43620</c:v>
              </c:pt>
              <c:pt idx="846">
                <c:v>43622</c:v>
              </c:pt>
              <c:pt idx="847">
                <c:v>43623</c:v>
              </c:pt>
              <c:pt idx="848">
                <c:v>43626</c:v>
              </c:pt>
              <c:pt idx="849">
                <c:v>43627</c:v>
              </c:pt>
              <c:pt idx="850">
                <c:v>43628</c:v>
              </c:pt>
              <c:pt idx="851">
                <c:v>43629</c:v>
              </c:pt>
              <c:pt idx="852">
                <c:v>43630</c:v>
              </c:pt>
              <c:pt idx="853">
                <c:v>43633</c:v>
              </c:pt>
              <c:pt idx="854">
                <c:v>43634</c:v>
              </c:pt>
              <c:pt idx="855">
                <c:v>43635</c:v>
              </c:pt>
              <c:pt idx="856">
                <c:v>43636</c:v>
              </c:pt>
              <c:pt idx="857">
                <c:v>43637</c:v>
              </c:pt>
              <c:pt idx="858">
                <c:v>43640</c:v>
              </c:pt>
              <c:pt idx="859">
                <c:v>43641</c:v>
              </c:pt>
              <c:pt idx="860">
                <c:v>43642</c:v>
              </c:pt>
              <c:pt idx="861">
                <c:v>43643</c:v>
              </c:pt>
              <c:pt idx="862">
                <c:v>43644</c:v>
              </c:pt>
              <c:pt idx="863">
                <c:v>43647</c:v>
              </c:pt>
              <c:pt idx="864">
                <c:v>43648</c:v>
              </c:pt>
              <c:pt idx="865">
                <c:v>43649</c:v>
              </c:pt>
              <c:pt idx="866">
                <c:v>43650</c:v>
              </c:pt>
              <c:pt idx="867">
                <c:v>43651</c:v>
              </c:pt>
              <c:pt idx="868">
                <c:v>43654</c:v>
              </c:pt>
              <c:pt idx="869">
                <c:v>43655</c:v>
              </c:pt>
              <c:pt idx="870">
                <c:v>43656</c:v>
              </c:pt>
              <c:pt idx="871">
                <c:v>43657</c:v>
              </c:pt>
              <c:pt idx="872">
                <c:v>43658</c:v>
              </c:pt>
              <c:pt idx="873">
                <c:v>43661</c:v>
              </c:pt>
              <c:pt idx="874">
                <c:v>43662</c:v>
              </c:pt>
              <c:pt idx="875">
                <c:v>43663</c:v>
              </c:pt>
              <c:pt idx="876">
                <c:v>43664</c:v>
              </c:pt>
              <c:pt idx="877">
                <c:v>43665</c:v>
              </c:pt>
              <c:pt idx="878">
                <c:v>43668</c:v>
              </c:pt>
              <c:pt idx="879">
                <c:v>43669</c:v>
              </c:pt>
              <c:pt idx="880">
                <c:v>43670</c:v>
              </c:pt>
              <c:pt idx="881">
                <c:v>43671</c:v>
              </c:pt>
              <c:pt idx="882">
                <c:v>43672</c:v>
              </c:pt>
              <c:pt idx="883">
                <c:v>43675</c:v>
              </c:pt>
              <c:pt idx="884">
                <c:v>43676</c:v>
              </c:pt>
              <c:pt idx="885">
                <c:v>43677</c:v>
              </c:pt>
              <c:pt idx="886">
                <c:v>43678</c:v>
              </c:pt>
              <c:pt idx="887">
                <c:v>43679</c:v>
              </c:pt>
              <c:pt idx="888">
                <c:v>43682</c:v>
              </c:pt>
              <c:pt idx="889">
                <c:v>43683</c:v>
              </c:pt>
              <c:pt idx="890">
                <c:v>43684</c:v>
              </c:pt>
              <c:pt idx="891">
                <c:v>43685</c:v>
              </c:pt>
              <c:pt idx="892">
                <c:v>43686</c:v>
              </c:pt>
              <c:pt idx="893">
                <c:v>43690</c:v>
              </c:pt>
              <c:pt idx="894">
                <c:v>43691</c:v>
              </c:pt>
              <c:pt idx="895">
                <c:v>43693</c:v>
              </c:pt>
              <c:pt idx="896">
                <c:v>43696</c:v>
              </c:pt>
              <c:pt idx="897">
                <c:v>43697</c:v>
              </c:pt>
              <c:pt idx="898">
                <c:v>43698</c:v>
              </c:pt>
              <c:pt idx="899">
                <c:v>43699</c:v>
              </c:pt>
              <c:pt idx="900">
                <c:v>43700</c:v>
              </c:pt>
              <c:pt idx="901">
                <c:v>43703</c:v>
              </c:pt>
              <c:pt idx="902">
                <c:v>43704</c:v>
              </c:pt>
              <c:pt idx="903">
                <c:v>43705</c:v>
              </c:pt>
              <c:pt idx="904">
                <c:v>43706</c:v>
              </c:pt>
              <c:pt idx="905">
                <c:v>43707</c:v>
              </c:pt>
              <c:pt idx="906">
                <c:v>43711</c:v>
              </c:pt>
              <c:pt idx="907">
                <c:v>43712</c:v>
              </c:pt>
              <c:pt idx="908">
                <c:v>43713</c:v>
              </c:pt>
              <c:pt idx="909">
                <c:v>43714</c:v>
              </c:pt>
              <c:pt idx="910">
                <c:v>43717</c:v>
              </c:pt>
              <c:pt idx="911">
                <c:v>43719</c:v>
              </c:pt>
              <c:pt idx="912">
                <c:v>43720</c:v>
              </c:pt>
              <c:pt idx="913">
                <c:v>43721</c:v>
              </c:pt>
              <c:pt idx="914">
                <c:v>43724</c:v>
              </c:pt>
              <c:pt idx="915">
                <c:v>43725</c:v>
              </c:pt>
              <c:pt idx="916">
                <c:v>43726</c:v>
              </c:pt>
              <c:pt idx="917">
                <c:v>43727</c:v>
              </c:pt>
              <c:pt idx="918">
                <c:v>43728</c:v>
              </c:pt>
              <c:pt idx="919">
                <c:v>43731</c:v>
              </c:pt>
              <c:pt idx="920">
                <c:v>43732</c:v>
              </c:pt>
              <c:pt idx="921">
                <c:v>43733</c:v>
              </c:pt>
              <c:pt idx="922">
                <c:v>43734</c:v>
              </c:pt>
              <c:pt idx="923">
                <c:v>43735</c:v>
              </c:pt>
              <c:pt idx="924">
                <c:v>43738</c:v>
              </c:pt>
              <c:pt idx="925">
                <c:v>43739</c:v>
              </c:pt>
              <c:pt idx="926">
                <c:v>43741</c:v>
              </c:pt>
              <c:pt idx="927">
                <c:v>43742</c:v>
              </c:pt>
              <c:pt idx="928">
                <c:v>43745</c:v>
              </c:pt>
              <c:pt idx="929">
                <c:v>43747</c:v>
              </c:pt>
              <c:pt idx="930">
                <c:v>43748</c:v>
              </c:pt>
              <c:pt idx="931">
                <c:v>43749</c:v>
              </c:pt>
              <c:pt idx="932">
                <c:v>43752</c:v>
              </c:pt>
              <c:pt idx="933">
                <c:v>43753</c:v>
              </c:pt>
              <c:pt idx="934">
                <c:v>43754</c:v>
              </c:pt>
              <c:pt idx="935">
                <c:v>43755</c:v>
              </c:pt>
              <c:pt idx="936">
                <c:v>43756</c:v>
              </c:pt>
              <c:pt idx="937">
                <c:v>43760</c:v>
              </c:pt>
              <c:pt idx="938">
                <c:v>43761</c:v>
              </c:pt>
              <c:pt idx="939">
                <c:v>43762</c:v>
              </c:pt>
              <c:pt idx="940">
                <c:v>43763</c:v>
              </c:pt>
              <c:pt idx="941">
                <c:v>43765</c:v>
              </c:pt>
              <c:pt idx="942">
                <c:v>43767</c:v>
              </c:pt>
              <c:pt idx="943">
                <c:v>43768</c:v>
              </c:pt>
              <c:pt idx="944">
                <c:v>43769</c:v>
              </c:pt>
              <c:pt idx="945">
                <c:v>43770</c:v>
              </c:pt>
              <c:pt idx="946">
                <c:v>43773</c:v>
              </c:pt>
              <c:pt idx="947">
                <c:v>43774</c:v>
              </c:pt>
              <c:pt idx="948">
                <c:v>43775</c:v>
              </c:pt>
              <c:pt idx="949">
                <c:v>43776</c:v>
              </c:pt>
              <c:pt idx="950">
                <c:v>43777</c:v>
              </c:pt>
              <c:pt idx="951">
                <c:v>43780</c:v>
              </c:pt>
              <c:pt idx="952">
                <c:v>43782</c:v>
              </c:pt>
              <c:pt idx="953">
                <c:v>43783</c:v>
              </c:pt>
              <c:pt idx="954">
                <c:v>43784</c:v>
              </c:pt>
              <c:pt idx="955">
                <c:v>43787</c:v>
              </c:pt>
              <c:pt idx="956">
                <c:v>43788</c:v>
              </c:pt>
              <c:pt idx="957">
                <c:v>43789</c:v>
              </c:pt>
              <c:pt idx="958">
                <c:v>43790</c:v>
              </c:pt>
              <c:pt idx="959">
                <c:v>43791</c:v>
              </c:pt>
              <c:pt idx="960">
                <c:v>43794</c:v>
              </c:pt>
              <c:pt idx="961">
                <c:v>43795</c:v>
              </c:pt>
              <c:pt idx="962">
                <c:v>43796</c:v>
              </c:pt>
              <c:pt idx="963">
                <c:v>43797</c:v>
              </c:pt>
              <c:pt idx="964">
                <c:v>43798</c:v>
              </c:pt>
              <c:pt idx="965">
                <c:v>43801</c:v>
              </c:pt>
              <c:pt idx="966">
                <c:v>43802</c:v>
              </c:pt>
              <c:pt idx="967">
                <c:v>43803</c:v>
              </c:pt>
              <c:pt idx="968">
                <c:v>43804</c:v>
              </c:pt>
              <c:pt idx="969">
                <c:v>43805</c:v>
              </c:pt>
              <c:pt idx="970">
                <c:v>43808</c:v>
              </c:pt>
              <c:pt idx="971">
                <c:v>43809</c:v>
              </c:pt>
              <c:pt idx="972">
                <c:v>43810</c:v>
              </c:pt>
              <c:pt idx="973">
                <c:v>43811</c:v>
              </c:pt>
              <c:pt idx="974">
                <c:v>43812</c:v>
              </c:pt>
              <c:pt idx="975">
                <c:v>43815</c:v>
              </c:pt>
              <c:pt idx="976">
                <c:v>43816</c:v>
              </c:pt>
              <c:pt idx="977">
                <c:v>43817</c:v>
              </c:pt>
              <c:pt idx="978">
                <c:v>43818</c:v>
              </c:pt>
              <c:pt idx="979">
                <c:v>43819</c:v>
              </c:pt>
              <c:pt idx="980">
                <c:v>43822</c:v>
              </c:pt>
              <c:pt idx="981">
                <c:v>43823</c:v>
              </c:pt>
              <c:pt idx="982">
                <c:v>43825</c:v>
              </c:pt>
              <c:pt idx="983">
                <c:v>43826</c:v>
              </c:pt>
              <c:pt idx="984">
                <c:v>43829</c:v>
              </c:pt>
              <c:pt idx="985">
                <c:v>43830</c:v>
              </c:pt>
              <c:pt idx="986">
                <c:v>43831</c:v>
              </c:pt>
              <c:pt idx="987">
                <c:v>43832</c:v>
              </c:pt>
              <c:pt idx="988">
                <c:v>43833</c:v>
              </c:pt>
              <c:pt idx="989">
                <c:v>43836</c:v>
              </c:pt>
              <c:pt idx="990">
                <c:v>43837</c:v>
              </c:pt>
              <c:pt idx="991">
                <c:v>43838</c:v>
              </c:pt>
              <c:pt idx="992">
                <c:v>43839</c:v>
              </c:pt>
              <c:pt idx="993">
                <c:v>43840</c:v>
              </c:pt>
              <c:pt idx="994">
                <c:v>43843</c:v>
              </c:pt>
              <c:pt idx="995">
                <c:v>43844</c:v>
              </c:pt>
              <c:pt idx="996">
                <c:v>43845</c:v>
              </c:pt>
              <c:pt idx="997">
                <c:v>43846</c:v>
              </c:pt>
              <c:pt idx="998">
                <c:v>43847</c:v>
              </c:pt>
              <c:pt idx="999">
                <c:v>43850</c:v>
              </c:pt>
              <c:pt idx="1000">
                <c:v>43851</c:v>
              </c:pt>
              <c:pt idx="1001">
                <c:v>43852</c:v>
              </c:pt>
              <c:pt idx="1002">
                <c:v>43853</c:v>
              </c:pt>
              <c:pt idx="1003">
                <c:v>43854</c:v>
              </c:pt>
              <c:pt idx="1004">
                <c:v>43857</c:v>
              </c:pt>
              <c:pt idx="1005">
                <c:v>43858</c:v>
              </c:pt>
              <c:pt idx="1006">
                <c:v>43859</c:v>
              </c:pt>
              <c:pt idx="1007">
                <c:v>43860</c:v>
              </c:pt>
              <c:pt idx="1008">
                <c:v>43861</c:v>
              </c:pt>
              <c:pt idx="1009">
                <c:v>43862</c:v>
              </c:pt>
              <c:pt idx="1010">
                <c:v>43864</c:v>
              </c:pt>
              <c:pt idx="1011">
                <c:v>43865</c:v>
              </c:pt>
              <c:pt idx="1012">
                <c:v>43866</c:v>
              </c:pt>
              <c:pt idx="1013">
                <c:v>43867</c:v>
              </c:pt>
              <c:pt idx="1014">
                <c:v>43868</c:v>
              </c:pt>
              <c:pt idx="1015">
                <c:v>43871</c:v>
              </c:pt>
              <c:pt idx="1016">
                <c:v>43872</c:v>
              </c:pt>
              <c:pt idx="1017">
                <c:v>43873</c:v>
              </c:pt>
              <c:pt idx="1018">
                <c:v>43874</c:v>
              </c:pt>
              <c:pt idx="1019">
                <c:v>43875</c:v>
              </c:pt>
              <c:pt idx="1020">
                <c:v>43878</c:v>
              </c:pt>
              <c:pt idx="1021">
                <c:v>43879</c:v>
              </c:pt>
              <c:pt idx="1022">
                <c:v>43880</c:v>
              </c:pt>
              <c:pt idx="1023">
                <c:v>43881</c:v>
              </c:pt>
              <c:pt idx="1024">
                <c:v>43885</c:v>
              </c:pt>
              <c:pt idx="1025">
                <c:v>43886</c:v>
              </c:pt>
              <c:pt idx="1026">
                <c:v>43887</c:v>
              </c:pt>
              <c:pt idx="1027">
                <c:v>43888</c:v>
              </c:pt>
              <c:pt idx="1028">
                <c:v>43889</c:v>
              </c:pt>
              <c:pt idx="1029">
                <c:v>43892</c:v>
              </c:pt>
              <c:pt idx="1030">
                <c:v>43893</c:v>
              </c:pt>
              <c:pt idx="1031">
                <c:v>43894</c:v>
              </c:pt>
              <c:pt idx="1032">
                <c:v>43895</c:v>
              </c:pt>
              <c:pt idx="1033">
                <c:v>43896</c:v>
              </c:pt>
              <c:pt idx="1034">
                <c:v>43899</c:v>
              </c:pt>
              <c:pt idx="1035">
                <c:v>43901</c:v>
              </c:pt>
              <c:pt idx="1036">
                <c:v>43902</c:v>
              </c:pt>
              <c:pt idx="1037">
                <c:v>43903</c:v>
              </c:pt>
              <c:pt idx="1038">
                <c:v>43906</c:v>
              </c:pt>
              <c:pt idx="1039">
                <c:v>43907</c:v>
              </c:pt>
              <c:pt idx="1040">
                <c:v>43908</c:v>
              </c:pt>
              <c:pt idx="1041">
                <c:v>43909</c:v>
              </c:pt>
              <c:pt idx="1042">
                <c:v>43910</c:v>
              </c:pt>
              <c:pt idx="1043">
                <c:v>43913</c:v>
              </c:pt>
              <c:pt idx="1044">
                <c:v>43914</c:v>
              </c:pt>
              <c:pt idx="1045">
                <c:v>43915</c:v>
              </c:pt>
              <c:pt idx="1046">
                <c:v>43916</c:v>
              </c:pt>
              <c:pt idx="1047">
                <c:v>43917</c:v>
              </c:pt>
              <c:pt idx="1048">
                <c:v>43920</c:v>
              </c:pt>
              <c:pt idx="1049">
                <c:v>43921</c:v>
              </c:pt>
              <c:pt idx="1050">
                <c:v>43922</c:v>
              </c:pt>
              <c:pt idx="1051">
                <c:v>43924</c:v>
              </c:pt>
              <c:pt idx="1052">
                <c:v>43928</c:v>
              </c:pt>
              <c:pt idx="1053">
                <c:v>43929</c:v>
              </c:pt>
              <c:pt idx="1054">
                <c:v>43930</c:v>
              </c:pt>
              <c:pt idx="1055">
                <c:v>43934</c:v>
              </c:pt>
              <c:pt idx="1056">
                <c:v>43936</c:v>
              </c:pt>
              <c:pt idx="1057">
                <c:v>43937</c:v>
              </c:pt>
              <c:pt idx="1058">
                <c:v>43938</c:v>
              </c:pt>
              <c:pt idx="1059">
                <c:v>43941</c:v>
              </c:pt>
              <c:pt idx="1060">
                <c:v>43942</c:v>
              </c:pt>
              <c:pt idx="1061">
                <c:v>43943</c:v>
              </c:pt>
              <c:pt idx="1062">
                <c:v>43944</c:v>
              </c:pt>
              <c:pt idx="1063">
                <c:v>43945</c:v>
              </c:pt>
              <c:pt idx="1064">
                <c:v>43948</c:v>
              </c:pt>
              <c:pt idx="1065">
                <c:v>43949</c:v>
              </c:pt>
              <c:pt idx="1066">
                <c:v>43950</c:v>
              </c:pt>
              <c:pt idx="1067">
                <c:v>43951</c:v>
              </c:pt>
              <c:pt idx="1068">
                <c:v>43955</c:v>
              </c:pt>
              <c:pt idx="1069">
                <c:v>43956</c:v>
              </c:pt>
              <c:pt idx="1070">
                <c:v>43957</c:v>
              </c:pt>
              <c:pt idx="1071">
                <c:v>43958</c:v>
              </c:pt>
              <c:pt idx="1072">
                <c:v>43959</c:v>
              </c:pt>
              <c:pt idx="1073">
                <c:v>43962</c:v>
              </c:pt>
              <c:pt idx="1074">
                <c:v>43963</c:v>
              </c:pt>
              <c:pt idx="1075">
                <c:v>43964</c:v>
              </c:pt>
              <c:pt idx="1076">
                <c:v>43965</c:v>
              </c:pt>
              <c:pt idx="1077">
                <c:v>43966</c:v>
              </c:pt>
              <c:pt idx="1078">
                <c:v>43969</c:v>
              </c:pt>
              <c:pt idx="1079">
                <c:v>43970</c:v>
              </c:pt>
              <c:pt idx="1080">
                <c:v>43971</c:v>
              </c:pt>
              <c:pt idx="1081">
                <c:v>43972</c:v>
              </c:pt>
              <c:pt idx="1082">
                <c:v>43973</c:v>
              </c:pt>
              <c:pt idx="1083">
                <c:v>43977</c:v>
              </c:pt>
              <c:pt idx="1084">
                <c:v>43978</c:v>
              </c:pt>
              <c:pt idx="1085">
                <c:v>43979</c:v>
              </c:pt>
              <c:pt idx="1086">
                <c:v>43980</c:v>
              </c:pt>
              <c:pt idx="1087">
                <c:v>43983</c:v>
              </c:pt>
              <c:pt idx="1088">
                <c:v>43984</c:v>
              </c:pt>
              <c:pt idx="1089">
                <c:v>43985</c:v>
              </c:pt>
              <c:pt idx="1090">
                <c:v>43986</c:v>
              </c:pt>
              <c:pt idx="1091">
                <c:v>43987</c:v>
              </c:pt>
              <c:pt idx="1092">
                <c:v>43990</c:v>
              </c:pt>
              <c:pt idx="1093">
                <c:v>43991</c:v>
              </c:pt>
              <c:pt idx="1094">
                <c:v>43992</c:v>
              </c:pt>
              <c:pt idx="1095">
                <c:v>43993</c:v>
              </c:pt>
              <c:pt idx="1096">
                <c:v>43994</c:v>
              </c:pt>
              <c:pt idx="1097">
                <c:v>43997</c:v>
              </c:pt>
              <c:pt idx="1098">
                <c:v>43998</c:v>
              </c:pt>
              <c:pt idx="1099">
                <c:v>43999</c:v>
              </c:pt>
              <c:pt idx="1100">
                <c:v>44000</c:v>
              </c:pt>
              <c:pt idx="1101">
                <c:v>44001</c:v>
              </c:pt>
              <c:pt idx="1102">
                <c:v>44004</c:v>
              </c:pt>
              <c:pt idx="1103">
                <c:v>44005</c:v>
              </c:pt>
              <c:pt idx="1104">
                <c:v>44006</c:v>
              </c:pt>
              <c:pt idx="1105">
                <c:v>44007</c:v>
              </c:pt>
              <c:pt idx="1106">
                <c:v>44008</c:v>
              </c:pt>
              <c:pt idx="1107">
                <c:v>44011</c:v>
              </c:pt>
              <c:pt idx="1108">
                <c:v>44012</c:v>
              </c:pt>
              <c:pt idx="1109">
                <c:v>44013</c:v>
              </c:pt>
              <c:pt idx="1110">
                <c:v>44014</c:v>
              </c:pt>
              <c:pt idx="1111">
                <c:v>44015</c:v>
              </c:pt>
              <c:pt idx="1112">
                <c:v>44018</c:v>
              </c:pt>
              <c:pt idx="1113">
                <c:v>44019</c:v>
              </c:pt>
              <c:pt idx="1114">
                <c:v>44020</c:v>
              </c:pt>
              <c:pt idx="1115">
                <c:v>44021</c:v>
              </c:pt>
              <c:pt idx="1116">
                <c:v>44022</c:v>
              </c:pt>
              <c:pt idx="1117">
                <c:v>44025</c:v>
              </c:pt>
              <c:pt idx="1118">
                <c:v>44026</c:v>
              </c:pt>
              <c:pt idx="1119">
                <c:v>44027</c:v>
              </c:pt>
              <c:pt idx="1120">
                <c:v>44028</c:v>
              </c:pt>
              <c:pt idx="1121">
                <c:v>44029</c:v>
              </c:pt>
              <c:pt idx="1122">
                <c:v>44032</c:v>
              </c:pt>
              <c:pt idx="1123">
                <c:v>44033</c:v>
              </c:pt>
              <c:pt idx="1124">
                <c:v>44034</c:v>
              </c:pt>
              <c:pt idx="1125">
                <c:v>44035</c:v>
              </c:pt>
              <c:pt idx="1126">
                <c:v>44036</c:v>
              </c:pt>
              <c:pt idx="1127">
                <c:v>44039</c:v>
              </c:pt>
              <c:pt idx="1128">
                <c:v>44040</c:v>
              </c:pt>
              <c:pt idx="1129">
                <c:v>44041</c:v>
              </c:pt>
              <c:pt idx="1130">
                <c:v>44042</c:v>
              </c:pt>
              <c:pt idx="1131">
                <c:v>44043</c:v>
              </c:pt>
              <c:pt idx="1132">
                <c:v>44046</c:v>
              </c:pt>
              <c:pt idx="1133">
                <c:v>44047</c:v>
              </c:pt>
              <c:pt idx="1134">
                <c:v>44048</c:v>
              </c:pt>
              <c:pt idx="1135">
                <c:v>44049</c:v>
              </c:pt>
              <c:pt idx="1136">
                <c:v>44050</c:v>
              </c:pt>
              <c:pt idx="1137">
                <c:v>44053</c:v>
              </c:pt>
              <c:pt idx="1138">
                <c:v>44054</c:v>
              </c:pt>
              <c:pt idx="1139">
                <c:v>44055</c:v>
              </c:pt>
              <c:pt idx="1140">
                <c:v>44056</c:v>
              </c:pt>
              <c:pt idx="1141">
                <c:v>44057</c:v>
              </c:pt>
              <c:pt idx="1142">
                <c:v>44060</c:v>
              </c:pt>
              <c:pt idx="1143">
                <c:v>44061</c:v>
              </c:pt>
              <c:pt idx="1144">
                <c:v>44062</c:v>
              </c:pt>
              <c:pt idx="1145">
                <c:v>44063</c:v>
              </c:pt>
              <c:pt idx="1146">
                <c:v>44064</c:v>
              </c:pt>
              <c:pt idx="1147">
                <c:v>44067</c:v>
              </c:pt>
              <c:pt idx="1148">
                <c:v>44068</c:v>
              </c:pt>
              <c:pt idx="1149">
                <c:v>44069</c:v>
              </c:pt>
              <c:pt idx="1150">
                <c:v>44070</c:v>
              </c:pt>
              <c:pt idx="1151">
                <c:v>44071</c:v>
              </c:pt>
              <c:pt idx="1152">
                <c:v>44074</c:v>
              </c:pt>
              <c:pt idx="1153">
                <c:v>44075</c:v>
              </c:pt>
              <c:pt idx="1154">
                <c:v>44076</c:v>
              </c:pt>
              <c:pt idx="1155">
                <c:v>44077</c:v>
              </c:pt>
              <c:pt idx="1156">
                <c:v>44078</c:v>
              </c:pt>
              <c:pt idx="1157">
                <c:v>44081</c:v>
              </c:pt>
              <c:pt idx="1158">
                <c:v>44082</c:v>
              </c:pt>
              <c:pt idx="1159">
                <c:v>44083</c:v>
              </c:pt>
              <c:pt idx="1160">
                <c:v>44084</c:v>
              </c:pt>
              <c:pt idx="1161">
                <c:v>44085</c:v>
              </c:pt>
              <c:pt idx="1162">
                <c:v>44088</c:v>
              </c:pt>
              <c:pt idx="1163">
                <c:v>44089</c:v>
              </c:pt>
              <c:pt idx="1164">
                <c:v>44090</c:v>
              </c:pt>
              <c:pt idx="1165">
                <c:v>44091</c:v>
              </c:pt>
              <c:pt idx="1166">
                <c:v>44092</c:v>
              </c:pt>
              <c:pt idx="1167">
                <c:v>44095</c:v>
              </c:pt>
              <c:pt idx="1168">
                <c:v>44096</c:v>
              </c:pt>
              <c:pt idx="1169">
                <c:v>44097</c:v>
              </c:pt>
              <c:pt idx="1170">
                <c:v>44098</c:v>
              </c:pt>
              <c:pt idx="1171">
                <c:v>44099</c:v>
              </c:pt>
              <c:pt idx="1172">
                <c:v>44102</c:v>
              </c:pt>
              <c:pt idx="1173">
                <c:v>44103</c:v>
              </c:pt>
              <c:pt idx="1174">
                <c:v>44104</c:v>
              </c:pt>
              <c:pt idx="1175">
                <c:v>44105</c:v>
              </c:pt>
              <c:pt idx="1176">
                <c:v>44109</c:v>
              </c:pt>
              <c:pt idx="1177">
                <c:v>44110</c:v>
              </c:pt>
              <c:pt idx="1178">
                <c:v>44111</c:v>
              </c:pt>
              <c:pt idx="1179">
                <c:v>44112</c:v>
              </c:pt>
              <c:pt idx="1180">
                <c:v>44113</c:v>
              </c:pt>
              <c:pt idx="1181">
                <c:v>44116</c:v>
              </c:pt>
              <c:pt idx="1182">
                <c:v>44117</c:v>
              </c:pt>
              <c:pt idx="1183">
                <c:v>44118</c:v>
              </c:pt>
              <c:pt idx="1184">
                <c:v>44119</c:v>
              </c:pt>
              <c:pt idx="1185">
                <c:v>44120</c:v>
              </c:pt>
              <c:pt idx="1186">
                <c:v>44123</c:v>
              </c:pt>
              <c:pt idx="1187">
                <c:v>44124</c:v>
              </c:pt>
              <c:pt idx="1188">
                <c:v>44125</c:v>
              </c:pt>
              <c:pt idx="1189">
                <c:v>44126</c:v>
              </c:pt>
              <c:pt idx="1190">
                <c:v>44127</c:v>
              </c:pt>
              <c:pt idx="1191">
                <c:v>44130</c:v>
              </c:pt>
              <c:pt idx="1192">
                <c:v>44131</c:v>
              </c:pt>
              <c:pt idx="1193">
                <c:v>44132</c:v>
              </c:pt>
              <c:pt idx="1194">
                <c:v>44133</c:v>
              </c:pt>
              <c:pt idx="1195">
                <c:v>44134</c:v>
              </c:pt>
              <c:pt idx="1196">
                <c:v>44137</c:v>
              </c:pt>
              <c:pt idx="1197">
                <c:v>44138</c:v>
              </c:pt>
              <c:pt idx="1198">
                <c:v>44139</c:v>
              </c:pt>
              <c:pt idx="1199">
                <c:v>44140</c:v>
              </c:pt>
              <c:pt idx="1200">
                <c:v>44141</c:v>
              </c:pt>
              <c:pt idx="1201">
                <c:v>44144</c:v>
              </c:pt>
              <c:pt idx="1202">
                <c:v>44145</c:v>
              </c:pt>
              <c:pt idx="1203">
                <c:v>44146</c:v>
              </c:pt>
              <c:pt idx="1204">
                <c:v>44147</c:v>
              </c:pt>
              <c:pt idx="1205">
                <c:v>44148</c:v>
              </c:pt>
              <c:pt idx="1206">
                <c:v>44149</c:v>
              </c:pt>
              <c:pt idx="1207">
                <c:v>44152</c:v>
              </c:pt>
              <c:pt idx="1208">
                <c:v>44153</c:v>
              </c:pt>
              <c:pt idx="1209">
                <c:v>44154</c:v>
              </c:pt>
              <c:pt idx="1210">
                <c:v>44155</c:v>
              </c:pt>
              <c:pt idx="1211">
                <c:v>44158</c:v>
              </c:pt>
              <c:pt idx="1212">
                <c:v>44159</c:v>
              </c:pt>
              <c:pt idx="1213">
                <c:v>44160</c:v>
              </c:pt>
              <c:pt idx="1214">
                <c:v>44161</c:v>
              </c:pt>
              <c:pt idx="1215">
                <c:v>44162</c:v>
              </c:pt>
              <c:pt idx="1216">
                <c:v>44166</c:v>
              </c:pt>
              <c:pt idx="1217">
                <c:v>44167</c:v>
              </c:pt>
              <c:pt idx="1218">
                <c:v>44168</c:v>
              </c:pt>
              <c:pt idx="1219">
                <c:v>44169</c:v>
              </c:pt>
              <c:pt idx="1220">
                <c:v>44172</c:v>
              </c:pt>
              <c:pt idx="1221">
                <c:v>44173</c:v>
              </c:pt>
              <c:pt idx="1222">
                <c:v>44174</c:v>
              </c:pt>
              <c:pt idx="1223">
                <c:v>44175</c:v>
              </c:pt>
              <c:pt idx="1224">
                <c:v>44176</c:v>
              </c:pt>
              <c:pt idx="1225">
                <c:v>44179</c:v>
              </c:pt>
              <c:pt idx="1226">
                <c:v>44180</c:v>
              </c:pt>
              <c:pt idx="1227">
                <c:v>44181</c:v>
              </c:pt>
              <c:pt idx="1228">
                <c:v>44182</c:v>
              </c:pt>
              <c:pt idx="1229">
                <c:v>44183</c:v>
              </c:pt>
              <c:pt idx="1230">
                <c:v>44186</c:v>
              </c:pt>
              <c:pt idx="1231">
                <c:v>44187</c:v>
              </c:pt>
              <c:pt idx="1232">
                <c:v>44188</c:v>
              </c:pt>
              <c:pt idx="1233">
                <c:v>44189</c:v>
              </c:pt>
              <c:pt idx="1234">
                <c:v>44193</c:v>
              </c:pt>
              <c:pt idx="1235">
                <c:v>44194</c:v>
              </c:pt>
              <c:pt idx="1236">
                <c:v>44195</c:v>
              </c:pt>
              <c:pt idx="1237">
                <c:v>44196</c:v>
              </c:pt>
              <c:pt idx="1238">
                <c:v>44197</c:v>
              </c:pt>
              <c:pt idx="1239">
                <c:v>44200</c:v>
              </c:pt>
              <c:pt idx="1240">
                <c:v>44201</c:v>
              </c:pt>
              <c:pt idx="1241">
                <c:v>44202</c:v>
              </c:pt>
              <c:pt idx="1242">
                <c:v>44203</c:v>
              </c:pt>
              <c:pt idx="1243">
                <c:v>44204</c:v>
              </c:pt>
              <c:pt idx="1244">
                <c:v>44207</c:v>
              </c:pt>
              <c:pt idx="1245">
                <c:v>44208</c:v>
              </c:pt>
              <c:pt idx="1246">
                <c:v>44209</c:v>
              </c:pt>
              <c:pt idx="1247">
                <c:v>44210</c:v>
              </c:pt>
              <c:pt idx="1248">
                <c:v>44211</c:v>
              </c:pt>
              <c:pt idx="1249">
                <c:v>44214</c:v>
              </c:pt>
              <c:pt idx="1250">
                <c:v>44215</c:v>
              </c:pt>
              <c:pt idx="1251">
                <c:v>44216</c:v>
              </c:pt>
              <c:pt idx="1252">
                <c:v>44217</c:v>
              </c:pt>
              <c:pt idx="1253">
                <c:v>44218</c:v>
              </c:pt>
              <c:pt idx="1254">
                <c:v>44221</c:v>
              </c:pt>
              <c:pt idx="1255">
                <c:v>44223</c:v>
              </c:pt>
              <c:pt idx="1256">
                <c:v>44224</c:v>
              </c:pt>
              <c:pt idx="1257">
                <c:v>44225</c:v>
              </c:pt>
              <c:pt idx="1258">
                <c:v>44228</c:v>
              </c:pt>
              <c:pt idx="1259">
                <c:v>44229</c:v>
              </c:pt>
              <c:pt idx="1260">
                <c:v>44230</c:v>
              </c:pt>
              <c:pt idx="1261">
                <c:v>44231</c:v>
              </c:pt>
              <c:pt idx="1262">
                <c:v>44232</c:v>
              </c:pt>
              <c:pt idx="1263">
                <c:v>44235</c:v>
              </c:pt>
              <c:pt idx="1264">
                <c:v>44236</c:v>
              </c:pt>
              <c:pt idx="1265">
                <c:v>44237</c:v>
              </c:pt>
              <c:pt idx="1266">
                <c:v>44238</c:v>
              </c:pt>
              <c:pt idx="1267">
                <c:v>44239</c:v>
              </c:pt>
              <c:pt idx="1268">
                <c:v>44242</c:v>
              </c:pt>
              <c:pt idx="1269">
                <c:v>44243</c:v>
              </c:pt>
              <c:pt idx="1270">
                <c:v>44244</c:v>
              </c:pt>
              <c:pt idx="1271">
                <c:v>44245</c:v>
              </c:pt>
              <c:pt idx="1272">
                <c:v>44246</c:v>
              </c:pt>
              <c:pt idx="1273">
                <c:v>44249</c:v>
              </c:pt>
              <c:pt idx="1274">
                <c:v>44250</c:v>
              </c:pt>
              <c:pt idx="1275">
                <c:v>44251</c:v>
              </c:pt>
              <c:pt idx="1276">
                <c:v>44252</c:v>
              </c:pt>
              <c:pt idx="1277">
                <c:v>44253</c:v>
              </c:pt>
              <c:pt idx="1278">
                <c:v>44256</c:v>
              </c:pt>
              <c:pt idx="1279">
                <c:v>44257</c:v>
              </c:pt>
              <c:pt idx="1280">
                <c:v>44258</c:v>
              </c:pt>
              <c:pt idx="1281">
                <c:v>44259</c:v>
              </c:pt>
              <c:pt idx="1282">
                <c:v>44260</c:v>
              </c:pt>
              <c:pt idx="1283">
                <c:v>44263</c:v>
              </c:pt>
              <c:pt idx="1284">
                <c:v>44264</c:v>
              </c:pt>
              <c:pt idx="1285">
                <c:v>44265</c:v>
              </c:pt>
              <c:pt idx="1286">
                <c:v>44267</c:v>
              </c:pt>
              <c:pt idx="1287">
                <c:v>44270</c:v>
              </c:pt>
              <c:pt idx="1288">
                <c:v>44271</c:v>
              </c:pt>
              <c:pt idx="1289">
                <c:v>44272</c:v>
              </c:pt>
              <c:pt idx="1290">
                <c:v>44273</c:v>
              </c:pt>
              <c:pt idx="1291">
                <c:v>44274</c:v>
              </c:pt>
              <c:pt idx="1292">
                <c:v>44277</c:v>
              </c:pt>
              <c:pt idx="1293">
                <c:v>44278</c:v>
              </c:pt>
              <c:pt idx="1294">
                <c:v>44279</c:v>
              </c:pt>
              <c:pt idx="1295">
                <c:v>44280</c:v>
              </c:pt>
              <c:pt idx="1296">
                <c:v>44281</c:v>
              </c:pt>
              <c:pt idx="1297">
                <c:v>44285</c:v>
              </c:pt>
              <c:pt idx="1298">
                <c:v>44286</c:v>
              </c:pt>
              <c:pt idx="1299">
                <c:v>44287</c:v>
              </c:pt>
              <c:pt idx="1300">
                <c:v>44291</c:v>
              </c:pt>
              <c:pt idx="1301">
                <c:v>44292</c:v>
              </c:pt>
              <c:pt idx="1302">
                <c:v>44293</c:v>
              </c:pt>
              <c:pt idx="1303">
                <c:v>44294</c:v>
              </c:pt>
              <c:pt idx="1304">
                <c:v>44295</c:v>
              </c:pt>
              <c:pt idx="1305">
                <c:v>44298</c:v>
              </c:pt>
              <c:pt idx="1306">
                <c:v>44299</c:v>
              </c:pt>
              <c:pt idx="1307">
                <c:v>44301</c:v>
              </c:pt>
              <c:pt idx="1308">
                <c:v>44302</c:v>
              </c:pt>
              <c:pt idx="1309">
                <c:v>44305</c:v>
              </c:pt>
              <c:pt idx="1310">
                <c:v>44306</c:v>
              </c:pt>
              <c:pt idx="1311">
                <c:v>44308</c:v>
              </c:pt>
              <c:pt idx="1312">
                <c:v>44309</c:v>
              </c:pt>
              <c:pt idx="1313">
                <c:v>44312</c:v>
              </c:pt>
              <c:pt idx="1314">
                <c:v>44313</c:v>
              </c:pt>
              <c:pt idx="1315">
                <c:v>44314</c:v>
              </c:pt>
              <c:pt idx="1316">
                <c:v>44315</c:v>
              </c:pt>
              <c:pt idx="1317">
                <c:v>44316</c:v>
              </c:pt>
              <c:pt idx="1318">
                <c:v>44319</c:v>
              </c:pt>
              <c:pt idx="1319">
                <c:v>44320</c:v>
              </c:pt>
              <c:pt idx="1320">
                <c:v>44321</c:v>
              </c:pt>
              <c:pt idx="1321">
                <c:v>44322</c:v>
              </c:pt>
              <c:pt idx="1322">
                <c:v>44323</c:v>
              </c:pt>
              <c:pt idx="1323">
                <c:v>44326</c:v>
              </c:pt>
              <c:pt idx="1324">
                <c:v>44327</c:v>
              </c:pt>
              <c:pt idx="1325">
                <c:v>44328</c:v>
              </c:pt>
              <c:pt idx="1326">
                <c:v>44330</c:v>
              </c:pt>
              <c:pt idx="1327">
                <c:v>44333</c:v>
              </c:pt>
              <c:pt idx="1328">
                <c:v>44334</c:v>
              </c:pt>
              <c:pt idx="1329">
                <c:v>44335</c:v>
              </c:pt>
              <c:pt idx="1330">
                <c:v>44336</c:v>
              </c:pt>
              <c:pt idx="1331">
                <c:v>44337</c:v>
              </c:pt>
              <c:pt idx="1332">
                <c:v>44340</c:v>
              </c:pt>
              <c:pt idx="1333">
                <c:v>44341</c:v>
              </c:pt>
              <c:pt idx="1334">
                <c:v>44342</c:v>
              </c:pt>
              <c:pt idx="1335">
                <c:v>44343</c:v>
              </c:pt>
              <c:pt idx="1336">
                <c:v>44344</c:v>
              </c:pt>
              <c:pt idx="1337">
                <c:v>44347</c:v>
              </c:pt>
              <c:pt idx="1338">
                <c:v>44348</c:v>
              </c:pt>
              <c:pt idx="1339">
                <c:v>44349</c:v>
              </c:pt>
              <c:pt idx="1340">
                <c:v>44350</c:v>
              </c:pt>
              <c:pt idx="1341">
                <c:v>44351</c:v>
              </c:pt>
              <c:pt idx="1342">
                <c:v>44354</c:v>
              </c:pt>
              <c:pt idx="1343">
                <c:v>44355</c:v>
              </c:pt>
              <c:pt idx="1344">
                <c:v>44356</c:v>
              </c:pt>
              <c:pt idx="1345">
                <c:v>44357</c:v>
              </c:pt>
              <c:pt idx="1346">
                <c:v>44358</c:v>
              </c:pt>
              <c:pt idx="1347">
                <c:v>44361</c:v>
              </c:pt>
              <c:pt idx="1348">
                <c:v>44362</c:v>
              </c:pt>
              <c:pt idx="1349">
                <c:v>44363</c:v>
              </c:pt>
              <c:pt idx="1350">
                <c:v>44364</c:v>
              </c:pt>
              <c:pt idx="1351">
                <c:v>44365</c:v>
              </c:pt>
              <c:pt idx="1352">
                <c:v>44368</c:v>
              </c:pt>
              <c:pt idx="1353">
                <c:v>44369</c:v>
              </c:pt>
              <c:pt idx="1354">
                <c:v>44370</c:v>
              </c:pt>
              <c:pt idx="1355">
                <c:v>44371</c:v>
              </c:pt>
              <c:pt idx="1356">
                <c:v>44372</c:v>
              </c:pt>
              <c:pt idx="1357">
                <c:v>44375</c:v>
              </c:pt>
              <c:pt idx="1358">
                <c:v>44376</c:v>
              </c:pt>
              <c:pt idx="1359">
                <c:v>44377</c:v>
              </c:pt>
              <c:pt idx="1360">
                <c:v>44378</c:v>
              </c:pt>
              <c:pt idx="1361">
                <c:v>44379</c:v>
              </c:pt>
              <c:pt idx="1362">
                <c:v>44382</c:v>
              </c:pt>
              <c:pt idx="1363">
                <c:v>44383</c:v>
              </c:pt>
              <c:pt idx="1364">
                <c:v>44384</c:v>
              </c:pt>
              <c:pt idx="1365">
                <c:v>44385</c:v>
              </c:pt>
              <c:pt idx="1366">
                <c:v>44386</c:v>
              </c:pt>
              <c:pt idx="1367">
                <c:v>44389</c:v>
              </c:pt>
              <c:pt idx="1368">
                <c:v>44390</c:v>
              </c:pt>
              <c:pt idx="1369">
                <c:v>44391</c:v>
              </c:pt>
              <c:pt idx="1370">
                <c:v>44392</c:v>
              </c:pt>
              <c:pt idx="1371">
                <c:v>44393</c:v>
              </c:pt>
              <c:pt idx="1372">
                <c:v>44396</c:v>
              </c:pt>
              <c:pt idx="1373">
                <c:v>44397</c:v>
              </c:pt>
              <c:pt idx="1374">
                <c:v>44399</c:v>
              </c:pt>
              <c:pt idx="1375">
                <c:v>44400</c:v>
              </c:pt>
              <c:pt idx="1376">
                <c:v>44403</c:v>
              </c:pt>
              <c:pt idx="1377">
                <c:v>44404</c:v>
              </c:pt>
              <c:pt idx="1378">
                <c:v>44405</c:v>
              </c:pt>
              <c:pt idx="1379">
                <c:v>44406</c:v>
              </c:pt>
              <c:pt idx="1380">
                <c:v>44407</c:v>
              </c:pt>
              <c:pt idx="1381">
                <c:v>44410</c:v>
              </c:pt>
              <c:pt idx="1382">
                <c:v>44411</c:v>
              </c:pt>
              <c:pt idx="1383">
                <c:v>44412</c:v>
              </c:pt>
              <c:pt idx="1384">
                <c:v>44413</c:v>
              </c:pt>
              <c:pt idx="1385">
                <c:v>44414</c:v>
              </c:pt>
              <c:pt idx="1386">
                <c:v>44417</c:v>
              </c:pt>
              <c:pt idx="1387">
                <c:v>44418</c:v>
              </c:pt>
              <c:pt idx="1388">
                <c:v>44419</c:v>
              </c:pt>
              <c:pt idx="1389">
                <c:v>44420</c:v>
              </c:pt>
              <c:pt idx="1390">
                <c:v>44421</c:v>
              </c:pt>
              <c:pt idx="1391">
                <c:v>44424</c:v>
              </c:pt>
              <c:pt idx="1392">
                <c:v>44425</c:v>
              </c:pt>
              <c:pt idx="1393">
                <c:v>44426</c:v>
              </c:pt>
              <c:pt idx="1394">
                <c:v>44428</c:v>
              </c:pt>
              <c:pt idx="1395">
                <c:v>44431</c:v>
              </c:pt>
              <c:pt idx="1396">
                <c:v>44432</c:v>
              </c:pt>
              <c:pt idx="1397">
                <c:v>44433</c:v>
              </c:pt>
              <c:pt idx="1398">
                <c:v>44434</c:v>
              </c:pt>
              <c:pt idx="1399">
                <c:v>44435</c:v>
              </c:pt>
              <c:pt idx="1400">
                <c:v>44438</c:v>
              </c:pt>
              <c:pt idx="1401">
                <c:v>44439</c:v>
              </c:pt>
              <c:pt idx="1402">
                <c:v>44440</c:v>
              </c:pt>
              <c:pt idx="1403">
                <c:v>44441</c:v>
              </c:pt>
              <c:pt idx="1404">
                <c:v>44442</c:v>
              </c:pt>
              <c:pt idx="1405">
                <c:v>44445</c:v>
              </c:pt>
              <c:pt idx="1406">
                <c:v>44446</c:v>
              </c:pt>
              <c:pt idx="1407">
                <c:v>44447</c:v>
              </c:pt>
              <c:pt idx="1408">
                <c:v>44448</c:v>
              </c:pt>
              <c:pt idx="1409">
                <c:v>44452</c:v>
              </c:pt>
              <c:pt idx="1410">
                <c:v>44453</c:v>
              </c:pt>
              <c:pt idx="1411">
                <c:v>44454</c:v>
              </c:pt>
              <c:pt idx="1412">
                <c:v>44455</c:v>
              </c:pt>
              <c:pt idx="1413">
                <c:v>44456</c:v>
              </c:pt>
              <c:pt idx="1414">
                <c:v>44459</c:v>
              </c:pt>
              <c:pt idx="1415">
                <c:v>44460</c:v>
              </c:pt>
              <c:pt idx="1416">
                <c:v>44461</c:v>
              </c:pt>
              <c:pt idx="1417">
                <c:v>44462</c:v>
              </c:pt>
              <c:pt idx="1418">
                <c:v>44463</c:v>
              </c:pt>
              <c:pt idx="1419">
                <c:v>44466</c:v>
              </c:pt>
              <c:pt idx="1420">
                <c:v>44467</c:v>
              </c:pt>
              <c:pt idx="1421">
                <c:v>44468</c:v>
              </c:pt>
              <c:pt idx="1422">
                <c:v>44469</c:v>
              </c:pt>
              <c:pt idx="1423">
                <c:v>44470</c:v>
              </c:pt>
              <c:pt idx="1424">
                <c:v>44473</c:v>
              </c:pt>
              <c:pt idx="1425">
                <c:v>44474</c:v>
              </c:pt>
              <c:pt idx="1426">
                <c:v>44475</c:v>
              </c:pt>
              <c:pt idx="1427">
                <c:v>44476</c:v>
              </c:pt>
              <c:pt idx="1428">
                <c:v>44477</c:v>
              </c:pt>
              <c:pt idx="1429">
                <c:v>44480</c:v>
              </c:pt>
              <c:pt idx="1430">
                <c:v>44481</c:v>
              </c:pt>
              <c:pt idx="1431">
                <c:v>44482</c:v>
              </c:pt>
              <c:pt idx="1432">
                <c:v>44483</c:v>
              </c:pt>
              <c:pt idx="1433">
                <c:v>44487</c:v>
              </c:pt>
              <c:pt idx="1434">
                <c:v>44488</c:v>
              </c:pt>
              <c:pt idx="1435">
                <c:v>44489</c:v>
              </c:pt>
              <c:pt idx="1436">
                <c:v>44490</c:v>
              </c:pt>
              <c:pt idx="1437">
                <c:v>44491</c:v>
              </c:pt>
              <c:pt idx="1438">
                <c:v>44494</c:v>
              </c:pt>
              <c:pt idx="1439">
                <c:v>44495</c:v>
              </c:pt>
              <c:pt idx="1440">
                <c:v>44496</c:v>
              </c:pt>
              <c:pt idx="1441">
                <c:v>44497</c:v>
              </c:pt>
              <c:pt idx="1442">
                <c:v>44498</c:v>
              </c:pt>
              <c:pt idx="1443">
                <c:v>44501</c:v>
              </c:pt>
              <c:pt idx="1444">
                <c:v>44502</c:v>
              </c:pt>
              <c:pt idx="1445">
                <c:v>44503</c:v>
              </c:pt>
              <c:pt idx="1446">
                <c:v>44504</c:v>
              </c:pt>
              <c:pt idx="1447">
                <c:v>44508</c:v>
              </c:pt>
              <c:pt idx="1448">
                <c:v>44509</c:v>
              </c:pt>
              <c:pt idx="1449">
                <c:v>44510</c:v>
              </c:pt>
              <c:pt idx="1450">
                <c:v>44511</c:v>
              </c:pt>
              <c:pt idx="1451">
                <c:v>44512</c:v>
              </c:pt>
              <c:pt idx="1452">
                <c:v>44515</c:v>
              </c:pt>
              <c:pt idx="1453">
                <c:v>44516</c:v>
              </c:pt>
              <c:pt idx="1454">
                <c:v>44517</c:v>
              </c:pt>
              <c:pt idx="1455">
                <c:v>44518</c:v>
              </c:pt>
              <c:pt idx="1456">
                <c:v>44522</c:v>
              </c:pt>
              <c:pt idx="1457">
                <c:v>44523</c:v>
              </c:pt>
              <c:pt idx="1458">
                <c:v>44524</c:v>
              </c:pt>
              <c:pt idx="1459">
                <c:v>44525</c:v>
              </c:pt>
              <c:pt idx="1460">
                <c:v>44526</c:v>
              </c:pt>
              <c:pt idx="1461">
                <c:v>44529</c:v>
              </c:pt>
              <c:pt idx="1462">
                <c:v>44530</c:v>
              </c:pt>
              <c:pt idx="1463">
                <c:v>44531</c:v>
              </c:pt>
              <c:pt idx="1464">
                <c:v>44532</c:v>
              </c:pt>
              <c:pt idx="1465">
                <c:v>44533</c:v>
              </c:pt>
              <c:pt idx="1466">
                <c:v>44536</c:v>
              </c:pt>
              <c:pt idx="1467">
                <c:v>44537</c:v>
              </c:pt>
              <c:pt idx="1468">
                <c:v>44538</c:v>
              </c:pt>
              <c:pt idx="1469">
                <c:v>44539</c:v>
              </c:pt>
              <c:pt idx="1470">
                <c:v>44540</c:v>
              </c:pt>
              <c:pt idx="1471">
                <c:v>44543</c:v>
              </c:pt>
              <c:pt idx="1472">
                <c:v>44544</c:v>
              </c:pt>
              <c:pt idx="1473">
                <c:v>44545</c:v>
              </c:pt>
              <c:pt idx="1474">
                <c:v>44546</c:v>
              </c:pt>
              <c:pt idx="1475">
                <c:v>44547</c:v>
              </c:pt>
              <c:pt idx="1476">
                <c:v>44550</c:v>
              </c:pt>
              <c:pt idx="1477">
                <c:v>44551</c:v>
              </c:pt>
              <c:pt idx="1478">
                <c:v>44552</c:v>
              </c:pt>
              <c:pt idx="1479">
                <c:v>44553</c:v>
              </c:pt>
              <c:pt idx="1480">
                <c:v>44554</c:v>
              </c:pt>
              <c:pt idx="1481">
                <c:v>44557</c:v>
              </c:pt>
              <c:pt idx="1482">
                <c:v>44558</c:v>
              </c:pt>
              <c:pt idx="1483">
                <c:v>44559</c:v>
              </c:pt>
              <c:pt idx="1484">
                <c:v>44560</c:v>
              </c:pt>
              <c:pt idx="1485">
                <c:v>44561</c:v>
              </c:pt>
              <c:pt idx="1486">
                <c:v>44564</c:v>
              </c:pt>
              <c:pt idx="1487">
                <c:v>44565</c:v>
              </c:pt>
              <c:pt idx="1488">
                <c:v>44566</c:v>
              </c:pt>
              <c:pt idx="1489">
                <c:v>44567</c:v>
              </c:pt>
              <c:pt idx="1490">
                <c:v>44568</c:v>
              </c:pt>
              <c:pt idx="1491">
                <c:v>44571</c:v>
              </c:pt>
              <c:pt idx="1492">
                <c:v>44572</c:v>
              </c:pt>
              <c:pt idx="1493">
                <c:v>44573</c:v>
              </c:pt>
              <c:pt idx="1494">
                <c:v>44574</c:v>
              </c:pt>
              <c:pt idx="1495">
                <c:v>44575</c:v>
              </c:pt>
              <c:pt idx="1496">
                <c:v>44578</c:v>
              </c:pt>
              <c:pt idx="1497">
                <c:v>44579</c:v>
              </c:pt>
              <c:pt idx="1498">
                <c:v>44580</c:v>
              </c:pt>
              <c:pt idx="1499">
                <c:v>44581</c:v>
              </c:pt>
              <c:pt idx="1500">
                <c:v>44582</c:v>
              </c:pt>
              <c:pt idx="1501">
                <c:v>44585</c:v>
              </c:pt>
              <c:pt idx="1502">
                <c:v>44586</c:v>
              </c:pt>
              <c:pt idx="1503">
                <c:v>44588</c:v>
              </c:pt>
              <c:pt idx="1504">
                <c:v>44589</c:v>
              </c:pt>
              <c:pt idx="1505">
                <c:v>44592</c:v>
              </c:pt>
              <c:pt idx="1506">
                <c:v>44593</c:v>
              </c:pt>
              <c:pt idx="1507">
                <c:v>44594</c:v>
              </c:pt>
              <c:pt idx="1508">
                <c:v>44595</c:v>
              </c:pt>
              <c:pt idx="1509">
                <c:v>44596</c:v>
              </c:pt>
              <c:pt idx="1510">
                <c:v>44599</c:v>
              </c:pt>
              <c:pt idx="1511">
                <c:v>44600</c:v>
              </c:pt>
              <c:pt idx="1512">
                <c:v>44601</c:v>
              </c:pt>
              <c:pt idx="1513">
                <c:v>44602</c:v>
              </c:pt>
              <c:pt idx="1514">
                <c:v>44603</c:v>
              </c:pt>
              <c:pt idx="1515">
                <c:v>44606</c:v>
              </c:pt>
              <c:pt idx="1516">
                <c:v>44607</c:v>
              </c:pt>
              <c:pt idx="1517">
                <c:v>44608</c:v>
              </c:pt>
              <c:pt idx="1518">
                <c:v>44609</c:v>
              </c:pt>
              <c:pt idx="1519">
                <c:v>44610</c:v>
              </c:pt>
              <c:pt idx="1520">
                <c:v>44613</c:v>
              </c:pt>
              <c:pt idx="1521">
                <c:v>44614</c:v>
              </c:pt>
              <c:pt idx="1522">
                <c:v>44615</c:v>
              </c:pt>
              <c:pt idx="1523">
                <c:v>44616</c:v>
              </c:pt>
              <c:pt idx="1524">
                <c:v>44617</c:v>
              </c:pt>
              <c:pt idx="1525">
                <c:v>44620</c:v>
              </c:pt>
              <c:pt idx="1526">
                <c:v>44622</c:v>
              </c:pt>
              <c:pt idx="1527">
                <c:v>44623</c:v>
              </c:pt>
              <c:pt idx="1528">
                <c:v>44624</c:v>
              </c:pt>
              <c:pt idx="1529">
                <c:v>44627</c:v>
              </c:pt>
              <c:pt idx="1530">
                <c:v>44628</c:v>
              </c:pt>
              <c:pt idx="1531">
                <c:v>44629</c:v>
              </c:pt>
              <c:pt idx="1532">
                <c:v>44630</c:v>
              </c:pt>
              <c:pt idx="1533">
                <c:v>44631</c:v>
              </c:pt>
              <c:pt idx="1534">
                <c:v>44634</c:v>
              </c:pt>
              <c:pt idx="1535">
                <c:v>44635</c:v>
              </c:pt>
              <c:pt idx="1536">
                <c:v>44636</c:v>
              </c:pt>
              <c:pt idx="1537">
                <c:v>44637</c:v>
              </c:pt>
              <c:pt idx="1538">
                <c:v>44641</c:v>
              </c:pt>
              <c:pt idx="1539">
                <c:v>44642</c:v>
              </c:pt>
              <c:pt idx="1540">
                <c:v>44643</c:v>
              </c:pt>
              <c:pt idx="1541">
                <c:v>44644</c:v>
              </c:pt>
              <c:pt idx="1542">
                <c:v>44645</c:v>
              </c:pt>
              <c:pt idx="1543">
                <c:v>44648</c:v>
              </c:pt>
              <c:pt idx="1544">
                <c:v>44649</c:v>
              </c:pt>
              <c:pt idx="1545">
                <c:v>44650</c:v>
              </c:pt>
              <c:pt idx="1546">
                <c:v>44651</c:v>
              </c:pt>
              <c:pt idx="1547">
                <c:v>44652</c:v>
              </c:pt>
              <c:pt idx="1548">
                <c:v>44655</c:v>
              </c:pt>
              <c:pt idx="1549">
                <c:v>44656</c:v>
              </c:pt>
              <c:pt idx="1550">
                <c:v>44657</c:v>
              </c:pt>
              <c:pt idx="1551">
                <c:v>44658</c:v>
              </c:pt>
              <c:pt idx="1552">
                <c:v>44659</c:v>
              </c:pt>
              <c:pt idx="1553">
                <c:v>44662</c:v>
              </c:pt>
              <c:pt idx="1554">
                <c:v>44663</c:v>
              </c:pt>
              <c:pt idx="1555">
                <c:v>44664</c:v>
              </c:pt>
              <c:pt idx="1556">
                <c:v>44669</c:v>
              </c:pt>
              <c:pt idx="1557">
                <c:v>44670</c:v>
              </c:pt>
              <c:pt idx="1558">
                <c:v>44671</c:v>
              </c:pt>
              <c:pt idx="1559">
                <c:v>44672</c:v>
              </c:pt>
              <c:pt idx="1560">
                <c:v>44673</c:v>
              </c:pt>
              <c:pt idx="1561">
                <c:v>44676</c:v>
              </c:pt>
              <c:pt idx="1562">
                <c:v>44677</c:v>
              </c:pt>
              <c:pt idx="1563">
                <c:v>44678</c:v>
              </c:pt>
              <c:pt idx="1564">
                <c:v>44679</c:v>
              </c:pt>
              <c:pt idx="1565">
                <c:v>44680</c:v>
              </c:pt>
              <c:pt idx="1566">
                <c:v>44683</c:v>
              </c:pt>
              <c:pt idx="1567">
                <c:v>44685</c:v>
              </c:pt>
              <c:pt idx="1568">
                <c:v>44686</c:v>
              </c:pt>
              <c:pt idx="1569">
                <c:v>44687</c:v>
              </c:pt>
              <c:pt idx="1570">
                <c:v>44690</c:v>
              </c:pt>
              <c:pt idx="1571">
                <c:v>44691</c:v>
              </c:pt>
              <c:pt idx="1572">
                <c:v>44692</c:v>
              </c:pt>
              <c:pt idx="1573">
                <c:v>44693</c:v>
              </c:pt>
              <c:pt idx="1574">
                <c:v>44694</c:v>
              </c:pt>
              <c:pt idx="1575">
                <c:v>44697</c:v>
              </c:pt>
              <c:pt idx="1576">
                <c:v>44698</c:v>
              </c:pt>
              <c:pt idx="1577">
                <c:v>44699</c:v>
              </c:pt>
              <c:pt idx="1578">
                <c:v>44700</c:v>
              </c:pt>
              <c:pt idx="1579">
                <c:v>44701</c:v>
              </c:pt>
              <c:pt idx="1580">
                <c:v>44704</c:v>
              </c:pt>
              <c:pt idx="1581">
                <c:v>44705</c:v>
              </c:pt>
              <c:pt idx="1582">
                <c:v>44706</c:v>
              </c:pt>
              <c:pt idx="1583">
                <c:v>44707</c:v>
              </c:pt>
              <c:pt idx="1584">
                <c:v>44708</c:v>
              </c:pt>
              <c:pt idx="1585">
                <c:v>44711</c:v>
              </c:pt>
              <c:pt idx="1586">
                <c:v>44712</c:v>
              </c:pt>
              <c:pt idx="1587">
                <c:v>44713</c:v>
              </c:pt>
              <c:pt idx="1588">
                <c:v>44714</c:v>
              </c:pt>
              <c:pt idx="1589">
                <c:v>44715</c:v>
              </c:pt>
              <c:pt idx="1590">
                <c:v>44718</c:v>
              </c:pt>
              <c:pt idx="1591">
                <c:v>44719</c:v>
              </c:pt>
              <c:pt idx="1592">
                <c:v>44720</c:v>
              </c:pt>
              <c:pt idx="1593">
                <c:v>44721</c:v>
              </c:pt>
              <c:pt idx="1594">
                <c:v>44722</c:v>
              </c:pt>
              <c:pt idx="1595">
                <c:v>44725</c:v>
              </c:pt>
              <c:pt idx="1596">
                <c:v>44726</c:v>
              </c:pt>
              <c:pt idx="1597">
                <c:v>44727</c:v>
              </c:pt>
              <c:pt idx="1598">
                <c:v>44728</c:v>
              </c:pt>
              <c:pt idx="1599">
                <c:v>44729</c:v>
              </c:pt>
              <c:pt idx="1600">
                <c:v>44732</c:v>
              </c:pt>
              <c:pt idx="1601">
                <c:v>44733</c:v>
              </c:pt>
              <c:pt idx="1602">
                <c:v>44734</c:v>
              </c:pt>
              <c:pt idx="1603">
                <c:v>44735</c:v>
              </c:pt>
              <c:pt idx="1604">
                <c:v>44736</c:v>
              </c:pt>
              <c:pt idx="1605">
                <c:v>44739</c:v>
              </c:pt>
              <c:pt idx="1606">
                <c:v>44740</c:v>
              </c:pt>
              <c:pt idx="1607">
                <c:v>44741</c:v>
              </c:pt>
              <c:pt idx="1608">
                <c:v>44742</c:v>
              </c:pt>
              <c:pt idx="1609">
                <c:v>44743</c:v>
              </c:pt>
              <c:pt idx="1610">
                <c:v>44746</c:v>
              </c:pt>
              <c:pt idx="1611">
                <c:v>44747</c:v>
              </c:pt>
              <c:pt idx="1612">
                <c:v>44748</c:v>
              </c:pt>
              <c:pt idx="1613">
                <c:v>44749</c:v>
              </c:pt>
              <c:pt idx="1614">
                <c:v>44750</c:v>
              </c:pt>
              <c:pt idx="1615">
                <c:v>44753</c:v>
              </c:pt>
              <c:pt idx="1616">
                <c:v>44754</c:v>
              </c:pt>
              <c:pt idx="1617">
                <c:v>44755</c:v>
              </c:pt>
              <c:pt idx="1618">
                <c:v>44756</c:v>
              </c:pt>
              <c:pt idx="1619">
                <c:v>44757</c:v>
              </c:pt>
              <c:pt idx="1620">
                <c:v>44760</c:v>
              </c:pt>
              <c:pt idx="1621">
                <c:v>44761</c:v>
              </c:pt>
              <c:pt idx="1622">
                <c:v>44762</c:v>
              </c:pt>
              <c:pt idx="1623">
                <c:v>44763</c:v>
              </c:pt>
              <c:pt idx="1624">
                <c:v>44764</c:v>
              </c:pt>
              <c:pt idx="1625">
                <c:v>44767</c:v>
              </c:pt>
              <c:pt idx="1626">
                <c:v>44768</c:v>
              </c:pt>
              <c:pt idx="1627">
                <c:v>44769</c:v>
              </c:pt>
              <c:pt idx="1628">
                <c:v>44770</c:v>
              </c:pt>
              <c:pt idx="1629">
                <c:v>44771</c:v>
              </c:pt>
              <c:pt idx="1630">
                <c:v>44774</c:v>
              </c:pt>
              <c:pt idx="1631">
                <c:v>44775</c:v>
              </c:pt>
              <c:pt idx="1632">
                <c:v>44776</c:v>
              </c:pt>
              <c:pt idx="1633">
                <c:v>44777</c:v>
              </c:pt>
              <c:pt idx="1634">
                <c:v>44778</c:v>
              </c:pt>
              <c:pt idx="1635">
                <c:v>44781</c:v>
              </c:pt>
              <c:pt idx="1636">
                <c:v>44783</c:v>
              </c:pt>
              <c:pt idx="1637">
                <c:v>44784</c:v>
              </c:pt>
              <c:pt idx="1638">
                <c:v>44785</c:v>
              </c:pt>
              <c:pt idx="1639">
                <c:v>44789</c:v>
              </c:pt>
              <c:pt idx="1640">
                <c:v>44790</c:v>
              </c:pt>
              <c:pt idx="1641">
                <c:v>44791</c:v>
              </c:pt>
              <c:pt idx="1642">
                <c:v>44792</c:v>
              </c:pt>
              <c:pt idx="1643">
                <c:v>44795</c:v>
              </c:pt>
              <c:pt idx="1644">
                <c:v>44796</c:v>
              </c:pt>
              <c:pt idx="1645">
                <c:v>44797</c:v>
              </c:pt>
              <c:pt idx="1646">
                <c:v>44798</c:v>
              </c:pt>
              <c:pt idx="1647">
                <c:v>44799</c:v>
              </c:pt>
              <c:pt idx="1648">
                <c:v>44802</c:v>
              </c:pt>
              <c:pt idx="1649">
                <c:v>44803</c:v>
              </c:pt>
              <c:pt idx="1650">
                <c:v>44805</c:v>
              </c:pt>
              <c:pt idx="1651">
                <c:v>44806</c:v>
              </c:pt>
              <c:pt idx="1652">
                <c:v>44809</c:v>
              </c:pt>
              <c:pt idx="1653">
                <c:v>44810</c:v>
              </c:pt>
              <c:pt idx="1654">
                <c:v>44811</c:v>
              </c:pt>
              <c:pt idx="1655">
                <c:v>44812</c:v>
              </c:pt>
              <c:pt idx="1656">
                <c:v>44813</c:v>
              </c:pt>
              <c:pt idx="1657">
                <c:v>44816</c:v>
              </c:pt>
              <c:pt idx="1658">
                <c:v>44817</c:v>
              </c:pt>
              <c:pt idx="1659">
                <c:v>44818</c:v>
              </c:pt>
              <c:pt idx="1660">
                <c:v>44819</c:v>
              </c:pt>
              <c:pt idx="1661">
                <c:v>44820</c:v>
              </c:pt>
              <c:pt idx="1662">
                <c:v>44823</c:v>
              </c:pt>
              <c:pt idx="1663">
                <c:v>44824</c:v>
              </c:pt>
              <c:pt idx="1664">
                <c:v>44825</c:v>
              </c:pt>
              <c:pt idx="1665">
                <c:v>44826</c:v>
              </c:pt>
              <c:pt idx="1666">
                <c:v>44827</c:v>
              </c:pt>
              <c:pt idx="1667">
                <c:v>44830</c:v>
              </c:pt>
              <c:pt idx="1668">
                <c:v>44831</c:v>
              </c:pt>
              <c:pt idx="1669">
                <c:v>44832</c:v>
              </c:pt>
              <c:pt idx="1670">
                <c:v>44833</c:v>
              </c:pt>
              <c:pt idx="1671">
                <c:v>44834</c:v>
              </c:pt>
              <c:pt idx="1672">
                <c:v>44837</c:v>
              </c:pt>
              <c:pt idx="1673">
                <c:v>44838</c:v>
              </c:pt>
              <c:pt idx="1674">
                <c:v>44840</c:v>
              </c:pt>
              <c:pt idx="1675">
                <c:v>44841</c:v>
              </c:pt>
              <c:pt idx="1676">
                <c:v>44844</c:v>
              </c:pt>
              <c:pt idx="1677">
                <c:v>44845</c:v>
              </c:pt>
              <c:pt idx="1678">
                <c:v>44846</c:v>
              </c:pt>
              <c:pt idx="1679">
                <c:v>44847</c:v>
              </c:pt>
              <c:pt idx="1680">
                <c:v>44848</c:v>
              </c:pt>
              <c:pt idx="1681">
                <c:v>44851</c:v>
              </c:pt>
              <c:pt idx="1682">
                <c:v>44852</c:v>
              </c:pt>
              <c:pt idx="1683">
                <c:v>44853</c:v>
              </c:pt>
              <c:pt idx="1684">
                <c:v>44854</c:v>
              </c:pt>
              <c:pt idx="1685">
                <c:v>44855</c:v>
              </c:pt>
              <c:pt idx="1686">
                <c:v>44858</c:v>
              </c:pt>
              <c:pt idx="1687">
                <c:v>44859</c:v>
              </c:pt>
              <c:pt idx="1688">
                <c:v>44861</c:v>
              </c:pt>
              <c:pt idx="1689">
                <c:v>44862</c:v>
              </c:pt>
              <c:pt idx="1690">
                <c:v>44865</c:v>
              </c:pt>
              <c:pt idx="1691">
                <c:v>44866</c:v>
              </c:pt>
              <c:pt idx="1692">
                <c:v>44867</c:v>
              </c:pt>
              <c:pt idx="1693">
                <c:v>44868</c:v>
              </c:pt>
              <c:pt idx="1694">
                <c:v>44869</c:v>
              </c:pt>
              <c:pt idx="1695">
                <c:v>44872</c:v>
              </c:pt>
              <c:pt idx="1696">
                <c:v>44874</c:v>
              </c:pt>
              <c:pt idx="1697">
                <c:v>44875</c:v>
              </c:pt>
              <c:pt idx="1698">
                <c:v>44876</c:v>
              </c:pt>
              <c:pt idx="1699">
                <c:v>44879</c:v>
              </c:pt>
              <c:pt idx="1700">
                <c:v>44880</c:v>
              </c:pt>
              <c:pt idx="1701">
                <c:v>44881</c:v>
              </c:pt>
              <c:pt idx="1702">
                <c:v>44882</c:v>
              </c:pt>
              <c:pt idx="1703">
                <c:v>44883</c:v>
              </c:pt>
              <c:pt idx="1704">
                <c:v>44886</c:v>
              </c:pt>
              <c:pt idx="1705">
                <c:v>44887</c:v>
              </c:pt>
              <c:pt idx="1706">
                <c:v>44888</c:v>
              </c:pt>
              <c:pt idx="1707">
                <c:v>44889</c:v>
              </c:pt>
              <c:pt idx="1708">
                <c:v>44890</c:v>
              </c:pt>
              <c:pt idx="1709">
                <c:v>44893</c:v>
              </c:pt>
              <c:pt idx="1710">
                <c:v>44894</c:v>
              </c:pt>
              <c:pt idx="1711">
                <c:v>44895</c:v>
              </c:pt>
              <c:pt idx="1712">
                <c:v>44896</c:v>
              </c:pt>
              <c:pt idx="1713">
                <c:v>44897</c:v>
              </c:pt>
              <c:pt idx="1714">
                <c:v>44900</c:v>
              </c:pt>
              <c:pt idx="1715">
                <c:v>44901</c:v>
              </c:pt>
              <c:pt idx="1716">
                <c:v>44902</c:v>
              </c:pt>
              <c:pt idx="1717">
                <c:v>44903</c:v>
              </c:pt>
              <c:pt idx="1718">
                <c:v>44904</c:v>
              </c:pt>
              <c:pt idx="1719">
                <c:v>44907</c:v>
              </c:pt>
              <c:pt idx="1720">
                <c:v>44908</c:v>
              </c:pt>
              <c:pt idx="1721">
                <c:v>44909</c:v>
              </c:pt>
              <c:pt idx="1722">
                <c:v>44910</c:v>
              </c:pt>
              <c:pt idx="1723">
                <c:v>44911</c:v>
              </c:pt>
              <c:pt idx="1724">
                <c:v>44914</c:v>
              </c:pt>
              <c:pt idx="1725">
                <c:v>44915</c:v>
              </c:pt>
              <c:pt idx="1726">
                <c:v>44916</c:v>
              </c:pt>
              <c:pt idx="1727">
                <c:v>44917</c:v>
              </c:pt>
              <c:pt idx="1728">
                <c:v>44918</c:v>
              </c:pt>
              <c:pt idx="1729">
                <c:v>44921</c:v>
              </c:pt>
              <c:pt idx="1730">
                <c:v>44922</c:v>
              </c:pt>
              <c:pt idx="1731">
                <c:v>44923</c:v>
              </c:pt>
              <c:pt idx="1732">
                <c:v>44924</c:v>
              </c:pt>
              <c:pt idx="1733">
                <c:v>44925</c:v>
              </c:pt>
              <c:pt idx="1734">
                <c:v>44928</c:v>
              </c:pt>
              <c:pt idx="1735">
                <c:v>44929</c:v>
              </c:pt>
              <c:pt idx="1736">
                <c:v>44930</c:v>
              </c:pt>
              <c:pt idx="1737">
                <c:v>44931</c:v>
              </c:pt>
              <c:pt idx="1738">
                <c:v>44932</c:v>
              </c:pt>
              <c:pt idx="1739">
                <c:v>44935</c:v>
              </c:pt>
              <c:pt idx="1740">
                <c:v>44936</c:v>
              </c:pt>
              <c:pt idx="1741">
                <c:v>44937</c:v>
              </c:pt>
              <c:pt idx="1742">
                <c:v>44938</c:v>
              </c:pt>
              <c:pt idx="1743">
                <c:v>44939</c:v>
              </c:pt>
              <c:pt idx="1744">
                <c:v>44942</c:v>
              </c:pt>
              <c:pt idx="1745">
                <c:v>44943</c:v>
              </c:pt>
              <c:pt idx="1746">
                <c:v>44944</c:v>
              </c:pt>
              <c:pt idx="1747">
                <c:v>44945</c:v>
              </c:pt>
              <c:pt idx="1748">
                <c:v>44946</c:v>
              </c:pt>
              <c:pt idx="1749">
                <c:v>44949</c:v>
              </c:pt>
              <c:pt idx="1750">
                <c:v>44950</c:v>
              </c:pt>
              <c:pt idx="1751">
                <c:v>44951</c:v>
              </c:pt>
              <c:pt idx="1752">
                <c:v>44953</c:v>
              </c:pt>
              <c:pt idx="1753">
                <c:v>44956</c:v>
              </c:pt>
              <c:pt idx="1754">
                <c:v>44957</c:v>
              </c:pt>
              <c:pt idx="1755">
                <c:v>44958</c:v>
              </c:pt>
              <c:pt idx="1756">
                <c:v>44959</c:v>
              </c:pt>
              <c:pt idx="1757">
                <c:v>44960</c:v>
              </c:pt>
              <c:pt idx="1758">
                <c:v>44963</c:v>
              </c:pt>
              <c:pt idx="1759">
                <c:v>44964</c:v>
              </c:pt>
              <c:pt idx="1760">
                <c:v>44965</c:v>
              </c:pt>
              <c:pt idx="1761">
                <c:v>44966</c:v>
              </c:pt>
              <c:pt idx="1762">
                <c:v>44967</c:v>
              </c:pt>
              <c:pt idx="1763">
                <c:v>44970</c:v>
              </c:pt>
              <c:pt idx="1764">
                <c:v>44971</c:v>
              </c:pt>
              <c:pt idx="1765">
                <c:v>44972</c:v>
              </c:pt>
              <c:pt idx="1766">
                <c:v>44973</c:v>
              </c:pt>
              <c:pt idx="1767">
                <c:v>44974</c:v>
              </c:pt>
              <c:pt idx="1768">
                <c:v>44977</c:v>
              </c:pt>
              <c:pt idx="1769">
                <c:v>44978</c:v>
              </c:pt>
              <c:pt idx="1770">
                <c:v>44979</c:v>
              </c:pt>
              <c:pt idx="1771">
                <c:v>44980</c:v>
              </c:pt>
              <c:pt idx="1772">
                <c:v>44981</c:v>
              </c:pt>
              <c:pt idx="1773">
                <c:v>44984</c:v>
              </c:pt>
              <c:pt idx="1774">
                <c:v>44985</c:v>
              </c:pt>
              <c:pt idx="1775">
                <c:v>44986</c:v>
              </c:pt>
              <c:pt idx="1776">
                <c:v>44987</c:v>
              </c:pt>
              <c:pt idx="1777">
                <c:v>44988</c:v>
              </c:pt>
              <c:pt idx="1778">
                <c:v>44991</c:v>
              </c:pt>
              <c:pt idx="1779">
                <c:v>44993</c:v>
              </c:pt>
              <c:pt idx="1780">
                <c:v>44994</c:v>
              </c:pt>
              <c:pt idx="1781">
                <c:v>44995</c:v>
              </c:pt>
              <c:pt idx="1782">
                <c:v>44998</c:v>
              </c:pt>
              <c:pt idx="1783">
                <c:v>44999</c:v>
              </c:pt>
              <c:pt idx="1784">
                <c:v>45000</c:v>
              </c:pt>
              <c:pt idx="1785">
                <c:v>45001</c:v>
              </c:pt>
              <c:pt idx="1786">
                <c:v>45002</c:v>
              </c:pt>
              <c:pt idx="1787">
                <c:v>45005</c:v>
              </c:pt>
              <c:pt idx="1788">
                <c:v>45006</c:v>
              </c:pt>
              <c:pt idx="1789">
                <c:v>45007</c:v>
              </c:pt>
              <c:pt idx="1790">
                <c:v>45008</c:v>
              </c:pt>
              <c:pt idx="1791">
                <c:v>45009</c:v>
              </c:pt>
              <c:pt idx="1792">
                <c:v>45012</c:v>
              </c:pt>
              <c:pt idx="1793">
                <c:v>45013</c:v>
              </c:pt>
              <c:pt idx="1794">
                <c:v>45014</c:v>
              </c:pt>
              <c:pt idx="1795">
                <c:v>45016</c:v>
              </c:pt>
              <c:pt idx="1796">
                <c:v>45019</c:v>
              </c:pt>
              <c:pt idx="1797">
                <c:v>45021</c:v>
              </c:pt>
              <c:pt idx="1798">
                <c:v>45022</c:v>
              </c:pt>
              <c:pt idx="1799">
                <c:v>45026</c:v>
              </c:pt>
              <c:pt idx="1800">
                <c:v>45027</c:v>
              </c:pt>
              <c:pt idx="1801">
                <c:v>45028</c:v>
              </c:pt>
              <c:pt idx="1802">
                <c:v>45029</c:v>
              </c:pt>
              <c:pt idx="1803">
                <c:v>45033</c:v>
              </c:pt>
              <c:pt idx="1804">
                <c:v>45034</c:v>
              </c:pt>
              <c:pt idx="1805">
                <c:v>45035</c:v>
              </c:pt>
              <c:pt idx="1806">
                <c:v>45036</c:v>
              </c:pt>
              <c:pt idx="1807">
                <c:v>45037</c:v>
              </c:pt>
              <c:pt idx="1808">
                <c:v>45040</c:v>
              </c:pt>
              <c:pt idx="1809">
                <c:v>45041</c:v>
              </c:pt>
              <c:pt idx="1810">
                <c:v>45042</c:v>
              </c:pt>
              <c:pt idx="1811">
                <c:v>45043</c:v>
              </c:pt>
              <c:pt idx="1812">
                <c:v>45044</c:v>
              </c:pt>
              <c:pt idx="1813">
                <c:v>45048</c:v>
              </c:pt>
              <c:pt idx="1814">
                <c:v>45049</c:v>
              </c:pt>
              <c:pt idx="1815">
                <c:v>45050</c:v>
              </c:pt>
              <c:pt idx="1816">
                <c:v>45051</c:v>
              </c:pt>
              <c:pt idx="1817">
                <c:v>45054</c:v>
              </c:pt>
              <c:pt idx="1818">
                <c:v>45055</c:v>
              </c:pt>
              <c:pt idx="1819">
                <c:v>45056</c:v>
              </c:pt>
              <c:pt idx="1820">
                <c:v>45057</c:v>
              </c:pt>
              <c:pt idx="1821">
                <c:v>45058</c:v>
              </c:pt>
              <c:pt idx="1822">
                <c:v>45061</c:v>
              </c:pt>
              <c:pt idx="1823">
                <c:v>45062</c:v>
              </c:pt>
              <c:pt idx="1824">
                <c:v>45063</c:v>
              </c:pt>
              <c:pt idx="1825">
                <c:v>45064</c:v>
              </c:pt>
              <c:pt idx="1826">
                <c:v>45065</c:v>
              </c:pt>
              <c:pt idx="1827">
                <c:v>45068</c:v>
              </c:pt>
              <c:pt idx="1828">
                <c:v>45069</c:v>
              </c:pt>
              <c:pt idx="1829">
                <c:v>45070</c:v>
              </c:pt>
              <c:pt idx="1830">
                <c:v>45071</c:v>
              </c:pt>
              <c:pt idx="1831">
                <c:v>45072</c:v>
              </c:pt>
              <c:pt idx="1832">
                <c:v>45075</c:v>
              </c:pt>
              <c:pt idx="1833">
                <c:v>45076</c:v>
              </c:pt>
              <c:pt idx="1834">
                <c:v>45077</c:v>
              </c:pt>
              <c:pt idx="1835">
                <c:v>45078</c:v>
              </c:pt>
              <c:pt idx="1836">
                <c:v>45079</c:v>
              </c:pt>
              <c:pt idx="1837">
                <c:v>45082</c:v>
              </c:pt>
              <c:pt idx="1838">
                <c:v>45083</c:v>
              </c:pt>
              <c:pt idx="1839">
                <c:v>45084</c:v>
              </c:pt>
              <c:pt idx="1840">
                <c:v>45085</c:v>
              </c:pt>
              <c:pt idx="1841">
                <c:v>45086</c:v>
              </c:pt>
              <c:pt idx="1842">
                <c:v>45089</c:v>
              </c:pt>
              <c:pt idx="1843">
                <c:v>45090</c:v>
              </c:pt>
              <c:pt idx="1844">
                <c:v>45091</c:v>
              </c:pt>
              <c:pt idx="1845">
                <c:v>45092</c:v>
              </c:pt>
              <c:pt idx="1846">
                <c:v>45093</c:v>
              </c:pt>
              <c:pt idx="1847">
                <c:v>45096</c:v>
              </c:pt>
              <c:pt idx="1848">
                <c:v>45097</c:v>
              </c:pt>
              <c:pt idx="1849">
                <c:v>45098</c:v>
              </c:pt>
              <c:pt idx="1850">
                <c:v>45099</c:v>
              </c:pt>
              <c:pt idx="1851">
                <c:v>45100</c:v>
              </c:pt>
              <c:pt idx="1852">
                <c:v>45103</c:v>
              </c:pt>
              <c:pt idx="1853">
                <c:v>45104</c:v>
              </c:pt>
              <c:pt idx="1854">
                <c:v>45105</c:v>
              </c:pt>
              <c:pt idx="1855">
                <c:v>45107</c:v>
              </c:pt>
              <c:pt idx="1856">
                <c:v>45110</c:v>
              </c:pt>
              <c:pt idx="1857">
                <c:v>45111</c:v>
              </c:pt>
              <c:pt idx="1858">
                <c:v>45112</c:v>
              </c:pt>
              <c:pt idx="1859">
                <c:v>45113</c:v>
              </c:pt>
              <c:pt idx="1860">
                <c:v>45114</c:v>
              </c:pt>
              <c:pt idx="1861">
                <c:v>45117</c:v>
              </c:pt>
              <c:pt idx="1862">
                <c:v>45118</c:v>
              </c:pt>
              <c:pt idx="1863">
                <c:v>45119</c:v>
              </c:pt>
              <c:pt idx="1864">
                <c:v>45120</c:v>
              </c:pt>
              <c:pt idx="1865">
                <c:v>45121</c:v>
              </c:pt>
              <c:pt idx="1866">
                <c:v>45124</c:v>
              </c:pt>
              <c:pt idx="1867">
                <c:v>45125</c:v>
              </c:pt>
              <c:pt idx="1868">
                <c:v>45126</c:v>
              </c:pt>
              <c:pt idx="1869">
                <c:v>45127</c:v>
              </c:pt>
              <c:pt idx="1870">
                <c:v>45128</c:v>
              </c:pt>
              <c:pt idx="1871">
                <c:v>45131</c:v>
              </c:pt>
              <c:pt idx="1872">
                <c:v>45132</c:v>
              </c:pt>
              <c:pt idx="1873">
                <c:v>45133</c:v>
              </c:pt>
              <c:pt idx="1874">
                <c:v>45134</c:v>
              </c:pt>
              <c:pt idx="1875">
                <c:v>45135</c:v>
              </c:pt>
              <c:pt idx="1876">
                <c:v>45138</c:v>
              </c:pt>
              <c:pt idx="1877">
                <c:v>45139</c:v>
              </c:pt>
              <c:pt idx="1878">
                <c:v>45140</c:v>
              </c:pt>
              <c:pt idx="1879">
                <c:v>45141</c:v>
              </c:pt>
              <c:pt idx="1880">
                <c:v>45142</c:v>
              </c:pt>
              <c:pt idx="1881">
                <c:v>45145</c:v>
              </c:pt>
              <c:pt idx="1882">
                <c:v>45146</c:v>
              </c:pt>
              <c:pt idx="1883">
                <c:v>45147</c:v>
              </c:pt>
              <c:pt idx="1884">
                <c:v>45148</c:v>
              </c:pt>
              <c:pt idx="1885">
                <c:v>45149</c:v>
              </c:pt>
              <c:pt idx="1886">
                <c:v>45152</c:v>
              </c:pt>
              <c:pt idx="1887">
                <c:v>45154</c:v>
              </c:pt>
              <c:pt idx="1888">
                <c:v>45155</c:v>
              </c:pt>
              <c:pt idx="1889">
                <c:v>45156</c:v>
              </c:pt>
              <c:pt idx="1890">
                <c:v>45159</c:v>
              </c:pt>
              <c:pt idx="1891">
                <c:v>45160</c:v>
              </c:pt>
              <c:pt idx="1892">
                <c:v>45161</c:v>
              </c:pt>
              <c:pt idx="1893">
                <c:v>45162</c:v>
              </c:pt>
              <c:pt idx="1894">
                <c:v>45163</c:v>
              </c:pt>
              <c:pt idx="1895">
                <c:v>45166</c:v>
              </c:pt>
              <c:pt idx="1896">
                <c:v>45167</c:v>
              </c:pt>
              <c:pt idx="1897">
                <c:v>45168</c:v>
              </c:pt>
              <c:pt idx="1898">
                <c:v>45169</c:v>
              </c:pt>
              <c:pt idx="1899">
                <c:v>45170</c:v>
              </c:pt>
              <c:pt idx="1900">
                <c:v>45173</c:v>
              </c:pt>
              <c:pt idx="1901">
                <c:v>45174</c:v>
              </c:pt>
              <c:pt idx="1902">
                <c:v>45175</c:v>
              </c:pt>
              <c:pt idx="1903">
                <c:v>45176</c:v>
              </c:pt>
              <c:pt idx="1904">
                <c:v>45177</c:v>
              </c:pt>
              <c:pt idx="1905">
                <c:v>45180</c:v>
              </c:pt>
              <c:pt idx="1906">
                <c:v>45181</c:v>
              </c:pt>
              <c:pt idx="1907">
                <c:v>45182</c:v>
              </c:pt>
              <c:pt idx="1908">
                <c:v>45183</c:v>
              </c:pt>
              <c:pt idx="1909">
                <c:v>45184</c:v>
              </c:pt>
              <c:pt idx="1910">
                <c:v>45187</c:v>
              </c:pt>
              <c:pt idx="1911">
                <c:v>45189</c:v>
              </c:pt>
              <c:pt idx="1912">
                <c:v>45190</c:v>
              </c:pt>
              <c:pt idx="1913">
                <c:v>45191</c:v>
              </c:pt>
              <c:pt idx="1914">
                <c:v>45194</c:v>
              </c:pt>
              <c:pt idx="1915">
                <c:v>45195</c:v>
              </c:pt>
              <c:pt idx="1916">
                <c:v>45196</c:v>
              </c:pt>
              <c:pt idx="1917">
                <c:v>45197</c:v>
              </c:pt>
              <c:pt idx="1918">
                <c:v>45198</c:v>
              </c:pt>
              <c:pt idx="1919">
                <c:v>45202</c:v>
              </c:pt>
              <c:pt idx="1920">
                <c:v>45203</c:v>
              </c:pt>
              <c:pt idx="1921">
                <c:v>45204</c:v>
              </c:pt>
              <c:pt idx="1922">
                <c:v>45205</c:v>
              </c:pt>
              <c:pt idx="1923">
                <c:v>45208</c:v>
              </c:pt>
              <c:pt idx="1924">
                <c:v>45209</c:v>
              </c:pt>
              <c:pt idx="1925">
                <c:v>45210</c:v>
              </c:pt>
              <c:pt idx="1926">
                <c:v>45211</c:v>
              </c:pt>
              <c:pt idx="1927">
                <c:v>45212</c:v>
              </c:pt>
              <c:pt idx="1928">
                <c:v>45215</c:v>
              </c:pt>
              <c:pt idx="1929">
                <c:v>45216</c:v>
              </c:pt>
              <c:pt idx="1930">
                <c:v>45217</c:v>
              </c:pt>
              <c:pt idx="1931">
                <c:v>45218</c:v>
              </c:pt>
              <c:pt idx="1932">
                <c:v>45219</c:v>
              </c:pt>
              <c:pt idx="1933">
                <c:v>45222</c:v>
              </c:pt>
              <c:pt idx="1934">
                <c:v>45224</c:v>
              </c:pt>
              <c:pt idx="1935">
                <c:v>45225</c:v>
              </c:pt>
              <c:pt idx="1936">
                <c:v>45226</c:v>
              </c:pt>
              <c:pt idx="1937">
                <c:v>45229</c:v>
              </c:pt>
              <c:pt idx="1938">
                <c:v>45230</c:v>
              </c:pt>
              <c:pt idx="1939">
                <c:v>45231</c:v>
              </c:pt>
              <c:pt idx="1940">
                <c:v>45232</c:v>
              </c:pt>
              <c:pt idx="1941">
                <c:v>45233</c:v>
              </c:pt>
              <c:pt idx="1942">
                <c:v>45236</c:v>
              </c:pt>
              <c:pt idx="1943">
                <c:v>45237</c:v>
              </c:pt>
              <c:pt idx="1944">
                <c:v>45238</c:v>
              </c:pt>
              <c:pt idx="1945">
                <c:v>45239</c:v>
              </c:pt>
              <c:pt idx="1946">
                <c:v>45240</c:v>
              </c:pt>
              <c:pt idx="1947">
                <c:v>45242</c:v>
              </c:pt>
              <c:pt idx="1948">
                <c:v>45243</c:v>
              </c:pt>
              <c:pt idx="1949">
                <c:v>45245</c:v>
              </c:pt>
              <c:pt idx="1950">
                <c:v>45246</c:v>
              </c:pt>
              <c:pt idx="1951">
                <c:v>45247</c:v>
              </c:pt>
              <c:pt idx="1952">
                <c:v>45250</c:v>
              </c:pt>
              <c:pt idx="1953">
                <c:v>45251</c:v>
              </c:pt>
              <c:pt idx="1954">
                <c:v>45252</c:v>
              </c:pt>
              <c:pt idx="1955">
                <c:v>45253</c:v>
              </c:pt>
              <c:pt idx="1956">
                <c:v>45254</c:v>
              </c:pt>
              <c:pt idx="1957">
                <c:v>45258</c:v>
              </c:pt>
              <c:pt idx="1958">
                <c:v>45259</c:v>
              </c:pt>
              <c:pt idx="1959">
                <c:v>45260</c:v>
              </c:pt>
              <c:pt idx="1960">
                <c:v>45261</c:v>
              </c:pt>
              <c:pt idx="1961">
                <c:v>45264</c:v>
              </c:pt>
              <c:pt idx="1962">
                <c:v>45265</c:v>
              </c:pt>
              <c:pt idx="1963">
                <c:v>45266</c:v>
              </c:pt>
              <c:pt idx="1964">
                <c:v>45267</c:v>
              </c:pt>
              <c:pt idx="1965">
                <c:v>45268</c:v>
              </c:pt>
              <c:pt idx="1966">
                <c:v>45271</c:v>
              </c:pt>
              <c:pt idx="1967">
                <c:v>45272</c:v>
              </c:pt>
              <c:pt idx="1968">
                <c:v>45273</c:v>
              </c:pt>
              <c:pt idx="1969">
                <c:v>45274</c:v>
              </c:pt>
              <c:pt idx="1970">
                <c:v>45275</c:v>
              </c:pt>
              <c:pt idx="1971">
                <c:v>45278</c:v>
              </c:pt>
              <c:pt idx="1972">
                <c:v>45279</c:v>
              </c:pt>
              <c:pt idx="1973">
                <c:v>45280</c:v>
              </c:pt>
              <c:pt idx="1974">
                <c:v>45281</c:v>
              </c:pt>
              <c:pt idx="1975">
                <c:v>45282</c:v>
              </c:pt>
              <c:pt idx="1976">
                <c:v>45286</c:v>
              </c:pt>
              <c:pt idx="1977">
                <c:v>45287</c:v>
              </c:pt>
              <c:pt idx="1978">
                <c:v>45288</c:v>
              </c:pt>
              <c:pt idx="1979">
                <c:v>45289</c:v>
              </c:pt>
              <c:pt idx="1980">
                <c:v>45292</c:v>
              </c:pt>
              <c:pt idx="1981">
                <c:v>45293</c:v>
              </c:pt>
              <c:pt idx="1982">
                <c:v>45294</c:v>
              </c:pt>
              <c:pt idx="1983">
                <c:v>45295</c:v>
              </c:pt>
              <c:pt idx="1984">
                <c:v>45296</c:v>
              </c:pt>
              <c:pt idx="1985">
                <c:v>45299</c:v>
              </c:pt>
              <c:pt idx="1986">
                <c:v>45300</c:v>
              </c:pt>
              <c:pt idx="1987">
                <c:v>45301</c:v>
              </c:pt>
              <c:pt idx="1988">
                <c:v>45302</c:v>
              </c:pt>
              <c:pt idx="1989">
                <c:v>45303</c:v>
              </c:pt>
              <c:pt idx="1990">
                <c:v>45306</c:v>
              </c:pt>
              <c:pt idx="1991">
                <c:v>45307</c:v>
              </c:pt>
              <c:pt idx="1992">
                <c:v>45308</c:v>
              </c:pt>
              <c:pt idx="1993">
                <c:v>45309</c:v>
              </c:pt>
              <c:pt idx="1994">
                <c:v>45310</c:v>
              </c:pt>
              <c:pt idx="1995">
                <c:v>45311</c:v>
              </c:pt>
              <c:pt idx="1996">
                <c:v>45314</c:v>
              </c:pt>
              <c:pt idx="1997">
                <c:v>45315</c:v>
              </c:pt>
              <c:pt idx="1998">
                <c:v>45316</c:v>
              </c:pt>
              <c:pt idx="1999">
                <c:v>45320</c:v>
              </c:pt>
              <c:pt idx="2000">
                <c:v>45321</c:v>
              </c:pt>
              <c:pt idx="2001">
                <c:v>45322</c:v>
              </c:pt>
              <c:pt idx="2002">
                <c:v>45323</c:v>
              </c:pt>
              <c:pt idx="2003">
                <c:v>45324</c:v>
              </c:pt>
              <c:pt idx="2004">
                <c:v>45327</c:v>
              </c:pt>
              <c:pt idx="2005">
                <c:v>45328</c:v>
              </c:pt>
              <c:pt idx="2006">
                <c:v>45329</c:v>
              </c:pt>
              <c:pt idx="2007">
                <c:v>45330</c:v>
              </c:pt>
              <c:pt idx="2008">
                <c:v>45331</c:v>
              </c:pt>
              <c:pt idx="2009">
                <c:v>45334</c:v>
              </c:pt>
              <c:pt idx="2010">
                <c:v>45335</c:v>
              </c:pt>
              <c:pt idx="2011">
                <c:v>45336</c:v>
              </c:pt>
              <c:pt idx="2012">
                <c:v>45337</c:v>
              </c:pt>
              <c:pt idx="2013">
                <c:v>45338</c:v>
              </c:pt>
              <c:pt idx="2014">
                <c:v>45341</c:v>
              </c:pt>
              <c:pt idx="2015">
                <c:v>45342</c:v>
              </c:pt>
              <c:pt idx="2016">
                <c:v>45343</c:v>
              </c:pt>
              <c:pt idx="2017">
                <c:v>45344</c:v>
              </c:pt>
              <c:pt idx="2018">
                <c:v>45345</c:v>
              </c:pt>
              <c:pt idx="2019">
                <c:v>45348</c:v>
              </c:pt>
              <c:pt idx="2020">
                <c:v>45349</c:v>
              </c:pt>
              <c:pt idx="2021">
                <c:v>45350</c:v>
              </c:pt>
              <c:pt idx="2022">
                <c:v>45351</c:v>
              </c:pt>
              <c:pt idx="2023">
                <c:v>45352</c:v>
              </c:pt>
              <c:pt idx="2024">
                <c:v>45353</c:v>
              </c:pt>
              <c:pt idx="2025">
                <c:v>45355</c:v>
              </c:pt>
              <c:pt idx="2026">
                <c:v>45356</c:v>
              </c:pt>
              <c:pt idx="2027">
                <c:v>45357</c:v>
              </c:pt>
              <c:pt idx="2028">
                <c:v>45358</c:v>
              </c:pt>
              <c:pt idx="2029">
                <c:v>45362</c:v>
              </c:pt>
              <c:pt idx="2030">
                <c:v>45363</c:v>
              </c:pt>
              <c:pt idx="2031">
                <c:v>45364</c:v>
              </c:pt>
              <c:pt idx="2032">
                <c:v>45365</c:v>
              </c:pt>
              <c:pt idx="2033">
                <c:v>45366</c:v>
              </c:pt>
              <c:pt idx="2034">
                <c:v>45369</c:v>
              </c:pt>
              <c:pt idx="2035">
                <c:v>45370</c:v>
              </c:pt>
              <c:pt idx="2036">
                <c:v>45371</c:v>
              </c:pt>
              <c:pt idx="2037">
                <c:v>45372</c:v>
              </c:pt>
              <c:pt idx="2038">
                <c:v>45373</c:v>
              </c:pt>
              <c:pt idx="2039">
                <c:v>45377</c:v>
              </c:pt>
              <c:pt idx="2040">
                <c:v>45378</c:v>
              </c:pt>
              <c:pt idx="2041">
                <c:v>45379</c:v>
              </c:pt>
              <c:pt idx="2042">
                <c:v>45383</c:v>
              </c:pt>
              <c:pt idx="2043">
                <c:v>45384</c:v>
              </c:pt>
              <c:pt idx="2044">
                <c:v>45385</c:v>
              </c:pt>
              <c:pt idx="2045">
                <c:v>45386</c:v>
              </c:pt>
              <c:pt idx="2046">
                <c:v>45387</c:v>
              </c:pt>
              <c:pt idx="2047">
                <c:v>45390</c:v>
              </c:pt>
              <c:pt idx="2048">
                <c:v>45391</c:v>
              </c:pt>
              <c:pt idx="2049">
                <c:v>45392</c:v>
              </c:pt>
              <c:pt idx="2050">
                <c:v>45394</c:v>
              </c:pt>
              <c:pt idx="2051">
                <c:v>45397</c:v>
              </c:pt>
              <c:pt idx="2052">
                <c:v>45398</c:v>
              </c:pt>
              <c:pt idx="2053">
                <c:v>45400</c:v>
              </c:pt>
              <c:pt idx="2054">
                <c:v>45401</c:v>
              </c:pt>
              <c:pt idx="2055">
                <c:v>45404</c:v>
              </c:pt>
              <c:pt idx="2056">
                <c:v>45405</c:v>
              </c:pt>
              <c:pt idx="2057">
                <c:v>45406</c:v>
              </c:pt>
              <c:pt idx="2058">
                <c:v>45407</c:v>
              </c:pt>
              <c:pt idx="2059">
                <c:v>45408</c:v>
              </c:pt>
              <c:pt idx="2060">
                <c:v>45411</c:v>
              </c:pt>
              <c:pt idx="2061">
                <c:v>45412</c:v>
              </c:pt>
              <c:pt idx="2062">
                <c:v>45414</c:v>
              </c:pt>
              <c:pt idx="2063">
                <c:v>45415</c:v>
              </c:pt>
              <c:pt idx="2064">
                <c:v>45418</c:v>
              </c:pt>
              <c:pt idx="2065">
                <c:v>45419</c:v>
              </c:pt>
              <c:pt idx="2066">
                <c:v>45420</c:v>
              </c:pt>
              <c:pt idx="2067">
                <c:v>45421</c:v>
              </c:pt>
              <c:pt idx="2068">
                <c:v>45422</c:v>
              </c:pt>
              <c:pt idx="2069">
                <c:v>45425</c:v>
              </c:pt>
              <c:pt idx="2070">
                <c:v>45426</c:v>
              </c:pt>
              <c:pt idx="2071">
                <c:v>45427</c:v>
              </c:pt>
              <c:pt idx="2072">
                <c:v>45428</c:v>
              </c:pt>
              <c:pt idx="2073">
                <c:v>45429</c:v>
              </c:pt>
              <c:pt idx="2074">
                <c:v>45430</c:v>
              </c:pt>
              <c:pt idx="2075">
                <c:v>45433</c:v>
              </c:pt>
              <c:pt idx="2076">
                <c:v>45434</c:v>
              </c:pt>
              <c:pt idx="2077">
                <c:v>45435</c:v>
              </c:pt>
              <c:pt idx="2078">
                <c:v>45436</c:v>
              </c:pt>
              <c:pt idx="2079">
                <c:v>45439</c:v>
              </c:pt>
              <c:pt idx="2080">
                <c:v>45440</c:v>
              </c:pt>
              <c:pt idx="2081">
                <c:v>45441</c:v>
              </c:pt>
              <c:pt idx="2082">
                <c:v>45442</c:v>
              </c:pt>
              <c:pt idx="2083">
                <c:v>45443</c:v>
              </c:pt>
              <c:pt idx="2084">
                <c:v>45446</c:v>
              </c:pt>
              <c:pt idx="2085">
                <c:v>45447</c:v>
              </c:pt>
              <c:pt idx="2086">
                <c:v>45448</c:v>
              </c:pt>
              <c:pt idx="2087">
                <c:v>45449</c:v>
              </c:pt>
              <c:pt idx="2088">
                <c:v>45450</c:v>
              </c:pt>
              <c:pt idx="2089">
                <c:v>45453</c:v>
              </c:pt>
              <c:pt idx="2090">
                <c:v>45454</c:v>
              </c:pt>
              <c:pt idx="2091">
                <c:v>45455</c:v>
              </c:pt>
              <c:pt idx="2092">
                <c:v>45456</c:v>
              </c:pt>
              <c:pt idx="2093">
                <c:v>45457</c:v>
              </c:pt>
              <c:pt idx="2094">
                <c:v>45461</c:v>
              </c:pt>
              <c:pt idx="2095">
                <c:v>45462</c:v>
              </c:pt>
              <c:pt idx="2096">
                <c:v>45463</c:v>
              </c:pt>
              <c:pt idx="2097">
                <c:v>45464</c:v>
              </c:pt>
              <c:pt idx="2098">
                <c:v>45467</c:v>
              </c:pt>
              <c:pt idx="2099">
                <c:v>45468</c:v>
              </c:pt>
              <c:pt idx="2100">
                <c:v>45469</c:v>
              </c:pt>
              <c:pt idx="2101">
                <c:v>45470</c:v>
              </c:pt>
              <c:pt idx="2102">
                <c:v>45471</c:v>
              </c:pt>
              <c:pt idx="2103">
                <c:v>45474</c:v>
              </c:pt>
              <c:pt idx="2104">
                <c:v>45475</c:v>
              </c:pt>
              <c:pt idx="2105">
                <c:v>45476</c:v>
              </c:pt>
              <c:pt idx="2106">
                <c:v>45477</c:v>
              </c:pt>
              <c:pt idx="2107">
                <c:v>45478</c:v>
              </c:pt>
              <c:pt idx="2108">
                <c:v>45481</c:v>
              </c:pt>
              <c:pt idx="2109">
                <c:v>45482</c:v>
              </c:pt>
              <c:pt idx="2110">
                <c:v>45483</c:v>
              </c:pt>
              <c:pt idx="2111">
                <c:v>45484</c:v>
              </c:pt>
              <c:pt idx="2112">
                <c:v>45485</c:v>
              </c:pt>
              <c:pt idx="2113">
                <c:v>45488</c:v>
              </c:pt>
              <c:pt idx="2114">
                <c:v>45489</c:v>
              </c:pt>
              <c:pt idx="2115">
                <c:v>45491</c:v>
              </c:pt>
              <c:pt idx="2116">
                <c:v>45492</c:v>
              </c:pt>
              <c:pt idx="2117">
                <c:v>45495</c:v>
              </c:pt>
              <c:pt idx="2118">
                <c:v>45496</c:v>
              </c:pt>
              <c:pt idx="2119">
                <c:v>45497</c:v>
              </c:pt>
              <c:pt idx="2120">
                <c:v>45498</c:v>
              </c:pt>
              <c:pt idx="2121">
                <c:v>45499</c:v>
              </c:pt>
              <c:pt idx="2122">
                <c:v>45502</c:v>
              </c:pt>
              <c:pt idx="2123">
                <c:v>45503</c:v>
              </c:pt>
              <c:pt idx="2124">
                <c:v>45504</c:v>
              </c:pt>
              <c:pt idx="2125">
                <c:v>45505</c:v>
              </c:pt>
              <c:pt idx="2126">
                <c:v>45506</c:v>
              </c:pt>
              <c:pt idx="2127">
                <c:v>45509</c:v>
              </c:pt>
              <c:pt idx="2128">
                <c:v>45510</c:v>
              </c:pt>
              <c:pt idx="2129">
                <c:v>45511</c:v>
              </c:pt>
              <c:pt idx="2130">
                <c:v>45512</c:v>
              </c:pt>
              <c:pt idx="2131">
                <c:v>45513</c:v>
              </c:pt>
              <c:pt idx="2132">
                <c:v>45516</c:v>
              </c:pt>
              <c:pt idx="2133">
                <c:v>45517</c:v>
              </c:pt>
              <c:pt idx="2134">
                <c:v>45518</c:v>
              </c:pt>
              <c:pt idx="2135">
                <c:v>45520</c:v>
              </c:pt>
              <c:pt idx="2136">
                <c:v>45523</c:v>
              </c:pt>
              <c:pt idx="2137">
                <c:v>45524</c:v>
              </c:pt>
              <c:pt idx="2138">
                <c:v>45525</c:v>
              </c:pt>
              <c:pt idx="2139">
                <c:v>45526</c:v>
              </c:pt>
              <c:pt idx="2140">
                <c:v>45527</c:v>
              </c:pt>
              <c:pt idx="2141">
                <c:v>45530</c:v>
              </c:pt>
              <c:pt idx="2142">
                <c:v>45531</c:v>
              </c:pt>
              <c:pt idx="2143">
                <c:v>45532</c:v>
              </c:pt>
              <c:pt idx="2144">
                <c:v>45533</c:v>
              </c:pt>
              <c:pt idx="2145">
                <c:v>45534</c:v>
              </c:pt>
              <c:pt idx="2146">
                <c:v>45537</c:v>
              </c:pt>
              <c:pt idx="2147">
                <c:v>45538</c:v>
              </c:pt>
              <c:pt idx="2148">
                <c:v>45539</c:v>
              </c:pt>
              <c:pt idx="2149">
                <c:v>45540</c:v>
              </c:pt>
              <c:pt idx="2150">
                <c:v>45541</c:v>
              </c:pt>
              <c:pt idx="2151">
                <c:v>45544</c:v>
              </c:pt>
              <c:pt idx="2152">
                <c:v>45545</c:v>
              </c:pt>
              <c:pt idx="2153">
                <c:v>45546</c:v>
              </c:pt>
              <c:pt idx="2154">
                <c:v>45547</c:v>
              </c:pt>
              <c:pt idx="2155">
                <c:v>45548</c:v>
              </c:pt>
              <c:pt idx="2156">
                <c:v>45551</c:v>
              </c:pt>
              <c:pt idx="2157">
                <c:v>45552</c:v>
              </c:pt>
              <c:pt idx="2158">
                <c:v>45553</c:v>
              </c:pt>
              <c:pt idx="2159">
                <c:v>45554</c:v>
              </c:pt>
              <c:pt idx="2160">
                <c:v>45555</c:v>
              </c:pt>
              <c:pt idx="2161">
                <c:v>45558</c:v>
              </c:pt>
              <c:pt idx="2162">
                <c:v>45559</c:v>
              </c:pt>
              <c:pt idx="2163">
                <c:v>45560</c:v>
              </c:pt>
              <c:pt idx="2164">
                <c:v>45561</c:v>
              </c:pt>
              <c:pt idx="2165">
                <c:v>45562</c:v>
              </c:pt>
              <c:pt idx="2166">
                <c:v>45565</c:v>
              </c:pt>
              <c:pt idx="2167">
                <c:v>45566</c:v>
              </c:pt>
              <c:pt idx="2168">
                <c:v>45568</c:v>
              </c:pt>
              <c:pt idx="2169">
                <c:v>45569</c:v>
              </c:pt>
              <c:pt idx="2170">
                <c:v>45572</c:v>
              </c:pt>
              <c:pt idx="2171">
                <c:v>45573</c:v>
              </c:pt>
              <c:pt idx="2172">
                <c:v>45574</c:v>
              </c:pt>
              <c:pt idx="2173">
                <c:v>45575</c:v>
              </c:pt>
              <c:pt idx="2174">
                <c:v>45576</c:v>
              </c:pt>
              <c:pt idx="2175">
                <c:v>45579</c:v>
              </c:pt>
              <c:pt idx="2176">
                <c:v>45580</c:v>
              </c:pt>
              <c:pt idx="2177">
                <c:v>45581</c:v>
              </c:pt>
              <c:pt idx="2178">
                <c:v>45582</c:v>
              </c:pt>
              <c:pt idx="2179">
                <c:v>45583</c:v>
              </c:pt>
              <c:pt idx="2180">
                <c:v>45586</c:v>
              </c:pt>
              <c:pt idx="2181">
                <c:v>45587</c:v>
              </c:pt>
              <c:pt idx="2182">
                <c:v>45588</c:v>
              </c:pt>
              <c:pt idx="2183">
                <c:v>45589</c:v>
              </c:pt>
              <c:pt idx="2184">
                <c:v>45590</c:v>
              </c:pt>
              <c:pt idx="2185">
                <c:v>45593</c:v>
              </c:pt>
              <c:pt idx="2186">
                <c:v>45594</c:v>
              </c:pt>
              <c:pt idx="2187">
                <c:v>45595</c:v>
              </c:pt>
              <c:pt idx="2188">
                <c:v>45596</c:v>
              </c:pt>
              <c:pt idx="2189">
                <c:v>45597</c:v>
              </c:pt>
              <c:pt idx="2190">
                <c:v>45600</c:v>
              </c:pt>
              <c:pt idx="2191">
                <c:v>45601</c:v>
              </c:pt>
              <c:pt idx="2192">
                <c:v>45602</c:v>
              </c:pt>
              <c:pt idx="2193">
                <c:v>45603</c:v>
              </c:pt>
              <c:pt idx="2194">
                <c:v>45604</c:v>
              </c:pt>
              <c:pt idx="2195">
                <c:v>45607</c:v>
              </c:pt>
              <c:pt idx="2196">
                <c:v>45608</c:v>
              </c:pt>
              <c:pt idx="2197">
                <c:v>45609</c:v>
              </c:pt>
              <c:pt idx="2198">
                <c:v>45610</c:v>
              </c:pt>
              <c:pt idx="2199">
                <c:v>45614</c:v>
              </c:pt>
              <c:pt idx="2200">
                <c:v>45615</c:v>
              </c:pt>
              <c:pt idx="2201">
                <c:v>45617</c:v>
              </c:pt>
              <c:pt idx="2202">
                <c:v>45618</c:v>
              </c:pt>
              <c:pt idx="2203">
                <c:v>45621</c:v>
              </c:pt>
              <c:pt idx="2204">
                <c:v>45622</c:v>
              </c:pt>
              <c:pt idx="2205">
                <c:v>45623</c:v>
              </c:pt>
              <c:pt idx="2206">
                <c:v>45624</c:v>
              </c:pt>
              <c:pt idx="2207">
                <c:v>45625</c:v>
              </c:pt>
              <c:pt idx="2208">
                <c:v>45628</c:v>
              </c:pt>
              <c:pt idx="2209">
                <c:v>45629</c:v>
              </c:pt>
              <c:pt idx="2210">
                <c:v>45630</c:v>
              </c:pt>
              <c:pt idx="2211">
                <c:v>45631</c:v>
              </c:pt>
              <c:pt idx="2212">
                <c:v>45632</c:v>
              </c:pt>
              <c:pt idx="2213">
                <c:v>45635</c:v>
              </c:pt>
              <c:pt idx="2214">
                <c:v>45636</c:v>
              </c:pt>
              <c:pt idx="2215">
                <c:v>45637</c:v>
              </c:pt>
              <c:pt idx="2216">
                <c:v>45638</c:v>
              </c:pt>
              <c:pt idx="2217">
                <c:v>45639</c:v>
              </c:pt>
              <c:pt idx="2218">
                <c:v>45642</c:v>
              </c:pt>
              <c:pt idx="2219">
                <c:v>45643</c:v>
              </c:pt>
              <c:pt idx="2220">
                <c:v>45644</c:v>
              </c:pt>
              <c:pt idx="2221">
                <c:v>45645</c:v>
              </c:pt>
              <c:pt idx="2222">
                <c:v>45646</c:v>
              </c:pt>
              <c:pt idx="2223">
                <c:v>45649</c:v>
              </c:pt>
              <c:pt idx="2224">
                <c:v>45650</c:v>
              </c:pt>
              <c:pt idx="2225">
                <c:v>45652</c:v>
              </c:pt>
              <c:pt idx="2226">
                <c:v>45653</c:v>
              </c:pt>
              <c:pt idx="2227">
                <c:v>45656</c:v>
              </c:pt>
              <c:pt idx="2228">
                <c:v>45657</c:v>
              </c:pt>
              <c:pt idx="2229">
                <c:v>45658</c:v>
              </c:pt>
              <c:pt idx="2230">
                <c:v>45659</c:v>
              </c:pt>
              <c:pt idx="2231">
                <c:v>45660</c:v>
              </c:pt>
              <c:pt idx="2232">
                <c:v>45663</c:v>
              </c:pt>
              <c:pt idx="2233">
                <c:v>45664</c:v>
              </c:pt>
              <c:pt idx="2234">
                <c:v>45665</c:v>
              </c:pt>
              <c:pt idx="2235">
                <c:v>45666</c:v>
              </c:pt>
              <c:pt idx="2236">
                <c:v>45667</c:v>
              </c:pt>
              <c:pt idx="2237">
                <c:v>45670</c:v>
              </c:pt>
              <c:pt idx="2238">
                <c:v>45671</c:v>
              </c:pt>
              <c:pt idx="2239">
                <c:v>45672</c:v>
              </c:pt>
              <c:pt idx="2240">
                <c:v>45673</c:v>
              </c:pt>
              <c:pt idx="2241">
                <c:v>45674</c:v>
              </c:pt>
              <c:pt idx="2242">
                <c:v>45677</c:v>
              </c:pt>
              <c:pt idx="2243">
                <c:v>45678</c:v>
              </c:pt>
              <c:pt idx="2244">
                <c:v>45679</c:v>
              </c:pt>
              <c:pt idx="2245">
                <c:v>45680</c:v>
              </c:pt>
              <c:pt idx="2246">
                <c:v>45681</c:v>
              </c:pt>
              <c:pt idx="2247">
                <c:v>45684</c:v>
              </c:pt>
              <c:pt idx="2248">
                <c:v>45685</c:v>
              </c:pt>
              <c:pt idx="2249">
                <c:v>45686</c:v>
              </c:pt>
              <c:pt idx="2250">
                <c:v>45687</c:v>
              </c:pt>
              <c:pt idx="2251">
                <c:v>45688</c:v>
              </c:pt>
              <c:pt idx="2252">
                <c:v>45689</c:v>
              </c:pt>
              <c:pt idx="2253">
                <c:v>45691</c:v>
              </c:pt>
              <c:pt idx="2254">
                <c:v>45692</c:v>
              </c:pt>
              <c:pt idx="2255">
                <c:v>45693</c:v>
              </c:pt>
              <c:pt idx="2256">
                <c:v>45694</c:v>
              </c:pt>
              <c:pt idx="2257">
                <c:v>45695</c:v>
              </c:pt>
              <c:pt idx="2258">
                <c:v>45698</c:v>
              </c:pt>
              <c:pt idx="2259">
                <c:v>45699</c:v>
              </c:pt>
              <c:pt idx="2260">
                <c:v>45700</c:v>
              </c:pt>
              <c:pt idx="2261">
                <c:v>45701</c:v>
              </c:pt>
              <c:pt idx="2262">
                <c:v>45702</c:v>
              </c:pt>
              <c:pt idx="2263">
                <c:v>45705</c:v>
              </c:pt>
              <c:pt idx="2264">
                <c:v>45706</c:v>
              </c:pt>
              <c:pt idx="2265">
                <c:v>45707</c:v>
              </c:pt>
              <c:pt idx="2266">
                <c:v>45708</c:v>
              </c:pt>
              <c:pt idx="2267">
                <c:v>45709</c:v>
              </c:pt>
              <c:pt idx="2268">
                <c:v>45712</c:v>
              </c:pt>
              <c:pt idx="2269">
                <c:v>45713</c:v>
              </c:pt>
              <c:pt idx="2270">
                <c:v>45715</c:v>
              </c:pt>
              <c:pt idx="2271">
                <c:v>45716</c:v>
              </c:pt>
              <c:pt idx="2272">
                <c:v>45719</c:v>
              </c:pt>
              <c:pt idx="2273">
                <c:v>45720</c:v>
              </c:pt>
              <c:pt idx="2274">
                <c:v>45721</c:v>
              </c:pt>
              <c:pt idx="2275">
                <c:v>45722</c:v>
              </c:pt>
              <c:pt idx="2276">
                <c:v>45723</c:v>
              </c:pt>
              <c:pt idx="2277">
                <c:v>45726</c:v>
              </c:pt>
              <c:pt idx="2278">
                <c:v>45727</c:v>
              </c:pt>
              <c:pt idx="2279">
                <c:v>45728</c:v>
              </c:pt>
              <c:pt idx="2280">
                <c:v>45729</c:v>
              </c:pt>
              <c:pt idx="2281">
                <c:v>45733</c:v>
              </c:pt>
              <c:pt idx="2282">
                <c:v>45734</c:v>
              </c:pt>
              <c:pt idx="2283">
                <c:v>45735</c:v>
              </c:pt>
              <c:pt idx="2284">
                <c:v>45736</c:v>
              </c:pt>
              <c:pt idx="2285">
                <c:v>45737</c:v>
              </c:pt>
              <c:pt idx="2286">
                <c:v>45740</c:v>
              </c:pt>
              <c:pt idx="2287">
                <c:v>45741</c:v>
              </c:pt>
              <c:pt idx="2288">
                <c:v>45742</c:v>
              </c:pt>
              <c:pt idx="2289">
                <c:v>45743</c:v>
              </c:pt>
              <c:pt idx="2290">
                <c:v>45744</c:v>
              </c:pt>
              <c:pt idx="2291">
                <c:v>45748</c:v>
              </c:pt>
              <c:pt idx="2292">
                <c:v>45749</c:v>
              </c:pt>
              <c:pt idx="2293">
                <c:v>45750</c:v>
              </c:pt>
              <c:pt idx="2294">
                <c:v>45751</c:v>
              </c:pt>
              <c:pt idx="2295">
                <c:v>45754</c:v>
              </c:pt>
              <c:pt idx="2296">
                <c:v>45755</c:v>
              </c:pt>
              <c:pt idx="2297">
                <c:v>45756</c:v>
              </c:pt>
              <c:pt idx="2298">
                <c:v>45758</c:v>
              </c:pt>
              <c:pt idx="2299">
                <c:v>45762</c:v>
              </c:pt>
              <c:pt idx="2300">
                <c:v>45763</c:v>
              </c:pt>
              <c:pt idx="2301">
                <c:v>45764</c:v>
              </c:pt>
              <c:pt idx="2302">
                <c:v>45768</c:v>
              </c:pt>
              <c:pt idx="2303">
                <c:v>45769</c:v>
              </c:pt>
              <c:pt idx="2304">
                <c:v>45770</c:v>
              </c:pt>
              <c:pt idx="2305">
                <c:v>45771</c:v>
              </c:pt>
              <c:pt idx="2306">
                <c:v>45772</c:v>
              </c:pt>
              <c:pt idx="2307">
                <c:v>45775</c:v>
              </c:pt>
              <c:pt idx="2308">
                <c:v>45776</c:v>
              </c:pt>
              <c:pt idx="2309">
                <c:v>45777</c:v>
              </c:pt>
              <c:pt idx="2310">
                <c:v>45779</c:v>
              </c:pt>
              <c:pt idx="2311">
                <c:v>45782</c:v>
              </c:pt>
              <c:pt idx="2312">
                <c:v>45783</c:v>
              </c:pt>
              <c:pt idx="2313">
                <c:v>45784</c:v>
              </c:pt>
              <c:pt idx="2314">
                <c:v>45785</c:v>
              </c:pt>
              <c:pt idx="2315">
                <c:v>45786</c:v>
              </c:pt>
              <c:pt idx="2316">
                <c:v>45789</c:v>
              </c:pt>
              <c:pt idx="2317">
                <c:v>45790</c:v>
              </c:pt>
              <c:pt idx="2318">
                <c:v>45791</c:v>
              </c:pt>
              <c:pt idx="2319">
                <c:v>45792</c:v>
              </c:pt>
              <c:pt idx="2320">
                <c:v>45793</c:v>
              </c:pt>
              <c:pt idx="2321">
                <c:v>45796</c:v>
              </c:pt>
              <c:pt idx="2322">
                <c:v>45797</c:v>
              </c:pt>
              <c:pt idx="2323">
                <c:v>45798</c:v>
              </c:pt>
              <c:pt idx="2324">
                <c:v>45799</c:v>
              </c:pt>
              <c:pt idx="2325">
                <c:v>45800</c:v>
              </c:pt>
              <c:pt idx="2326">
                <c:v>45803</c:v>
              </c:pt>
              <c:pt idx="2327">
                <c:v>45804</c:v>
              </c:pt>
              <c:pt idx="2328">
                <c:v>45805</c:v>
              </c:pt>
              <c:pt idx="2329">
                <c:v>45806</c:v>
              </c:pt>
              <c:pt idx="2330">
                <c:v>45807</c:v>
              </c:pt>
              <c:pt idx="2331">
                <c:v>45810</c:v>
              </c:pt>
              <c:pt idx="2332">
                <c:v>45811</c:v>
              </c:pt>
              <c:pt idx="2333">
                <c:v>45812</c:v>
              </c:pt>
              <c:pt idx="2334">
                <c:v>45813</c:v>
              </c:pt>
              <c:pt idx="2335">
                <c:v>45814</c:v>
              </c:pt>
              <c:pt idx="2336">
                <c:v>45817</c:v>
              </c:pt>
              <c:pt idx="2337">
                <c:v>45818</c:v>
              </c:pt>
              <c:pt idx="2338">
                <c:v>45819</c:v>
              </c:pt>
              <c:pt idx="2339">
                <c:v>45820</c:v>
              </c:pt>
              <c:pt idx="2340">
                <c:v>45821</c:v>
              </c:pt>
              <c:pt idx="2341">
                <c:v>45824</c:v>
              </c:pt>
              <c:pt idx="2342">
                <c:v>45825</c:v>
              </c:pt>
              <c:pt idx="2343">
                <c:v>45826</c:v>
              </c:pt>
              <c:pt idx="2344">
                <c:v>45827</c:v>
              </c:pt>
              <c:pt idx="2345">
                <c:v>45828</c:v>
              </c:pt>
              <c:pt idx="2346">
                <c:v>45831</c:v>
              </c:pt>
              <c:pt idx="2347">
                <c:v>45832</c:v>
              </c:pt>
              <c:pt idx="2348">
                <c:v>45833</c:v>
              </c:pt>
              <c:pt idx="2349">
                <c:v>45834</c:v>
              </c:pt>
              <c:pt idx="2350">
                <c:v>45835</c:v>
              </c:pt>
              <c:pt idx="2351">
                <c:v>45838</c:v>
              </c:pt>
              <c:pt idx="2352">
                <c:v>45839</c:v>
              </c:pt>
              <c:pt idx="2353">
                <c:v>45840</c:v>
              </c:pt>
              <c:pt idx="2354">
                <c:v>45841</c:v>
              </c:pt>
              <c:pt idx="2355">
                <c:v>45842</c:v>
              </c:pt>
              <c:pt idx="2356">
                <c:v>45845</c:v>
              </c:pt>
              <c:pt idx="2357">
                <c:v>45846</c:v>
              </c:pt>
              <c:pt idx="2358">
                <c:v>45847</c:v>
              </c:pt>
              <c:pt idx="2359">
                <c:v>45848</c:v>
              </c:pt>
              <c:pt idx="2360">
                <c:v>45849</c:v>
              </c:pt>
              <c:pt idx="2361">
                <c:v>45852</c:v>
              </c:pt>
              <c:pt idx="2362">
                <c:v>45853</c:v>
              </c:pt>
              <c:pt idx="2363">
                <c:v>45854</c:v>
              </c:pt>
              <c:pt idx="2364">
                <c:v>45855</c:v>
              </c:pt>
              <c:pt idx="2365">
                <c:v>45856</c:v>
              </c:pt>
              <c:pt idx="2366">
                <c:v>45859</c:v>
              </c:pt>
              <c:pt idx="2367">
                <c:v>45860</c:v>
              </c:pt>
              <c:pt idx="2368">
                <c:v>45861</c:v>
              </c:pt>
              <c:pt idx="2369">
                <c:v>45862</c:v>
              </c:pt>
              <c:pt idx="2370">
                <c:v>45863</c:v>
              </c:pt>
              <c:pt idx="2371">
                <c:v>45866</c:v>
              </c:pt>
              <c:pt idx="2372">
                <c:v>45867</c:v>
              </c:pt>
              <c:pt idx="2373">
                <c:v>45868</c:v>
              </c:pt>
              <c:pt idx="2374">
                <c:v>45869</c:v>
              </c:pt>
              <c:pt idx="2375">
                <c:v>45870</c:v>
              </c:pt>
              <c:pt idx="2376">
                <c:v>45873</c:v>
              </c:pt>
              <c:pt idx="2377">
                <c:v>45874</c:v>
              </c:pt>
              <c:pt idx="2378">
                <c:v>45875</c:v>
              </c:pt>
              <c:pt idx="2379">
                <c:v>45876</c:v>
              </c:pt>
              <c:pt idx="2380">
                <c:v>45877</c:v>
              </c:pt>
              <c:pt idx="2381">
                <c:v>45880</c:v>
              </c:pt>
              <c:pt idx="2382">
                <c:v>45881</c:v>
              </c:pt>
              <c:pt idx="2383">
                <c:v>45882</c:v>
              </c:pt>
              <c:pt idx="2384">
                <c:v>45883</c:v>
              </c:pt>
              <c:pt idx="2385">
                <c:v>45887</c:v>
              </c:pt>
              <c:pt idx="2386">
                <c:v>45888</c:v>
              </c:pt>
              <c:pt idx="2387">
                <c:v>45889</c:v>
              </c:pt>
              <c:pt idx="2388">
                <c:v>45890</c:v>
              </c:pt>
              <c:pt idx="2389">
                <c:v>45891</c:v>
              </c:pt>
              <c:pt idx="2390">
                <c:v>45894</c:v>
              </c:pt>
              <c:pt idx="2391">
                <c:v>45895</c:v>
              </c:pt>
              <c:pt idx="2392">
                <c:v>45897</c:v>
              </c:pt>
              <c:pt idx="2393">
                <c:v>45898</c:v>
              </c:pt>
              <c:pt idx="2394">
                <c:v>45901</c:v>
              </c:pt>
              <c:pt idx="2395">
                <c:v>45902</c:v>
              </c:pt>
              <c:pt idx="2396">
                <c:v>45903</c:v>
              </c:pt>
              <c:pt idx="2397">
                <c:v>45904</c:v>
              </c:pt>
              <c:pt idx="2398">
                <c:v>45905</c:v>
              </c:pt>
              <c:pt idx="2399">
                <c:v>45908</c:v>
              </c:pt>
              <c:pt idx="2400">
                <c:v>45909</c:v>
              </c:pt>
              <c:pt idx="2401">
                <c:v>45910</c:v>
              </c:pt>
              <c:pt idx="2402">
                <c:v>45911</c:v>
              </c:pt>
              <c:pt idx="2403">
                <c:v>45912</c:v>
              </c:pt>
              <c:pt idx="2404">
                <c:v>45915</c:v>
              </c:pt>
              <c:pt idx="2405">
                <c:v>45916</c:v>
              </c:pt>
              <c:pt idx="2406">
                <c:v>45917</c:v>
              </c:pt>
              <c:pt idx="2407">
                <c:v>45918</c:v>
              </c:pt>
              <c:pt idx="2408">
                <c:v>45919</c:v>
              </c:pt>
              <c:pt idx="2409">
                <c:v>45922</c:v>
              </c:pt>
              <c:pt idx="2410">
                <c:v>45923</c:v>
              </c:pt>
              <c:pt idx="2411">
                <c:v>45924</c:v>
              </c:pt>
              <c:pt idx="2412">
                <c:v>45925</c:v>
              </c:pt>
              <c:pt idx="2413">
                <c:v>45926</c:v>
              </c:pt>
              <c:pt idx="2414">
                <c:v>45929</c:v>
              </c:pt>
              <c:pt idx="2415">
                <c:v>45930</c:v>
              </c:pt>
              <c:pt idx="2416">
                <c:v>45931</c:v>
              </c:pt>
              <c:pt idx="2417">
                <c:v>45933</c:v>
              </c:pt>
              <c:pt idx="2418">
                <c:v>45936</c:v>
              </c:pt>
              <c:pt idx="2419">
                <c:v>45937</c:v>
              </c:pt>
              <c:pt idx="2420">
                <c:v>45938</c:v>
              </c:pt>
              <c:pt idx="2421">
                <c:v>45939</c:v>
              </c:pt>
              <c:pt idx="2422">
                <c:v>45940</c:v>
              </c:pt>
              <c:pt idx="2423">
                <c:v>45943</c:v>
              </c:pt>
              <c:pt idx="2424">
                <c:v>45944</c:v>
              </c:pt>
              <c:pt idx="2425">
                <c:v>45945</c:v>
              </c:pt>
              <c:pt idx="2426">
                <c:v>45946</c:v>
              </c:pt>
              <c:pt idx="2427">
                <c:v>45947</c:v>
              </c:pt>
              <c:pt idx="2428">
                <c:v>45950</c:v>
              </c:pt>
              <c:pt idx="2429">
                <c:v>45951</c:v>
              </c:pt>
              <c:pt idx="2430">
                <c:v>45953</c:v>
              </c:pt>
              <c:pt idx="2431">
                <c:v>45954</c:v>
              </c:pt>
              <c:pt idx="2432">
                <c:v>45957</c:v>
              </c:pt>
              <c:pt idx="2433">
                <c:v>45958</c:v>
              </c:pt>
              <c:pt idx="2434">
                <c:v>45959</c:v>
              </c:pt>
              <c:pt idx="2435">
                <c:v>45960</c:v>
              </c:pt>
              <c:pt idx="2436">
                <c:v>45961</c:v>
              </c:pt>
              <c:pt idx="2437">
                <c:v>45964</c:v>
              </c:pt>
              <c:pt idx="2438">
                <c:v>45965</c:v>
              </c:pt>
              <c:pt idx="2439">
                <c:v>45967</c:v>
              </c:pt>
              <c:pt idx="2440">
                <c:v>45968</c:v>
              </c:pt>
              <c:pt idx="2441">
                <c:v>45971</c:v>
              </c:pt>
              <c:pt idx="2442">
                <c:v>45972</c:v>
              </c:pt>
              <c:pt idx="2443">
                <c:v>45973</c:v>
              </c:pt>
              <c:pt idx="2444">
                <c:v>45974</c:v>
              </c:pt>
              <c:pt idx="2445">
                <c:v>45975</c:v>
              </c:pt>
              <c:pt idx="2446">
                <c:v>45978</c:v>
              </c:pt>
              <c:pt idx="2447">
                <c:v>45979</c:v>
              </c:pt>
              <c:pt idx="2448">
                <c:v>45980</c:v>
              </c:pt>
              <c:pt idx="2449">
                <c:v>45981</c:v>
              </c:pt>
              <c:pt idx="2450">
                <c:v>45982</c:v>
              </c:pt>
              <c:pt idx="2451">
                <c:v>45985</c:v>
              </c:pt>
              <c:pt idx="2452">
                <c:v>45986</c:v>
              </c:pt>
              <c:pt idx="2453">
                <c:v>45987</c:v>
              </c:pt>
              <c:pt idx="2454">
                <c:v>45988</c:v>
              </c:pt>
              <c:pt idx="2455">
                <c:v>45989</c:v>
              </c:pt>
              <c:pt idx="2456">
                <c:v>45992</c:v>
              </c:pt>
              <c:pt idx="2457">
                <c:v>45993</c:v>
              </c:pt>
              <c:pt idx="2458">
                <c:v>45994</c:v>
              </c:pt>
              <c:pt idx="2459">
                <c:v>45995</c:v>
              </c:pt>
              <c:pt idx="2460">
                <c:v>45996</c:v>
              </c:pt>
              <c:pt idx="2461">
                <c:v>45999</c:v>
              </c:pt>
              <c:pt idx="2462">
                <c:v>46000</c:v>
              </c:pt>
              <c:pt idx="2463">
                <c:v>46001</c:v>
              </c:pt>
              <c:pt idx="2464">
                <c:v>46002</c:v>
              </c:pt>
              <c:pt idx="2465">
                <c:v>46003</c:v>
              </c:pt>
              <c:pt idx="2466">
                <c:v>46006</c:v>
              </c:pt>
              <c:pt idx="2467">
                <c:v>46007</c:v>
              </c:pt>
              <c:pt idx="2468">
                <c:v>46008</c:v>
              </c:pt>
              <c:pt idx="2469">
                <c:v>46009</c:v>
              </c:pt>
              <c:pt idx="2470">
                <c:v>46010</c:v>
              </c:pt>
              <c:pt idx="2471">
                <c:v>46013</c:v>
              </c:pt>
              <c:pt idx="2472">
                <c:v>46014</c:v>
              </c:pt>
              <c:pt idx="2473">
                <c:v>46015</c:v>
              </c:pt>
              <c:pt idx="2474">
                <c:v>46017</c:v>
              </c:pt>
              <c:pt idx="2475">
                <c:v>46020</c:v>
              </c:pt>
              <c:pt idx="2476">
                <c:v>46021</c:v>
              </c:pt>
              <c:pt idx="2477">
                <c:v>46022</c:v>
              </c:pt>
            </c:numLit>
          </c:cat>
          <c:val>
            <c:numLit>
              <c:formatCode>General</c:formatCode>
              <c:ptCount val="2478"/>
              <c:pt idx="0">
                <c:v>654.70000000000005</c:v>
              </c:pt>
              <c:pt idx="1">
                <c:v>645.54999999999995</c:v>
              </c:pt>
              <c:pt idx="2">
                <c:v>641.15</c:v>
              </c:pt>
              <c:pt idx="3">
                <c:v>652.4</c:v>
              </c:pt>
              <c:pt idx="4">
                <c:v>639.15</c:v>
              </c:pt>
              <c:pt idx="5">
                <c:v>622.45000000000005</c:v>
              </c:pt>
              <c:pt idx="6">
                <c:v>610.25</c:v>
              </c:pt>
              <c:pt idx="7">
                <c:v>611.65</c:v>
              </c:pt>
              <c:pt idx="8">
                <c:v>608.70000000000005</c:v>
              </c:pt>
              <c:pt idx="9">
                <c:v>613.9</c:v>
              </c:pt>
              <c:pt idx="10">
                <c:v>607.4</c:v>
              </c:pt>
              <c:pt idx="11">
                <c:v>590.85</c:v>
              </c:pt>
              <c:pt idx="12">
                <c:v>597.1</c:v>
              </c:pt>
              <c:pt idx="13">
                <c:v>593.5</c:v>
              </c:pt>
              <c:pt idx="14">
                <c:v>581.65</c:v>
              </c:pt>
              <c:pt idx="15">
                <c:v>583.35</c:v>
              </c:pt>
              <c:pt idx="16">
                <c:v>581.5</c:v>
              </c:pt>
              <c:pt idx="17">
                <c:v>580.5</c:v>
              </c:pt>
              <c:pt idx="18">
                <c:v>578</c:v>
              </c:pt>
              <c:pt idx="19">
                <c:v>585.70000000000005</c:v>
              </c:pt>
              <c:pt idx="20">
                <c:v>597.79999999999995</c:v>
              </c:pt>
              <c:pt idx="21">
                <c:v>574</c:v>
              </c:pt>
              <c:pt idx="22">
                <c:v>561.35</c:v>
              </c:pt>
              <c:pt idx="23">
                <c:v>550.25</c:v>
              </c:pt>
              <c:pt idx="24">
                <c:v>569.95000000000005</c:v>
              </c:pt>
              <c:pt idx="25">
                <c:v>567</c:v>
              </c:pt>
              <c:pt idx="26">
                <c:v>556.5</c:v>
              </c:pt>
              <c:pt idx="27">
                <c:v>538.85</c:v>
              </c:pt>
              <c:pt idx="28">
                <c:v>541</c:v>
              </c:pt>
              <c:pt idx="29">
                <c:v>528.6</c:v>
              </c:pt>
              <c:pt idx="30">
                <c:v>540.20000000000005</c:v>
              </c:pt>
              <c:pt idx="31">
                <c:v>524.04999999999995</c:v>
              </c:pt>
              <c:pt idx="32">
                <c:v>519.70000000000005</c:v>
              </c:pt>
              <c:pt idx="33">
                <c:v>525.35</c:v>
              </c:pt>
              <c:pt idx="34">
                <c:v>523.04999999999995</c:v>
              </c:pt>
              <c:pt idx="35">
                <c:v>530.5</c:v>
              </c:pt>
              <c:pt idx="36">
                <c:v>522.6</c:v>
              </c:pt>
              <c:pt idx="37">
                <c:v>513.79999999999995</c:v>
              </c:pt>
              <c:pt idx="38">
                <c:v>518.25</c:v>
              </c:pt>
              <c:pt idx="39">
                <c:v>523.75</c:v>
              </c:pt>
              <c:pt idx="40">
                <c:v>515</c:v>
              </c:pt>
              <c:pt idx="41">
                <c:v>517.5</c:v>
              </c:pt>
              <c:pt idx="42">
                <c:v>525.15</c:v>
              </c:pt>
              <c:pt idx="43">
                <c:v>528.20000000000005</c:v>
              </c:pt>
              <c:pt idx="44">
                <c:v>539.1</c:v>
              </c:pt>
              <c:pt idx="45">
                <c:v>531.5</c:v>
              </c:pt>
              <c:pt idx="46">
                <c:v>529.95000000000005</c:v>
              </c:pt>
              <c:pt idx="47">
                <c:v>534.45000000000005</c:v>
              </c:pt>
              <c:pt idx="48">
                <c:v>534.70000000000005</c:v>
              </c:pt>
              <c:pt idx="49">
                <c:v>538.04999999999995</c:v>
              </c:pt>
              <c:pt idx="50">
                <c:v>524.70000000000005</c:v>
              </c:pt>
              <c:pt idx="51">
                <c:v>532.65</c:v>
              </c:pt>
              <c:pt idx="52">
                <c:v>524.45000000000005</c:v>
              </c:pt>
              <c:pt idx="53">
                <c:v>528.35</c:v>
              </c:pt>
              <c:pt idx="54">
                <c:v>535.95000000000005</c:v>
              </c:pt>
              <c:pt idx="55">
                <c:v>536.5</c:v>
              </c:pt>
              <c:pt idx="56">
                <c:v>532.5</c:v>
              </c:pt>
              <c:pt idx="57">
                <c:v>524.45000000000005</c:v>
              </c:pt>
              <c:pt idx="58">
                <c:v>504.35</c:v>
              </c:pt>
              <c:pt idx="59">
                <c:v>512.1</c:v>
              </c:pt>
              <c:pt idx="60">
                <c:v>512.20000000000005</c:v>
              </c:pt>
              <c:pt idx="61">
                <c:v>513.45000000000005</c:v>
              </c:pt>
              <c:pt idx="62">
                <c:v>513.9</c:v>
              </c:pt>
              <c:pt idx="63">
                <c:v>504</c:v>
              </c:pt>
              <c:pt idx="64">
                <c:v>506</c:v>
              </c:pt>
              <c:pt idx="65">
                <c:v>507.6</c:v>
              </c:pt>
              <c:pt idx="66">
                <c:v>505.55</c:v>
              </c:pt>
              <c:pt idx="67">
                <c:v>502.6</c:v>
              </c:pt>
              <c:pt idx="68">
                <c:v>503</c:v>
              </c:pt>
              <c:pt idx="69">
                <c:v>511.75</c:v>
              </c:pt>
              <c:pt idx="70">
                <c:v>524.15</c:v>
              </c:pt>
              <c:pt idx="71">
                <c:v>527.25</c:v>
              </c:pt>
              <c:pt idx="72">
                <c:v>531.95000000000005</c:v>
              </c:pt>
              <c:pt idx="73">
                <c:v>531.5</c:v>
              </c:pt>
              <c:pt idx="74">
                <c:v>525.9</c:v>
              </c:pt>
              <c:pt idx="75">
                <c:v>540.35</c:v>
              </c:pt>
              <c:pt idx="76">
                <c:v>538.5</c:v>
              </c:pt>
              <c:pt idx="77">
                <c:v>527.04999999999995</c:v>
              </c:pt>
              <c:pt idx="78">
                <c:v>537</c:v>
              </c:pt>
              <c:pt idx="79">
                <c:v>538.29999999999995</c:v>
              </c:pt>
              <c:pt idx="80">
                <c:v>536.29999999999995</c:v>
              </c:pt>
              <c:pt idx="81">
                <c:v>533.35</c:v>
              </c:pt>
              <c:pt idx="82">
                <c:v>541.20000000000005</c:v>
              </c:pt>
              <c:pt idx="83">
                <c:v>536.75</c:v>
              </c:pt>
              <c:pt idx="84">
                <c:v>536.6</c:v>
              </c:pt>
              <c:pt idx="85">
                <c:v>536.9</c:v>
              </c:pt>
              <c:pt idx="86">
                <c:v>535.85</c:v>
              </c:pt>
              <c:pt idx="87">
                <c:v>534.70000000000005</c:v>
              </c:pt>
              <c:pt idx="88">
                <c:v>531.25</c:v>
              </c:pt>
              <c:pt idx="89">
                <c:v>523.45000000000005</c:v>
              </c:pt>
              <c:pt idx="90">
                <c:v>524.65</c:v>
              </c:pt>
              <c:pt idx="91">
                <c:v>524.29999999999995</c:v>
              </c:pt>
              <c:pt idx="92">
                <c:v>512.6</c:v>
              </c:pt>
              <c:pt idx="93">
                <c:v>507.25</c:v>
              </c:pt>
              <c:pt idx="94">
                <c:v>497.4</c:v>
              </c:pt>
              <c:pt idx="95">
                <c:v>494.9</c:v>
              </c:pt>
              <c:pt idx="96">
                <c:v>470.3</c:v>
              </c:pt>
              <c:pt idx="97">
                <c:v>467.6</c:v>
              </c:pt>
              <c:pt idx="98">
                <c:v>473.65</c:v>
              </c:pt>
              <c:pt idx="99">
                <c:v>473.65</c:v>
              </c:pt>
              <c:pt idx="100">
                <c:v>472.4</c:v>
              </c:pt>
              <c:pt idx="101">
                <c:v>465.35</c:v>
              </c:pt>
              <c:pt idx="102">
                <c:v>469.25</c:v>
              </c:pt>
              <c:pt idx="103">
                <c:v>465.1</c:v>
              </c:pt>
              <c:pt idx="104">
                <c:v>467.65</c:v>
              </c:pt>
              <c:pt idx="105">
                <c:v>468.75</c:v>
              </c:pt>
              <c:pt idx="106">
                <c:v>472.75</c:v>
              </c:pt>
              <c:pt idx="107">
                <c:v>479.9</c:v>
              </c:pt>
              <c:pt idx="108">
                <c:v>476.25</c:v>
              </c:pt>
              <c:pt idx="109">
                <c:v>469.2</c:v>
              </c:pt>
              <c:pt idx="110">
                <c:v>482.2</c:v>
              </c:pt>
              <c:pt idx="111">
                <c:v>489.35</c:v>
              </c:pt>
              <c:pt idx="112">
                <c:v>485.1</c:v>
              </c:pt>
              <c:pt idx="113">
                <c:v>485.55</c:v>
              </c:pt>
              <c:pt idx="114">
                <c:v>486.65</c:v>
              </c:pt>
              <c:pt idx="115">
                <c:v>482.85</c:v>
              </c:pt>
              <c:pt idx="116">
                <c:v>483.5</c:v>
              </c:pt>
              <c:pt idx="117">
                <c:v>476.1</c:v>
              </c:pt>
              <c:pt idx="118">
                <c:v>476.5</c:v>
              </c:pt>
              <c:pt idx="119">
                <c:v>489</c:v>
              </c:pt>
              <c:pt idx="120">
                <c:v>496.85</c:v>
              </c:pt>
              <c:pt idx="121">
                <c:v>501.3</c:v>
              </c:pt>
              <c:pt idx="122">
                <c:v>501.45</c:v>
              </c:pt>
              <c:pt idx="123">
                <c:v>507.9</c:v>
              </c:pt>
              <c:pt idx="124">
                <c:v>509.25</c:v>
              </c:pt>
              <c:pt idx="125">
                <c:v>506.55</c:v>
              </c:pt>
              <c:pt idx="126">
                <c:v>513.25</c:v>
              </c:pt>
              <c:pt idx="127">
                <c:v>519.75</c:v>
              </c:pt>
              <c:pt idx="128">
                <c:v>521.35</c:v>
              </c:pt>
              <c:pt idx="129">
                <c:v>516.20000000000005</c:v>
              </c:pt>
              <c:pt idx="130">
                <c:v>515.25</c:v>
              </c:pt>
              <c:pt idx="131">
                <c:v>510.9</c:v>
              </c:pt>
              <c:pt idx="132">
                <c:v>516.15</c:v>
              </c:pt>
              <c:pt idx="133">
                <c:v>508.1</c:v>
              </c:pt>
              <c:pt idx="134">
                <c:v>505.7</c:v>
              </c:pt>
              <c:pt idx="135">
                <c:v>517.79999999999995</c:v>
              </c:pt>
              <c:pt idx="136">
                <c:v>515.4</c:v>
              </c:pt>
              <c:pt idx="137">
                <c:v>519.70000000000005</c:v>
              </c:pt>
              <c:pt idx="138">
                <c:v>524.6</c:v>
              </c:pt>
              <c:pt idx="139">
                <c:v>523.04999999999995</c:v>
              </c:pt>
              <c:pt idx="140">
                <c:v>523.5</c:v>
              </c:pt>
              <c:pt idx="141">
                <c:v>520.5</c:v>
              </c:pt>
              <c:pt idx="142">
                <c:v>528.15</c:v>
              </c:pt>
              <c:pt idx="143">
                <c:v>525.1</c:v>
              </c:pt>
              <c:pt idx="144">
                <c:v>518.6</c:v>
              </c:pt>
              <c:pt idx="145">
                <c:v>529.4</c:v>
              </c:pt>
              <c:pt idx="146">
                <c:v>526.20000000000005</c:v>
              </c:pt>
              <c:pt idx="147">
                <c:v>532.1</c:v>
              </c:pt>
              <c:pt idx="148">
                <c:v>535</c:v>
              </c:pt>
              <c:pt idx="149">
                <c:v>532.65</c:v>
              </c:pt>
              <c:pt idx="150">
                <c:v>522.1</c:v>
              </c:pt>
              <c:pt idx="151">
                <c:v>523.25</c:v>
              </c:pt>
              <c:pt idx="152">
                <c:v>516.65</c:v>
              </c:pt>
              <c:pt idx="153">
                <c:v>553.54999999999995</c:v>
              </c:pt>
              <c:pt idx="154">
                <c:v>549.95000000000005</c:v>
              </c:pt>
              <c:pt idx="155">
                <c:v>551.6</c:v>
              </c:pt>
              <c:pt idx="156">
                <c:v>555.54999999999995</c:v>
              </c:pt>
              <c:pt idx="157">
                <c:v>557.45000000000005</c:v>
              </c:pt>
              <c:pt idx="158">
                <c:v>554.95000000000005</c:v>
              </c:pt>
              <c:pt idx="159">
                <c:v>565.9</c:v>
              </c:pt>
              <c:pt idx="160">
                <c:v>563.04999999999995</c:v>
              </c:pt>
              <c:pt idx="161">
                <c:v>567.45000000000005</c:v>
              </c:pt>
              <c:pt idx="162">
                <c:v>567.20000000000005</c:v>
              </c:pt>
              <c:pt idx="163">
                <c:v>576.6</c:v>
              </c:pt>
              <c:pt idx="164">
                <c:v>572.6</c:v>
              </c:pt>
              <c:pt idx="165">
                <c:v>577.54999999999995</c:v>
              </c:pt>
              <c:pt idx="166">
                <c:v>577.79999999999995</c:v>
              </c:pt>
              <c:pt idx="167">
                <c:v>578.15</c:v>
              </c:pt>
              <c:pt idx="168">
                <c:v>580.75</c:v>
              </c:pt>
              <c:pt idx="169">
                <c:v>592.25</c:v>
              </c:pt>
              <c:pt idx="170">
                <c:v>581.5</c:v>
              </c:pt>
              <c:pt idx="171">
                <c:v>568.9</c:v>
              </c:pt>
              <c:pt idx="172">
                <c:v>576.65</c:v>
              </c:pt>
              <c:pt idx="173">
                <c:v>584.45000000000005</c:v>
              </c:pt>
              <c:pt idx="174">
                <c:v>592.35</c:v>
              </c:pt>
              <c:pt idx="175">
                <c:v>597.70000000000005</c:v>
              </c:pt>
              <c:pt idx="176">
                <c:v>601.9</c:v>
              </c:pt>
              <c:pt idx="177">
                <c:v>600.20000000000005</c:v>
              </c:pt>
              <c:pt idx="178">
                <c:v>608.95000000000005</c:v>
              </c:pt>
              <c:pt idx="179">
                <c:v>611.15</c:v>
              </c:pt>
              <c:pt idx="180">
                <c:v>604.20000000000005</c:v>
              </c:pt>
              <c:pt idx="181">
                <c:v>607.45000000000005</c:v>
              </c:pt>
              <c:pt idx="182">
                <c:v>605.29999999999995</c:v>
              </c:pt>
              <c:pt idx="183">
                <c:v>600.9</c:v>
              </c:pt>
              <c:pt idx="184">
                <c:v>580.25</c:v>
              </c:pt>
              <c:pt idx="185">
                <c:v>588.65</c:v>
              </c:pt>
              <c:pt idx="186">
                <c:v>595.35</c:v>
              </c:pt>
              <c:pt idx="187">
                <c:v>592.79999999999995</c:v>
              </c:pt>
              <c:pt idx="188">
                <c:v>579.15</c:v>
              </c:pt>
              <c:pt idx="189">
                <c:v>569.70000000000005</c:v>
              </c:pt>
              <c:pt idx="190">
                <c:v>580.54999999999995</c:v>
              </c:pt>
              <c:pt idx="191">
                <c:v>581.85</c:v>
              </c:pt>
              <c:pt idx="192">
                <c:v>586.54999999999995</c:v>
              </c:pt>
              <c:pt idx="193">
                <c:v>584.45000000000005</c:v>
              </c:pt>
              <c:pt idx="194">
                <c:v>591.20000000000005</c:v>
              </c:pt>
              <c:pt idx="195">
                <c:v>594.9</c:v>
              </c:pt>
              <c:pt idx="196">
                <c:v>595.04999999999995</c:v>
              </c:pt>
              <c:pt idx="197">
                <c:v>582.75</c:v>
              </c:pt>
              <c:pt idx="198">
                <c:v>585.04999999999995</c:v>
              </c:pt>
              <c:pt idx="199">
                <c:v>585.29999999999995</c:v>
              </c:pt>
              <c:pt idx="200">
                <c:v>577.29999999999995</c:v>
              </c:pt>
              <c:pt idx="201">
                <c:v>584.6</c:v>
              </c:pt>
              <c:pt idx="202">
                <c:v>574.45000000000005</c:v>
              </c:pt>
              <c:pt idx="203">
                <c:v>577.35</c:v>
              </c:pt>
              <c:pt idx="204">
                <c:v>571.04999999999995</c:v>
              </c:pt>
              <c:pt idx="205">
                <c:v>558.79999999999995</c:v>
              </c:pt>
              <c:pt idx="206">
                <c:v>559.04999999999995</c:v>
              </c:pt>
              <c:pt idx="207">
                <c:v>544.5</c:v>
              </c:pt>
              <c:pt idx="208">
                <c:v>545.75</c:v>
              </c:pt>
              <c:pt idx="209">
                <c:v>536.25</c:v>
              </c:pt>
              <c:pt idx="210">
                <c:v>528.1</c:v>
              </c:pt>
              <c:pt idx="211">
                <c:v>564.25</c:v>
              </c:pt>
              <c:pt idx="212">
                <c:v>549.70000000000005</c:v>
              </c:pt>
              <c:pt idx="213">
                <c:v>552.75</c:v>
              </c:pt>
              <c:pt idx="214">
                <c:v>538.65</c:v>
              </c:pt>
              <c:pt idx="215">
                <c:v>544.70000000000005</c:v>
              </c:pt>
              <c:pt idx="216">
                <c:v>549.75</c:v>
              </c:pt>
              <c:pt idx="217">
                <c:v>544.95000000000005</c:v>
              </c:pt>
              <c:pt idx="218">
                <c:v>549.75</c:v>
              </c:pt>
              <c:pt idx="219">
                <c:v>552.20000000000005</c:v>
              </c:pt>
              <c:pt idx="220">
                <c:v>553.65</c:v>
              </c:pt>
              <c:pt idx="221">
                <c:v>563.35</c:v>
              </c:pt>
              <c:pt idx="222">
                <c:v>570.54999999999995</c:v>
              </c:pt>
              <c:pt idx="223">
                <c:v>569.1</c:v>
              </c:pt>
              <c:pt idx="224">
                <c:v>566.54999999999995</c:v>
              </c:pt>
              <c:pt idx="225">
                <c:v>568.15</c:v>
              </c:pt>
              <c:pt idx="226">
                <c:v>571.4</c:v>
              </c:pt>
              <c:pt idx="227">
                <c:v>573.20000000000005</c:v>
              </c:pt>
              <c:pt idx="228">
                <c:v>574.95000000000005</c:v>
              </c:pt>
              <c:pt idx="229">
                <c:v>570.4</c:v>
              </c:pt>
              <c:pt idx="230">
                <c:v>581.79999999999995</c:v>
              </c:pt>
              <c:pt idx="231">
                <c:v>579.29999999999995</c:v>
              </c:pt>
              <c:pt idx="232">
                <c:v>574.35</c:v>
              </c:pt>
              <c:pt idx="233">
                <c:v>578.20000000000005</c:v>
              </c:pt>
              <c:pt idx="234">
                <c:v>568.45000000000005</c:v>
              </c:pt>
              <c:pt idx="235">
                <c:v>561.6</c:v>
              </c:pt>
              <c:pt idx="236">
                <c:v>566</c:v>
              </c:pt>
              <c:pt idx="237">
                <c:v>568.45000000000005</c:v>
              </c:pt>
              <c:pt idx="238">
                <c:v>562</c:v>
              </c:pt>
              <c:pt idx="239">
                <c:v>562.85</c:v>
              </c:pt>
              <c:pt idx="240">
                <c:v>560.20000000000005</c:v>
              </c:pt>
              <c:pt idx="241">
                <c:v>582.75</c:v>
              </c:pt>
              <c:pt idx="242">
                <c:v>553.95000000000005</c:v>
              </c:pt>
              <c:pt idx="243">
                <c:v>562.9</c:v>
              </c:pt>
              <c:pt idx="244">
                <c:v>562.65</c:v>
              </c:pt>
              <c:pt idx="245">
                <c:v>564.29999999999995</c:v>
              </c:pt>
              <c:pt idx="246">
                <c:v>568.20000000000005</c:v>
              </c:pt>
              <c:pt idx="247">
                <c:v>565.9</c:v>
              </c:pt>
              <c:pt idx="248">
                <c:v>574.15</c:v>
              </c:pt>
              <c:pt idx="249">
                <c:v>568.1</c:v>
              </c:pt>
              <c:pt idx="250">
                <c:v>579.65</c:v>
              </c:pt>
              <c:pt idx="251">
                <c:v>582.15</c:v>
              </c:pt>
              <c:pt idx="252">
                <c:v>576.79999999999995</c:v>
              </c:pt>
              <c:pt idx="253">
                <c:v>575.65</c:v>
              </c:pt>
              <c:pt idx="254">
                <c:v>577.85</c:v>
              </c:pt>
              <c:pt idx="255">
                <c:v>586.15</c:v>
              </c:pt>
              <c:pt idx="256">
                <c:v>584.4</c:v>
              </c:pt>
              <c:pt idx="257">
                <c:v>587.29999999999995</c:v>
              </c:pt>
              <c:pt idx="258">
                <c:v>586.5</c:v>
              </c:pt>
              <c:pt idx="259">
                <c:v>581.6</c:v>
              </c:pt>
              <c:pt idx="260">
                <c:v>579.75</c:v>
              </c:pt>
              <c:pt idx="261">
                <c:v>575.85</c:v>
              </c:pt>
              <c:pt idx="262">
                <c:v>576.85</c:v>
              </c:pt>
              <c:pt idx="263">
                <c:v>579.79999999999995</c:v>
              </c:pt>
              <c:pt idx="264">
                <c:v>584.70000000000005</c:v>
              </c:pt>
              <c:pt idx="265">
                <c:v>580.25</c:v>
              </c:pt>
              <c:pt idx="266">
                <c:v>580.95000000000005</c:v>
              </c:pt>
              <c:pt idx="267">
                <c:v>574.25</c:v>
              </c:pt>
              <c:pt idx="268">
                <c:v>573.25</c:v>
              </c:pt>
              <c:pt idx="269">
                <c:v>583.95000000000005</c:v>
              </c:pt>
              <c:pt idx="270">
                <c:v>608.35</c:v>
              </c:pt>
              <c:pt idx="271">
                <c:v>601.45000000000005</c:v>
              </c:pt>
              <c:pt idx="272">
                <c:v>597.29999999999995</c:v>
              </c:pt>
              <c:pt idx="273">
                <c:v>602.95000000000005</c:v>
              </c:pt>
              <c:pt idx="274">
                <c:v>587</c:v>
              </c:pt>
              <c:pt idx="275">
                <c:v>579.35</c:v>
              </c:pt>
              <c:pt idx="276">
                <c:v>581.29999999999995</c:v>
              </c:pt>
              <c:pt idx="277">
                <c:v>576.75</c:v>
              </c:pt>
              <c:pt idx="278">
                <c:v>573.35</c:v>
              </c:pt>
              <c:pt idx="279">
                <c:v>583.4</c:v>
              </c:pt>
              <c:pt idx="280">
                <c:v>592.6</c:v>
              </c:pt>
              <c:pt idx="281">
                <c:v>593.9</c:v>
              </c:pt>
              <c:pt idx="282">
                <c:v>592.6</c:v>
              </c:pt>
              <c:pt idx="283">
                <c:v>587.85</c:v>
              </c:pt>
              <c:pt idx="284">
                <c:v>591.6</c:v>
              </c:pt>
              <c:pt idx="285">
                <c:v>585.45000000000005</c:v>
              </c:pt>
              <c:pt idx="286">
                <c:v>583.20000000000005</c:v>
              </c:pt>
              <c:pt idx="287">
                <c:v>587.35</c:v>
              </c:pt>
              <c:pt idx="288">
                <c:v>587.1</c:v>
              </c:pt>
              <c:pt idx="289">
                <c:v>587.54999999999995</c:v>
              </c:pt>
              <c:pt idx="290">
                <c:v>589.25</c:v>
              </c:pt>
              <c:pt idx="291">
                <c:v>587.6</c:v>
              </c:pt>
              <c:pt idx="292">
                <c:v>589.95000000000005</c:v>
              </c:pt>
              <c:pt idx="293">
                <c:v>589.6</c:v>
              </c:pt>
              <c:pt idx="294">
                <c:v>587.9</c:v>
              </c:pt>
              <c:pt idx="295">
                <c:v>598.54999999999995</c:v>
              </c:pt>
              <c:pt idx="296">
                <c:v>598.75</c:v>
              </c:pt>
              <c:pt idx="297">
                <c:v>600</c:v>
              </c:pt>
              <c:pt idx="298">
                <c:v>596.04999999999995</c:v>
              </c:pt>
              <c:pt idx="299">
                <c:v>596.54999999999995</c:v>
              </c:pt>
              <c:pt idx="300">
                <c:v>591.45000000000005</c:v>
              </c:pt>
              <c:pt idx="301">
                <c:v>594.5</c:v>
              </c:pt>
              <c:pt idx="302">
                <c:v>596.54999999999995</c:v>
              </c:pt>
              <c:pt idx="303">
                <c:v>593.25</c:v>
              </c:pt>
              <c:pt idx="304">
                <c:v>592</c:v>
              </c:pt>
              <c:pt idx="305">
                <c:v>593.95000000000005</c:v>
              </c:pt>
              <c:pt idx="306">
                <c:v>592.4</c:v>
              </c:pt>
              <c:pt idx="307">
                <c:v>597.65</c:v>
              </c:pt>
              <c:pt idx="308">
                <c:v>592.29999999999995</c:v>
              </c:pt>
              <c:pt idx="309">
                <c:v>591.75</c:v>
              </c:pt>
              <c:pt idx="310">
                <c:v>592.65</c:v>
              </c:pt>
              <c:pt idx="311">
                <c:v>588.9</c:v>
              </c:pt>
              <c:pt idx="312">
                <c:v>588.75</c:v>
              </c:pt>
              <c:pt idx="313">
                <c:v>588.54999999999995</c:v>
              </c:pt>
              <c:pt idx="314">
                <c:v>578.79999999999995</c:v>
              </c:pt>
              <c:pt idx="315">
                <c:v>577.85</c:v>
              </c:pt>
              <c:pt idx="316">
                <c:v>576.25</c:v>
              </c:pt>
              <c:pt idx="317">
                <c:v>576.29999999999995</c:v>
              </c:pt>
              <c:pt idx="318">
                <c:v>574.70000000000005</c:v>
              </c:pt>
              <c:pt idx="319">
                <c:v>574.95000000000005</c:v>
              </c:pt>
              <c:pt idx="320">
                <c:v>573.95000000000005</c:v>
              </c:pt>
              <c:pt idx="321">
                <c:v>563.4</c:v>
              </c:pt>
              <c:pt idx="322">
                <c:v>556.1</c:v>
              </c:pt>
              <c:pt idx="323">
                <c:v>552.85</c:v>
              </c:pt>
              <c:pt idx="324">
                <c:v>555.1</c:v>
              </c:pt>
              <c:pt idx="325">
                <c:v>560.9</c:v>
              </c:pt>
              <c:pt idx="326">
                <c:v>556.79999999999995</c:v>
              </c:pt>
              <c:pt idx="327">
                <c:v>554.5</c:v>
              </c:pt>
              <c:pt idx="328">
                <c:v>554.29999999999995</c:v>
              </c:pt>
              <c:pt idx="329">
                <c:v>549.65</c:v>
              </c:pt>
              <c:pt idx="330">
                <c:v>548.6</c:v>
              </c:pt>
              <c:pt idx="331">
                <c:v>550.65</c:v>
              </c:pt>
              <c:pt idx="332">
                <c:v>551.54999999999995</c:v>
              </c:pt>
              <c:pt idx="333">
                <c:v>559.75</c:v>
              </c:pt>
              <c:pt idx="334">
                <c:v>561</c:v>
              </c:pt>
              <c:pt idx="335">
                <c:v>566.6</c:v>
              </c:pt>
              <c:pt idx="336">
                <c:v>566.25</c:v>
              </c:pt>
              <c:pt idx="337">
                <c:v>564.4</c:v>
              </c:pt>
              <c:pt idx="338">
                <c:v>559.1</c:v>
              </c:pt>
              <c:pt idx="339">
                <c:v>558.65</c:v>
              </c:pt>
              <c:pt idx="340">
                <c:v>563.45000000000005</c:v>
              </c:pt>
              <c:pt idx="341">
                <c:v>560.54999999999995</c:v>
              </c:pt>
              <c:pt idx="342">
                <c:v>533.15</c:v>
              </c:pt>
              <c:pt idx="343">
                <c:v>520.35</c:v>
              </c:pt>
              <c:pt idx="344">
                <c:v>504.1</c:v>
              </c:pt>
              <c:pt idx="345">
                <c:v>491.6</c:v>
              </c:pt>
              <c:pt idx="346">
                <c:v>504.15</c:v>
              </c:pt>
              <c:pt idx="347">
                <c:v>511.1</c:v>
              </c:pt>
              <c:pt idx="348">
                <c:v>514.6</c:v>
              </c:pt>
              <c:pt idx="349">
                <c:v>515.1</c:v>
              </c:pt>
              <c:pt idx="350">
                <c:v>528.65</c:v>
              </c:pt>
              <c:pt idx="351">
                <c:v>533.9</c:v>
              </c:pt>
              <c:pt idx="352">
                <c:v>533.6</c:v>
              </c:pt>
              <c:pt idx="353">
                <c:v>539.4</c:v>
              </c:pt>
              <c:pt idx="354">
                <c:v>548.95000000000005</c:v>
              </c:pt>
              <c:pt idx="355">
                <c:v>550</c:v>
              </c:pt>
              <c:pt idx="356">
                <c:v>552.25</c:v>
              </c:pt>
              <c:pt idx="357">
                <c:v>550.54999999999995</c:v>
              </c:pt>
              <c:pt idx="358">
                <c:v>539.75</c:v>
              </c:pt>
              <c:pt idx="359">
                <c:v>549.15</c:v>
              </c:pt>
              <c:pt idx="360">
                <c:v>537.04999999999995</c:v>
              </c:pt>
              <c:pt idx="361">
                <c:v>539.15</c:v>
              </c:pt>
              <c:pt idx="362">
                <c:v>546.20000000000005</c:v>
              </c:pt>
              <c:pt idx="363">
                <c:v>540.85</c:v>
              </c:pt>
              <c:pt idx="364">
                <c:v>538.9</c:v>
              </c:pt>
              <c:pt idx="365">
                <c:v>540.85</c:v>
              </c:pt>
              <c:pt idx="366">
                <c:v>534.35</c:v>
              </c:pt>
              <c:pt idx="367">
                <c:v>537.04999999999995</c:v>
              </c:pt>
              <c:pt idx="368">
                <c:v>544.75</c:v>
              </c:pt>
              <c:pt idx="369">
                <c:v>554.35</c:v>
              </c:pt>
              <c:pt idx="370">
                <c:v>551.04999999999995</c:v>
              </c:pt>
              <c:pt idx="371">
                <c:v>545.95000000000005</c:v>
              </c:pt>
              <c:pt idx="372">
                <c:v>545.70000000000005</c:v>
              </c:pt>
              <c:pt idx="373">
                <c:v>542.85</c:v>
              </c:pt>
              <c:pt idx="374">
                <c:v>546.04999999999995</c:v>
              </c:pt>
              <c:pt idx="375">
                <c:v>549.45000000000005</c:v>
              </c:pt>
              <c:pt idx="376">
                <c:v>538.15</c:v>
              </c:pt>
              <c:pt idx="377">
                <c:v>539.20000000000005</c:v>
              </c:pt>
              <c:pt idx="378">
                <c:v>542.15</c:v>
              </c:pt>
              <c:pt idx="379">
                <c:v>547.35</c:v>
              </c:pt>
              <c:pt idx="380">
                <c:v>555.9</c:v>
              </c:pt>
              <c:pt idx="381">
                <c:v>559.4</c:v>
              </c:pt>
              <c:pt idx="382">
                <c:v>568.15</c:v>
              </c:pt>
              <c:pt idx="383">
                <c:v>571.6</c:v>
              </c:pt>
              <c:pt idx="384">
                <c:v>566.1</c:v>
              </c:pt>
              <c:pt idx="385">
                <c:v>569.54999999999995</c:v>
              </c:pt>
              <c:pt idx="386">
                <c:v>564.5</c:v>
              </c:pt>
              <c:pt idx="387">
                <c:v>574.79999999999995</c:v>
              </c:pt>
              <c:pt idx="388">
                <c:v>570.45000000000005</c:v>
              </c:pt>
              <c:pt idx="389">
                <c:v>565.29999999999995</c:v>
              </c:pt>
              <c:pt idx="390">
                <c:v>558.65</c:v>
              </c:pt>
              <c:pt idx="391">
                <c:v>561.95000000000005</c:v>
              </c:pt>
              <c:pt idx="392">
                <c:v>565.79999999999995</c:v>
              </c:pt>
              <c:pt idx="393">
                <c:v>556.9</c:v>
              </c:pt>
              <c:pt idx="394">
                <c:v>567.04999999999995</c:v>
              </c:pt>
              <c:pt idx="395">
                <c:v>565.15</c:v>
              </c:pt>
              <c:pt idx="396">
                <c:v>578.25</c:v>
              </c:pt>
              <c:pt idx="397">
                <c:v>561.9</c:v>
              </c:pt>
              <c:pt idx="398">
                <c:v>548.9</c:v>
              </c:pt>
              <c:pt idx="399">
                <c:v>542.70000000000005</c:v>
              </c:pt>
              <c:pt idx="400">
                <c:v>570</c:v>
              </c:pt>
              <c:pt idx="401">
                <c:v>590.20000000000005</c:v>
              </c:pt>
              <c:pt idx="402">
                <c:v>573.35</c:v>
              </c:pt>
              <c:pt idx="403">
                <c:v>565.70000000000005</c:v>
              </c:pt>
              <c:pt idx="404">
                <c:v>560.75</c:v>
              </c:pt>
              <c:pt idx="405">
                <c:v>559.15</c:v>
              </c:pt>
              <c:pt idx="406">
                <c:v>559.6</c:v>
              </c:pt>
              <c:pt idx="407">
                <c:v>573.4</c:v>
              </c:pt>
              <c:pt idx="408">
                <c:v>572.75</c:v>
              </c:pt>
              <c:pt idx="409">
                <c:v>567.95000000000005</c:v>
              </c:pt>
              <c:pt idx="410">
                <c:v>566.85</c:v>
              </c:pt>
              <c:pt idx="411">
                <c:v>571.70000000000005</c:v>
              </c:pt>
              <c:pt idx="412">
                <c:v>568.6</c:v>
              </c:pt>
              <c:pt idx="413">
                <c:v>561.95000000000005</c:v>
              </c:pt>
              <c:pt idx="414">
                <c:v>559.85</c:v>
              </c:pt>
              <c:pt idx="415">
                <c:v>556.65</c:v>
              </c:pt>
              <c:pt idx="416">
                <c:v>553.25</c:v>
              </c:pt>
              <c:pt idx="417">
                <c:v>550.65</c:v>
              </c:pt>
              <c:pt idx="418">
                <c:v>551.85</c:v>
              </c:pt>
              <c:pt idx="419">
                <c:v>559.4</c:v>
              </c:pt>
              <c:pt idx="420">
                <c:v>554.29999999999995</c:v>
              </c:pt>
              <c:pt idx="421">
                <c:v>564.79999999999995</c:v>
              </c:pt>
              <c:pt idx="422">
                <c:v>560.5</c:v>
              </c:pt>
              <c:pt idx="423">
                <c:v>570.04999999999995</c:v>
              </c:pt>
              <c:pt idx="424">
                <c:v>573.5</c:v>
              </c:pt>
              <c:pt idx="425">
                <c:v>568.5</c:v>
              </c:pt>
              <c:pt idx="426">
                <c:v>591.45000000000005</c:v>
              </c:pt>
              <c:pt idx="427">
                <c:v>583.79999999999995</c:v>
              </c:pt>
              <c:pt idx="428">
                <c:v>576.9</c:v>
              </c:pt>
              <c:pt idx="429">
                <c:v>578.15</c:v>
              </c:pt>
              <c:pt idx="430">
                <c:v>569.79999999999995</c:v>
              </c:pt>
              <c:pt idx="431">
                <c:v>581.5</c:v>
              </c:pt>
              <c:pt idx="432">
                <c:v>584.95000000000005</c:v>
              </c:pt>
              <c:pt idx="433">
                <c:v>580.4</c:v>
              </c:pt>
              <c:pt idx="434">
                <c:v>581.65</c:v>
              </c:pt>
              <c:pt idx="435">
                <c:v>584.95000000000005</c:v>
              </c:pt>
              <c:pt idx="436">
                <c:v>585</c:v>
              </c:pt>
              <c:pt idx="437">
                <c:v>585.45000000000005</c:v>
              </c:pt>
              <c:pt idx="438">
                <c:v>589.29999999999995</c:v>
              </c:pt>
              <c:pt idx="439">
                <c:v>584.95000000000005</c:v>
              </c:pt>
              <c:pt idx="440">
                <c:v>590.04999999999995</c:v>
              </c:pt>
              <c:pt idx="441">
                <c:v>592.1</c:v>
              </c:pt>
              <c:pt idx="442">
                <c:v>606.45000000000005</c:v>
              </c:pt>
              <c:pt idx="443">
                <c:v>631.25</c:v>
              </c:pt>
              <c:pt idx="444">
                <c:v>610.70000000000005</c:v>
              </c:pt>
              <c:pt idx="445">
                <c:v>608.20000000000005</c:v>
              </c:pt>
              <c:pt idx="446">
                <c:v>593.70000000000005</c:v>
              </c:pt>
              <c:pt idx="447">
                <c:v>595.25</c:v>
              </c:pt>
              <c:pt idx="448">
                <c:v>593.54999999999995</c:v>
              </c:pt>
              <c:pt idx="449">
                <c:v>612.4</c:v>
              </c:pt>
              <c:pt idx="450">
                <c:v>623.29999999999995</c:v>
              </c:pt>
              <c:pt idx="451">
                <c:v>626.65</c:v>
              </c:pt>
              <c:pt idx="452">
                <c:v>625.70000000000005</c:v>
              </c:pt>
              <c:pt idx="453">
                <c:v>624</c:v>
              </c:pt>
              <c:pt idx="454">
                <c:v>633.54999999999995</c:v>
              </c:pt>
              <c:pt idx="455">
                <c:v>639.6</c:v>
              </c:pt>
              <c:pt idx="456">
                <c:v>655.4</c:v>
              </c:pt>
              <c:pt idx="457">
                <c:v>608.35</c:v>
              </c:pt>
              <c:pt idx="458">
                <c:v>620.95000000000005</c:v>
              </c:pt>
              <c:pt idx="459">
                <c:v>614.20000000000005</c:v>
              </c:pt>
              <c:pt idx="460">
                <c:v>609.04999999999995</c:v>
              </c:pt>
              <c:pt idx="461">
                <c:v>602.15</c:v>
              </c:pt>
              <c:pt idx="462">
                <c:v>602.1</c:v>
              </c:pt>
              <c:pt idx="463">
                <c:v>593.6</c:v>
              </c:pt>
              <c:pt idx="464">
                <c:v>593</c:v>
              </c:pt>
              <c:pt idx="465">
                <c:v>608.65</c:v>
              </c:pt>
              <c:pt idx="466">
                <c:v>602.6</c:v>
              </c:pt>
              <c:pt idx="467">
                <c:v>616.5</c:v>
              </c:pt>
              <c:pt idx="468">
                <c:v>618.85</c:v>
              </c:pt>
              <c:pt idx="469">
                <c:v>617.29999999999995</c:v>
              </c:pt>
              <c:pt idx="470">
                <c:v>614.45000000000005</c:v>
              </c:pt>
              <c:pt idx="471">
                <c:v>615</c:v>
              </c:pt>
              <c:pt idx="472">
                <c:v>610.5</c:v>
              </c:pt>
              <c:pt idx="473">
                <c:v>608.5</c:v>
              </c:pt>
              <c:pt idx="474">
                <c:v>600.35</c:v>
              </c:pt>
              <c:pt idx="475">
                <c:v>597.25</c:v>
              </c:pt>
              <c:pt idx="476">
                <c:v>595.25</c:v>
              </c:pt>
              <c:pt idx="477">
                <c:v>596.45000000000005</c:v>
              </c:pt>
              <c:pt idx="478">
                <c:v>595.5</c:v>
              </c:pt>
              <c:pt idx="479">
                <c:v>592.5</c:v>
              </c:pt>
              <c:pt idx="480">
                <c:v>603.6</c:v>
              </c:pt>
              <c:pt idx="481">
                <c:v>603.85</c:v>
              </c:pt>
              <c:pt idx="482">
                <c:v>590.75</c:v>
              </c:pt>
              <c:pt idx="483">
                <c:v>578.15</c:v>
              </c:pt>
              <c:pt idx="484">
                <c:v>590.79999999999995</c:v>
              </c:pt>
              <c:pt idx="485">
                <c:v>575.9</c:v>
              </c:pt>
              <c:pt idx="486">
                <c:v>590.35</c:v>
              </c:pt>
              <c:pt idx="487">
                <c:v>602.20000000000005</c:v>
              </c:pt>
              <c:pt idx="488">
                <c:v>598.9</c:v>
              </c:pt>
              <c:pt idx="489">
                <c:v>598.45000000000005</c:v>
              </c:pt>
              <c:pt idx="490">
                <c:v>599.5</c:v>
              </c:pt>
              <c:pt idx="491">
                <c:v>610.95000000000005</c:v>
              </c:pt>
              <c:pt idx="492">
                <c:v>612.29999999999995</c:v>
              </c:pt>
              <c:pt idx="493">
                <c:v>605.04999999999995</c:v>
              </c:pt>
              <c:pt idx="494">
                <c:v>607.15</c:v>
              </c:pt>
              <c:pt idx="495">
                <c:v>611.75</c:v>
              </c:pt>
              <c:pt idx="496">
                <c:v>606.85</c:v>
              </c:pt>
              <c:pt idx="497">
                <c:v>607.04999999999995</c:v>
              </c:pt>
              <c:pt idx="498">
                <c:v>614.9</c:v>
              </c:pt>
              <c:pt idx="499">
                <c:v>613</c:v>
              </c:pt>
              <c:pt idx="500">
                <c:v>613.45000000000005</c:v>
              </c:pt>
              <c:pt idx="501">
                <c:v>613.25</c:v>
              </c:pt>
              <c:pt idx="502">
                <c:v>618.1</c:v>
              </c:pt>
              <c:pt idx="503">
                <c:v>612.65</c:v>
              </c:pt>
              <c:pt idx="504">
                <c:v>610.5</c:v>
              </c:pt>
              <c:pt idx="505">
                <c:v>608.65</c:v>
              </c:pt>
              <c:pt idx="506">
                <c:v>601.20000000000005</c:v>
              </c:pt>
              <c:pt idx="507">
                <c:v>606.20000000000005</c:v>
              </c:pt>
              <c:pt idx="508">
                <c:v>603.20000000000005</c:v>
              </c:pt>
              <c:pt idx="509">
                <c:v>602.04999999999995</c:v>
              </c:pt>
              <c:pt idx="510">
                <c:v>601.1</c:v>
              </c:pt>
              <c:pt idx="511">
                <c:v>622.6</c:v>
              </c:pt>
              <c:pt idx="512">
                <c:v>617.65</c:v>
              </c:pt>
              <c:pt idx="513">
                <c:v>621.29999999999995</c:v>
              </c:pt>
              <c:pt idx="514">
                <c:v>612.54999999999995</c:v>
              </c:pt>
              <c:pt idx="515">
                <c:v>606.54999999999995</c:v>
              </c:pt>
              <c:pt idx="516">
                <c:v>587.45000000000005</c:v>
              </c:pt>
              <c:pt idx="517">
                <c:v>586.75</c:v>
              </c:pt>
              <c:pt idx="518">
                <c:v>579.1</c:v>
              </c:pt>
              <c:pt idx="519">
                <c:v>580.1</c:v>
              </c:pt>
              <c:pt idx="520">
                <c:v>565.65</c:v>
              </c:pt>
              <c:pt idx="521">
                <c:v>569.15</c:v>
              </c:pt>
              <c:pt idx="522">
                <c:v>613.70000000000005</c:v>
              </c:pt>
              <c:pt idx="523">
                <c:v>621.9</c:v>
              </c:pt>
              <c:pt idx="524">
                <c:v>621.20000000000005</c:v>
              </c:pt>
              <c:pt idx="525">
                <c:v>616.95000000000005</c:v>
              </c:pt>
              <c:pt idx="526">
                <c:v>606.85</c:v>
              </c:pt>
              <c:pt idx="527">
                <c:v>609.95000000000005</c:v>
              </c:pt>
              <c:pt idx="528">
                <c:v>599.95000000000005</c:v>
              </c:pt>
              <c:pt idx="529">
                <c:v>601.9</c:v>
              </c:pt>
              <c:pt idx="530">
                <c:v>596.85</c:v>
              </c:pt>
              <c:pt idx="531">
                <c:v>589.85</c:v>
              </c:pt>
              <c:pt idx="532">
                <c:v>595.15</c:v>
              </c:pt>
              <c:pt idx="533">
                <c:v>591.04999999999995</c:v>
              </c:pt>
              <c:pt idx="534">
                <c:v>586.15</c:v>
              </c:pt>
              <c:pt idx="535">
                <c:v>589.35</c:v>
              </c:pt>
              <c:pt idx="536">
                <c:v>581.9</c:v>
              </c:pt>
              <c:pt idx="537">
                <c:v>579.4</c:v>
              </c:pt>
              <c:pt idx="538">
                <c:v>582.75</c:v>
              </c:pt>
              <c:pt idx="539">
                <c:v>580.04999999999995</c:v>
              </c:pt>
              <c:pt idx="540">
                <c:v>576.70000000000005</c:v>
              </c:pt>
              <c:pt idx="541">
                <c:v>573.35</c:v>
              </c:pt>
              <c:pt idx="542">
                <c:v>579.4</c:v>
              </c:pt>
              <c:pt idx="543">
                <c:v>578.45000000000005</c:v>
              </c:pt>
              <c:pt idx="544">
                <c:v>577.70000000000005</c:v>
              </c:pt>
              <c:pt idx="545">
                <c:v>571.25</c:v>
              </c:pt>
              <c:pt idx="546">
                <c:v>559</c:v>
              </c:pt>
              <c:pt idx="547">
                <c:v>559.35</c:v>
              </c:pt>
              <c:pt idx="548">
                <c:v>552.5</c:v>
              </c:pt>
              <c:pt idx="549">
                <c:v>549.45000000000005</c:v>
              </c:pt>
              <c:pt idx="550">
                <c:v>540.54999999999995</c:v>
              </c:pt>
              <c:pt idx="551">
                <c:v>537.29999999999995</c:v>
              </c:pt>
              <c:pt idx="552">
                <c:v>540.75</c:v>
              </c:pt>
              <c:pt idx="553">
                <c:v>543</c:v>
              </c:pt>
              <c:pt idx="554">
                <c:v>543.25</c:v>
              </c:pt>
              <c:pt idx="555">
                <c:v>576.4</c:v>
              </c:pt>
              <c:pt idx="556">
                <c:v>570.5</c:v>
              </c:pt>
              <c:pt idx="557">
                <c:v>569.6</c:v>
              </c:pt>
              <c:pt idx="558">
                <c:v>561.1</c:v>
              </c:pt>
              <c:pt idx="559">
                <c:v>559.1</c:v>
              </c:pt>
              <c:pt idx="560">
                <c:v>556.95000000000005</c:v>
              </c:pt>
              <c:pt idx="561">
                <c:v>557.85</c:v>
              </c:pt>
              <c:pt idx="562">
                <c:v>560.65</c:v>
              </c:pt>
              <c:pt idx="563">
                <c:v>555.25</c:v>
              </c:pt>
              <c:pt idx="564">
                <c:v>554.6</c:v>
              </c:pt>
              <c:pt idx="565">
                <c:v>583.54999999999995</c:v>
              </c:pt>
              <c:pt idx="566">
                <c:v>579.9</c:v>
              </c:pt>
              <c:pt idx="567">
                <c:v>583.85</c:v>
              </c:pt>
              <c:pt idx="568">
                <c:v>584.20000000000005</c:v>
              </c:pt>
              <c:pt idx="569">
                <c:v>587.85</c:v>
              </c:pt>
              <c:pt idx="570">
                <c:v>599.35</c:v>
              </c:pt>
              <c:pt idx="571">
                <c:v>600</c:v>
              </c:pt>
              <c:pt idx="572">
                <c:v>594.20000000000005</c:v>
              </c:pt>
              <c:pt idx="573">
                <c:v>599.85</c:v>
              </c:pt>
              <c:pt idx="574">
                <c:v>599.85</c:v>
              </c:pt>
              <c:pt idx="575">
                <c:v>606.65</c:v>
              </c:pt>
              <c:pt idx="576">
                <c:v>610.35</c:v>
              </c:pt>
              <c:pt idx="577">
                <c:v>608.04999999999995</c:v>
              </c:pt>
              <c:pt idx="578">
                <c:v>596.95000000000005</c:v>
              </c:pt>
              <c:pt idx="579">
                <c:v>591.04999999999995</c:v>
              </c:pt>
              <c:pt idx="580">
                <c:v>590.79999999999995</c:v>
              </c:pt>
              <c:pt idx="581">
                <c:v>589.20000000000005</c:v>
              </c:pt>
              <c:pt idx="582">
                <c:v>575.65</c:v>
              </c:pt>
              <c:pt idx="583">
                <c:v>573.65</c:v>
              </c:pt>
              <c:pt idx="584">
                <c:v>577.04999999999995</c:v>
              </c:pt>
              <c:pt idx="585">
                <c:v>574.9</c:v>
              </c:pt>
              <c:pt idx="586">
                <c:v>559.85</c:v>
              </c:pt>
              <c:pt idx="587">
                <c:v>553.04999999999995</c:v>
              </c:pt>
              <c:pt idx="588">
                <c:v>533.95000000000005</c:v>
              </c:pt>
              <c:pt idx="589">
                <c:v>519.79999999999995</c:v>
              </c:pt>
              <c:pt idx="590">
                <c:v>524.35</c:v>
              </c:pt>
              <c:pt idx="591">
                <c:v>532.75</c:v>
              </c:pt>
              <c:pt idx="592">
                <c:v>532.1</c:v>
              </c:pt>
              <c:pt idx="593">
                <c:v>535.85</c:v>
              </c:pt>
              <c:pt idx="594">
                <c:v>540.35</c:v>
              </c:pt>
              <c:pt idx="595">
                <c:v>530.75</c:v>
              </c:pt>
              <c:pt idx="596">
                <c:v>525.29999999999995</c:v>
              </c:pt>
              <c:pt idx="597">
                <c:v>524.5</c:v>
              </c:pt>
              <c:pt idx="598">
                <c:v>523.35</c:v>
              </c:pt>
              <c:pt idx="599">
                <c:v>519.85</c:v>
              </c:pt>
              <c:pt idx="600">
                <c:v>540.5</c:v>
              </c:pt>
              <c:pt idx="601">
                <c:v>537.35</c:v>
              </c:pt>
              <c:pt idx="602">
                <c:v>540.25</c:v>
              </c:pt>
              <c:pt idx="603">
                <c:v>558.25</c:v>
              </c:pt>
              <c:pt idx="604">
                <c:v>559.75</c:v>
              </c:pt>
              <c:pt idx="605">
                <c:v>567.04999999999995</c:v>
              </c:pt>
              <c:pt idx="606">
                <c:v>581.4</c:v>
              </c:pt>
              <c:pt idx="607">
                <c:v>587.95000000000005</c:v>
              </c:pt>
              <c:pt idx="608">
                <c:v>612</c:v>
              </c:pt>
              <c:pt idx="609">
                <c:v>606</c:v>
              </c:pt>
              <c:pt idx="610">
                <c:v>602.25</c:v>
              </c:pt>
              <c:pt idx="611">
                <c:v>603.54999999999995</c:v>
              </c:pt>
              <c:pt idx="612">
                <c:v>601.65</c:v>
              </c:pt>
              <c:pt idx="613">
                <c:v>614</c:v>
              </c:pt>
              <c:pt idx="614">
                <c:v>610.70000000000005</c:v>
              </c:pt>
              <c:pt idx="615">
                <c:v>599.29999999999995</c:v>
              </c:pt>
              <c:pt idx="616">
                <c:v>602</c:v>
              </c:pt>
              <c:pt idx="617">
                <c:v>600.70000000000005</c:v>
              </c:pt>
              <c:pt idx="618">
                <c:v>614.95000000000005</c:v>
              </c:pt>
              <c:pt idx="619">
                <c:v>615.75</c:v>
              </c:pt>
              <c:pt idx="620">
                <c:v>640.35</c:v>
              </c:pt>
              <c:pt idx="621">
                <c:v>629.25</c:v>
              </c:pt>
              <c:pt idx="622">
                <c:v>626.70000000000005</c:v>
              </c:pt>
              <c:pt idx="623">
                <c:v>613.45000000000005</c:v>
              </c:pt>
              <c:pt idx="624">
                <c:v>622.6</c:v>
              </c:pt>
              <c:pt idx="625">
                <c:v>630.6</c:v>
              </c:pt>
              <c:pt idx="626">
                <c:v>624.70000000000005</c:v>
              </c:pt>
              <c:pt idx="627">
                <c:v>632.20000000000005</c:v>
              </c:pt>
              <c:pt idx="628">
                <c:v>626.45000000000005</c:v>
              </c:pt>
              <c:pt idx="629">
                <c:v>621.4</c:v>
              </c:pt>
              <c:pt idx="630">
                <c:v>637.54999999999995</c:v>
              </c:pt>
              <c:pt idx="631">
                <c:v>627.15</c:v>
              </c:pt>
              <c:pt idx="632">
                <c:v>611.04999999999995</c:v>
              </c:pt>
              <c:pt idx="633">
                <c:v>625.70000000000005</c:v>
              </c:pt>
              <c:pt idx="634">
                <c:v>633.5</c:v>
              </c:pt>
              <c:pt idx="635">
                <c:v>627.29999999999995</c:v>
              </c:pt>
              <c:pt idx="636">
                <c:v>623.54999999999995</c:v>
              </c:pt>
              <c:pt idx="637">
                <c:v>627.04999999999995</c:v>
              </c:pt>
              <c:pt idx="638">
                <c:v>634.1</c:v>
              </c:pt>
              <c:pt idx="639">
                <c:v>632.5</c:v>
              </c:pt>
              <c:pt idx="640">
                <c:v>639.75</c:v>
              </c:pt>
              <c:pt idx="641">
                <c:v>638.35</c:v>
              </c:pt>
              <c:pt idx="642">
                <c:v>638.15</c:v>
              </c:pt>
              <c:pt idx="643">
                <c:v>640.54999999999995</c:v>
              </c:pt>
              <c:pt idx="644">
                <c:v>637.1</c:v>
              </c:pt>
              <c:pt idx="645">
                <c:v>628.70000000000005</c:v>
              </c:pt>
              <c:pt idx="646">
                <c:v>633.4</c:v>
              </c:pt>
              <c:pt idx="647">
                <c:v>619.25</c:v>
              </c:pt>
              <c:pt idx="648">
                <c:v>620.9</c:v>
              </c:pt>
              <c:pt idx="649">
                <c:v>626.65</c:v>
              </c:pt>
              <c:pt idx="650">
                <c:v>641.95000000000005</c:v>
              </c:pt>
              <c:pt idx="651">
                <c:v>647.4</c:v>
              </c:pt>
              <c:pt idx="652">
                <c:v>648.15</c:v>
              </c:pt>
              <c:pt idx="653">
                <c:v>643.70000000000005</c:v>
              </c:pt>
              <c:pt idx="654">
                <c:v>650.65</c:v>
              </c:pt>
              <c:pt idx="655">
                <c:v>657.1</c:v>
              </c:pt>
              <c:pt idx="656">
                <c:v>650.95000000000005</c:v>
              </c:pt>
              <c:pt idx="657">
                <c:v>659.4</c:v>
              </c:pt>
              <c:pt idx="658">
                <c:v>648.95000000000005</c:v>
              </c:pt>
              <c:pt idx="659">
                <c:v>643.6</c:v>
              </c:pt>
              <c:pt idx="660">
                <c:v>648.65</c:v>
              </c:pt>
              <c:pt idx="661">
                <c:v>660.05</c:v>
              </c:pt>
              <c:pt idx="662">
                <c:v>648.9</c:v>
              </c:pt>
              <c:pt idx="663">
                <c:v>642.79999999999995</c:v>
              </c:pt>
              <c:pt idx="664">
                <c:v>645.95000000000005</c:v>
              </c:pt>
              <c:pt idx="665">
                <c:v>660.85</c:v>
              </c:pt>
              <c:pt idx="666">
                <c:v>663.9</c:v>
              </c:pt>
              <c:pt idx="667">
                <c:v>667.4</c:v>
              </c:pt>
              <c:pt idx="668">
                <c:v>655.45</c:v>
              </c:pt>
              <c:pt idx="669">
                <c:v>657.8</c:v>
              </c:pt>
              <c:pt idx="670">
                <c:v>666.25</c:v>
              </c:pt>
              <c:pt idx="671">
                <c:v>663</c:v>
              </c:pt>
              <c:pt idx="672">
                <c:v>662.25</c:v>
              </c:pt>
              <c:pt idx="673">
                <c:v>659.45</c:v>
              </c:pt>
              <c:pt idx="674">
                <c:v>660.6</c:v>
              </c:pt>
              <c:pt idx="675">
                <c:v>646.1</c:v>
              </c:pt>
              <c:pt idx="676">
                <c:v>660.2</c:v>
              </c:pt>
              <c:pt idx="677">
                <c:v>671</c:v>
              </c:pt>
              <c:pt idx="678">
                <c:v>659.45</c:v>
              </c:pt>
              <c:pt idx="679">
                <c:v>653.29999999999995</c:v>
              </c:pt>
              <c:pt idx="680">
                <c:v>654.29999999999995</c:v>
              </c:pt>
              <c:pt idx="681">
                <c:v>653.65</c:v>
              </c:pt>
              <c:pt idx="682">
                <c:v>637.79999999999995</c:v>
              </c:pt>
              <c:pt idx="683">
                <c:v>634.54999999999995</c:v>
              </c:pt>
              <c:pt idx="684">
                <c:v>638.35</c:v>
              </c:pt>
              <c:pt idx="685">
                <c:v>639.4</c:v>
              </c:pt>
              <c:pt idx="686">
                <c:v>637.85</c:v>
              </c:pt>
              <c:pt idx="687">
                <c:v>617.75</c:v>
              </c:pt>
              <c:pt idx="688">
                <c:v>622.45000000000005</c:v>
              </c:pt>
              <c:pt idx="689">
                <c:v>646</c:v>
              </c:pt>
              <c:pt idx="690">
                <c:v>640</c:v>
              </c:pt>
              <c:pt idx="691">
                <c:v>640.15</c:v>
              </c:pt>
              <c:pt idx="692">
                <c:v>633.85</c:v>
              </c:pt>
              <c:pt idx="693">
                <c:v>629.20000000000005</c:v>
              </c:pt>
              <c:pt idx="694">
                <c:v>622.95000000000005</c:v>
              </c:pt>
              <c:pt idx="695">
                <c:v>620.9</c:v>
              </c:pt>
              <c:pt idx="696">
                <c:v>610.70000000000005</c:v>
              </c:pt>
              <c:pt idx="697">
                <c:v>603.45000000000005</c:v>
              </c:pt>
              <c:pt idx="698">
                <c:v>634.6</c:v>
              </c:pt>
              <c:pt idx="699">
                <c:v>610.29999999999995</c:v>
              </c:pt>
              <c:pt idx="700">
                <c:v>627.9</c:v>
              </c:pt>
              <c:pt idx="701">
                <c:v>616.1</c:v>
              </c:pt>
              <c:pt idx="702">
                <c:v>608.5</c:v>
              </c:pt>
              <c:pt idx="703">
                <c:v>563.9</c:v>
              </c:pt>
              <c:pt idx="704">
                <c:v>531.85</c:v>
              </c:pt>
              <c:pt idx="705">
                <c:v>533.35</c:v>
              </c:pt>
              <c:pt idx="706">
                <c:v>526.79999999999995</c:v>
              </c:pt>
              <c:pt idx="707">
                <c:v>531.9</c:v>
              </c:pt>
              <c:pt idx="708">
                <c:v>528.1</c:v>
              </c:pt>
              <c:pt idx="709">
                <c:v>520.1</c:v>
              </c:pt>
              <c:pt idx="710">
                <c:v>519</c:v>
              </c:pt>
              <c:pt idx="711">
                <c:v>530.9</c:v>
              </c:pt>
              <c:pt idx="712">
                <c:v>528.70000000000005</c:v>
              </c:pt>
              <c:pt idx="713">
                <c:v>521.29999999999995</c:v>
              </c:pt>
              <c:pt idx="714">
                <c:v>522.04999999999995</c:v>
              </c:pt>
              <c:pt idx="715">
                <c:v>517.79999999999995</c:v>
              </c:pt>
              <c:pt idx="716">
                <c:v>522.25</c:v>
              </c:pt>
              <c:pt idx="717">
                <c:v>517.9</c:v>
              </c:pt>
              <c:pt idx="718">
                <c:v>515</c:v>
              </c:pt>
              <c:pt idx="719">
                <c:v>524.54999999999995</c:v>
              </c:pt>
              <c:pt idx="720">
                <c:v>539.9</c:v>
              </c:pt>
              <c:pt idx="721">
                <c:v>536.1</c:v>
              </c:pt>
              <c:pt idx="722">
                <c:v>546.35</c:v>
              </c:pt>
              <c:pt idx="723">
                <c:v>529.15</c:v>
              </c:pt>
              <c:pt idx="724">
                <c:v>517.20000000000005</c:v>
              </c:pt>
              <c:pt idx="725">
                <c:v>515.1</c:v>
              </c:pt>
              <c:pt idx="726">
                <c:v>513</c:v>
              </c:pt>
              <c:pt idx="727">
                <c:v>519.75</c:v>
              </c:pt>
              <c:pt idx="728">
                <c:v>530.25</c:v>
              </c:pt>
              <c:pt idx="729">
                <c:v>527.75</c:v>
              </c:pt>
              <c:pt idx="730">
                <c:v>521.4</c:v>
              </c:pt>
              <c:pt idx="731">
                <c:v>524.6</c:v>
              </c:pt>
              <c:pt idx="732">
                <c:v>523.1</c:v>
              </c:pt>
              <c:pt idx="733">
                <c:v>524.85</c:v>
              </c:pt>
              <c:pt idx="734">
                <c:v>519.85</c:v>
              </c:pt>
              <c:pt idx="735">
                <c:v>516.79999999999995</c:v>
              </c:pt>
              <c:pt idx="736">
                <c:v>517.85</c:v>
              </c:pt>
              <c:pt idx="737">
                <c:v>513.9</c:v>
              </c:pt>
              <c:pt idx="738">
                <c:v>517.95000000000005</c:v>
              </c:pt>
              <c:pt idx="739">
                <c:v>522</c:v>
              </c:pt>
              <c:pt idx="740">
                <c:v>520</c:v>
              </c:pt>
              <c:pt idx="741">
                <c:v>523</c:v>
              </c:pt>
              <c:pt idx="742">
                <c:v>515.65</c:v>
              </c:pt>
              <c:pt idx="743">
                <c:v>512.9</c:v>
              </c:pt>
              <c:pt idx="744">
                <c:v>513.4</c:v>
              </c:pt>
              <c:pt idx="745">
                <c:v>513.65</c:v>
              </c:pt>
              <c:pt idx="746">
                <c:v>513.35</c:v>
              </c:pt>
              <c:pt idx="747">
                <c:v>510.8</c:v>
              </c:pt>
              <c:pt idx="748">
                <c:v>513.54999999999995</c:v>
              </c:pt>
              <c:pt idx="749">
                <c:v>511.05</c:v>
              </c:pt>
              <c:pt idx="750">
                <c:v>512.25</c:v>
              </c:pt>
              <c:pt idx="751">
                <c:v>514.75</c:v>
              </c:pt>
              <c:pt idx="752">
                <c:v>512.20000000000005</c:v>
              </c:pt>
              <c:pt idx="753">
                <c:v>509.75</c:v>
              </c:pt>
              <c:pt idx="754">
                <c:v>509.7</c:v>
              </c:pt>
              <c:pt idx="755">
                <c:v>510.8</c:v>
              </c:pt>
              <c:pt idx="756">
                <c:v>506.95</c:v>
              </c:pt>
              <c:pt idx="757">
                <c:v>509.6</c:v>
              </c:pt>
              <c:pt idx="758">
                <c:v>500.65</c:v>
              </c:pt>
              <c:pt idx="759">
                <c:v>506.9</c:v>
              </c:pt>
              <c:pt idx="760">
                <c:v>491.95</c:v>
              </c:pt>
              <c:pt idx="761">
                <c:v>504.45</c:v>
              </c:pt>
              <c:pt idx="762">
                <c:v>505.8</c:v>
              </c:pt>
              <c:pt idx="763">
                <c:v>516.25</c:v>
              </c:pt>
              <c:pt idx="764">
                <c:v>520.54999999999995</c:v>
              </c:pt>
              <c:pt idx="765">
                <c:v>508.7</c:v>
              </c:pt>
              <c:pt idx="766">
                <c:v>508.85</c:v>
              </c:pt>
              <c:pt idx="767">
                <c:v>527.95000000000005</c:v>
              </c:pt>
              <c:pt idx="768">
                <c:v>533.85</c:v>
              </c:pt>
              <c:pt idx="769">
                <c:v>535.04999999999995</c:v>
              </c:pt>
              <c:pt idx="770">
                <c:v>543.5</c:v>
              </c:pt>
              <c:pt idx="771">
                <c:v>542.20000000000005</c:v>
              </c:pt>
              <c:pt idx="772">
                <c:v>543.5</c:v>
              </c:pt>
              <c:pt idx="773">
                <c:v>542.79999999999995</c:v>
              </c:pt>
              <c:pt idx="774">
                <c:v>540.4</c:v>
              </c:pt>
              <c:pt idx="775">
                <c:v>541.35</c:v>
              </c:pt>
              <c:pt idx="776">
                <c:v>539.20000000000005</c:v>
              </c:pt>
              <c:pt idx="777">
                <c:v>541.04999999999995</c:v>
              </c:pt>
              <c:pt idx="778">
                <c:v>543.1</c:v>
              </c:pt>
              <c:pt idx="779">
                <c:v>541.75</c:v>
              </c:pt>
              <c:pt idx="780">
                <c:v>549.04999999999995</c:v>
              </c:pt>
              <c:pt idx="781">
                <c:v>550.35</c:v>
              </c:pt>
              <c:pt idx="782">
                <c:v>550.95000000000005</c:v>
              </c:pt>
              <c:pt idx="783">
                <c:v>554.85</c:v>
              </c:pt>
              <c:pt idx="784">
                <c:v>551.65</c:v>
              </c:pt>
              <c:pt idx="785">
                <c:v>548.54999999999995</c:v>
              </c:pt>
              <c:pt idx="786">
                <c:v>547.6</c:v>
              </c:pt>
              <c:pt idx="787">
                <c:v>540.85</c:v>
              </c:pt>
              <c:pt idx="788">
                <c:v>539.5</c:v>
              </c:pt>
              <c:pt idx="789">
                <c:v>539.85</c:v>
              </c:pt>
              <c:pt idx="790">
                <c:v>539.1</c:v>
              </c:pt>
              <c:pt idx="791">
                <c:v>533.1</c:v>
              </c:pt>
              <c:pt idx="792">
                <c:v>533.54999999999995</c:v>
              </c:pt>
              <c:pt idx="793">
                <c:v>531.75</c:v>
              </c:pt>
              <c:pt idx="794">
                <c:v>534.54999999999995</c:v>
              </c:pt>
              <c:pt idx="795">
                <c:v>533</c:v>
              </c:pt>
              <c:pt idx="796">
                <c:v>533.1</c:v>
              </c:pt>
              <c:pt idx="797">
                <c:v>526.85</c:v>
              </c:pt>
              <c:pt idx="798">
                <c:v>526.85</c:v>
              </c:pt>
              <c:pt idx="799">
                <c:v>529.20000000000005</c:v>
              </c:pt>
              <c:pt idx="800">
                <c:v>525.15</c:v>
              </c:pt>
              <c:pt idx="801">
                <c:v>525.85</c:v>
              </c:pt>
              <c:pt idx="802">
                <c:v>529.29999999999995</c:v>
              </c:pt>
              <c:pt idx="803">
                <c:v>525.95000000000005</c:v>
              </c:pt>
              <c:pt idx="804">
                <c:v>525.75</c:v>
              </c:pt>
              <c:pt idx="805">
                <c:v>520.20000000000005</c:v>
              </c:pt>
              <c:pt idx="806">
                <c:v>522.1</c:v>
              </c:pt>
              <c:pt idx="807">
                <c:v>534</c:v>
              </c:pt>
              <c:pt idx="808">
                <c:v>525.6</c:v>
              </c:pt>
              <c:pt idx="809">
                <c:v>531.6</c:v>
              </c:pt>
              <c:pt idx="810">
                <c:v>546.15</c:v>
              </c:pt>
              <c:pt idx="811">
                <c:v>544.35</c:v>
              </c:pt>
              <c:pt idx="812">
                <c:v>554.35</c:v>
              </c:pt>
              <c:pt idx="813">
                <c:v>566.1</c:v>
              </c:pt>
              <c:pt idx="814">
                <c:v>559.29999999999995</c:v>
              </c:pt>
              <c:pt idx="815">
                <c:v>562</c:v>
              </c:pt>
              <c:pt idx="816">
                <c:v>560.15</c:v>
              </c:pt>
              <c:pt idx="817">
                <c:v>562.04999999999995</c:v>
              </c:pt>
              <c:pt idx="818">
                <c:v>559.79999999999995</c:v>
              </c:pt>
              <c:pt idx="819">
                <c:v>555.25</c:v>
              </c:pt>
              <c:pt idx="820">
                <c:v>568.45000000000005</c:v>
              </c:pt>
              <c:pt idx="821">
                <c:v>564.25</c:v>
              </c:pt>
              <c:pt idx="822">
                <c:v>564.85</c:v>
              </c:pt>
              <c:pt idx="823">
                <c:v>564.4</c:v>
              </c:pt>
              <c:pt idx="824">
                <c:v>563.6</c:v>
              </c:pt>
              <c:pt idx="825">
                <c:v>558.9</c:v>
              </c:pt>
              <c:pt idx="826">
                <c:v>557.95000000000005</c:v>
              </c:pt>
              <c:pt idx="827">
                <c:v>557.29999999999995</c:v>
              </c:pt>
              <c:pt idx="828">
                <c:v>554.29999999999995</c:v>
              </c:pt>
              <c:pt idx="829">
                <c:v>544.29999999999995</c:v>
              </c:pt>
              <c:pt idx="830">
                <c:v>556.15</c:v>
              </c:pt>
              <c:pt idx="831">
                <c:v>555.4</c:v>
              </c:pt>
              <c:pt idx="832">
                <c:v>550.54999999999995</c:v>
              </c:pt>
              <c:pt idx="833">
                <c:v>543.95000000000005</c:v>
              </c:pt>
              <c:pt idx="834">
                <c:v>565.6</c:v>
              </c:pt>
              <c:pt idx="835">
                <c:v>558.75</c:v>
              </c:pt>
              <c:pt idx="836">
                <c:v>554.04999999999995</c:v>
              </c:pt>
              <c:pt idx="837">
                <c:v>563.45000000000005</c:v>
              </c:pt>
              <c:pt idx="838">
                <c:v>570.35</c:v>
              </c:pt>
              <c:pt idx="839">
                <c:v>578.35</c:v>
              </c:pt>
              <c:pt idx="840">
                <c:v>577.79999999999995</c:v>
              </c:pt>
              <c:pt idx="841">
                <c:v>563.1</c:v>
              </c:pt>
              <c:pt idx="842">
                <c:v>563.29999999999995</c:v>
              </c:pt>
              <c:pt idx="843">
                <c:v>559.1</c:v>
              </c:pt>
              <c:pt idx="844">
                <c:v>568.29999999999995</c:v>
              </c:pt>
              <c:pt idx="845">
                <c:v>563.25</c:v>
              </c:pt>
              <c:pt idx="846">
                <c:v>560.9</c:v>
              </c:pt>
              <c:pt idx="847">
                <c:v>549.6</c:v>
              </c:pt>
              <c:pt idx="848">
                <c:v>553.70000000000005</c:v>
              </c:pt>
              <c:pt idx="849">
                <c:v>560.1</c:v>
              </c:pt>
              <c:pt idx="850">
                <c:v>561.04999999999995</c:v>
              </c:pt>
              <c:pt idx="851">
                <c:v>562.79999999999995</c:v>
              </c:pt>
              <c:pt idx="852">
                <c:v>555.9</c:v>
              </c:pt>
              <c:pt idx="853">
                <c:v>544.79999999999995</c:v>
              </c:pt>
              <c:pt idx="854">
                <c:v>547.4</c:v>
              </c:pt>
              <c:pt idx="855">
                <c:v>533.5</c:v>
              </c:pt>
              <c:pt idx="856">
                <c:v>551.35</c:v>
              </c:pt>
              <c:pt idx="857">
                <c:v>551.75</c:v>
              </c:pt>
              <c:pt idx="858">
                <c:v>549.75</c:v>
              </c:pt>
              <c:pt idx="859">
                <c:v>550.45000000000005</c:v>
              </c:pt>
              <c:pt idx="860">
                <c:v>555.95000000000005</c:v>
              </c:pt>
              <c:pt idx="861">
                <c:v>552</c:v>
              </c:pt>
              <c:pt idx="862">
                <c:v>552.45000000000005</c:v>
              </c:pt>
              <c:pt idx="863">
                <c:v>555.9</c:v>
              </c:pt>
              <c:pt idx="864">
                <c:v>555.15</c:v>
              </c:pt>
              <c:pt idx="865">
                <c:v>553.04999999999995</c:v>
              </c:pt>
              <c:pt idx="866">
                <c:v>551.45000000000005</c:v>
              </c:pt>
              <c:pt idx="867">
                <c:v>549.95000000000005</c:v>
              </c:pt>
              <c:pt idx="868">
                <c:v>538.75</c:v>
              </c:pt>
              <c:pt idx="869">
                <c:v>548.45000000000005</c:v>
              </c:pt>
              <c:pt idx="870">
                <c:v>544.65</c:v>
              </c:pt>
              <c:pt idx="871">
                <c:v>552.29999999999995</c:v>
              </c:pt>
              <c:pt idx="872">
                <c:v>556.65</c:v>
              </c:pt>
              <c:pt idx="873">
                <c:v>550.75</c:v>
              </c:pt>
              <c:pt idx="874">
                <c:v>553.6</c:v>
              </c:pt>
              <c:pt idx="875">
                <c:v>557.4</c:v>
              </c:pt>
              <c:pt idx="876">
                <c:v>547.04999999999995</c:v>
              </c:pt>
              <c:pt idx="877">
                <c:v>536.85</c:v>
              </c:pt>
              <c:pt idx="878">
                <c:v>530.6</c:v>
              </c:pt>
              <c:pt idx="879">
                <c:v>528.79999999999995</c:v>
              </c:pt>
              <c:pt idx="880">
                <c:v>518.75</c:v>
              </c:pt>
              <c:pt idx="881">
                <c:v>536.20000000000005</c:v>
              </c:pt>
              <c:pt idx="882">
                <c:v>532.45000000000005</c:v>
              </c:pt>
              <c:pt idx="883">
                <c:v>522.04999999999995</c:v>
              </c:pt>
              <c:pt idx="884">
                <c:v>520.15</c:v>
              </c:pt>
              <c:pt idx="885">
                <c:v>520.95000000000005</c:v>
              </c:pt>
              <c:pt idx="886">
                <c:v>512.25</c:v>
              </c:pt>
              <c:pt idx="887">
                <c:v>515.70000000000005</c:v>
              </c:pt>
              <c:pt idx="888">
                <c:v>518.9</c:v>
              </c:pt>
              <c:pt idx="889">
                <c:v>500.2</c:v>
              </c:pt>
              <c:pt idx="890">
                <c:v>519</c:v>
              </c:pt>
              <c:pt idx="891">
                <c:v>503.3</c:v>
              </c:pt>
              <c:pt idx="892">
                <c:v>485.2</c:v>
              </c:pt>
              <c:pt idx="893">
                <c:v>475.4</c:v>
              </c:pt>
              <c:pt idx="894">
                <c:v>478.5</c:v>
              </c:pt>
              <c:pt idx="895">
                <c:v>476.25</c:v>
              </c:pt>
              <c:pt idx="896">
                <c:v>475.9</c:v>
              </c:pt>
              <c:pt idx="897">
                <c:v>478.8</c:v>
              </c:pt>
              <c:pt idx="898">
                <c:v>468.05</c:v>
              </c:pt>
              <c:pt idx="899">
                <c:v>463.1</c:v>
              </c:pt>
              <c:pt idx="900">
                <c:v>465.9</c:v>
              </c:pt>
              <c:pt idx="901">
                <c:v>465.1</c:v>
              </c:pt>
              <c:pt idx="902">
                <c:v>465.2</c:v>
              </c:pt>
              <c:pt idx="903">
                <c:v>464</c:v>
              </c:pt>
              <c:pt idx="904">
                <c:v>464.45</c:v>
              </c:pt>
              <c:pt idx="905">
                <c:v>472.55</c:v>
              </c:pt>
              <c:pt idx="906">
                <c:v>469.35</c:v>
              </c:pt>
              <c:pt idx="907">
                <c:v>471.15</c:v>
              </c:pt>
              <c:pt idx="908">
                <c:v>478.35</c:v>
              </c:pt>
              <c:pt idx="909">
                <c:v>475</c:v>
              </c:pt>
              <c:pt idx="910">
                <c:v>474.9</c:v>
              </c:pt>
              <c:pt idx="911">
                <c:v>471.45</c:v>
              </c:pt>
              <c:pt idx="912">
                <c:v>468.1</c:v>
              </c:pt>
              <c:pt idx="913">
                <c:v>468.65</c:v>
              </c:pt>
              <c:pt idx="914">
                <c:v>470.45</c:v>
              </c:pt>
              <c:pt idx="915">
                <c:v>460.4</c:v>
              </c:pt>
              <c:pt idx="916">
                <c:v>458.95</c:v>
              </c:pt>
              <c:pt idx="917">
                <c:v>451.35</c:v>
              </c:pt>
              <c:pt idx="918">
                <c:v>463.4</c:v>
              </c:pt>
              <c:pt idx="919">
                <c:v>448.9</c:v>
              </c:pt>
              <c:pt idx="920">
                <c:v>449.8</c:v>
              </c:pt>
              <c:pt idx="921">
                <c:v>434.45</c:v>
              </c:pt>
              <c:pt idx="922">
                <c:v>438.95</c:v>
              </c:pt>
              <c:pt idx="923">
                <c:v>439.45</c:v>
              </c:pt>
              <c:pt idx="924">
                <c:v>425.05</c:v>
              </c:pt>
              <c:pt idx="925">
                <c:v>412.45</c:v>
              </c:pt>
              <c:pt idx="926">
                <c:v>418.1</c:v>
              </c:pt>
              <c:pt idx="927">
                <c:v>418.35</c:v>
              </c:pt>
              <c:pt idx="928">
                <c:v>408.55</c:v>
              </c:pt>
              <c:pt idx="929">
                <c:v>423.5</c:v>
              </c:pt>
              <c:pt idx="930">
                <c:v>422.25</c:v>
              </c:pt>
              <c:pt idx="931">
                <c:v>441.55</c:v>
              </c:pt>
              <c:pt idx="932">
                <c:v>440.85</c:v>
              </c:pt>
              <c:pt idx="933">
                <c:v>446.85</c:v>
              </c:pt>
              <c:pt idx="934">
                <c:v>446.55</c:v>
              </c:pt>
              <c:pt idx="935">
                <c:v>446.3</c:v>
              </c:pt>
              <c:pt idx="936">
                <c:v>443.8</c:v>
              </c:pt>
              <c:pt idx="937">
                <c:v>453.75</c:v>
              </c:pt>
              <c:pt idx="938">
                <c:v>454.95</c:v>
              </c:pt>
              <c:pt idx="939">
                <c:v>446.8</c:v>
              </c:pt>
              <c:pt idx="940">
                <c:v>459.7</c:v>
              </c:pt>
              <c:pt idx="941">
                <c:v>461.3</c:v>
              </c:pt>
              <c:pt idx="942">
                <c:v>473.25</c:v>
              </c:pt>
              <c:pt idx="943">
                <c:v>464.2</c:v>
              </c:pt>
              <c:pt idx="944">
                <c:v>467.15</c:v>
              </c:pt>
              <c:pt idx="945">
                <c:v>469.05</c:v>
              </c:pt>
              <c:pt idx="946">
                <c:v>467.85</c:v>
              </c:pt>
              <c:pt idx="947">
                <c:v>467.6</c:v>
              </c:pt>
              <c:pt idx="948">
                <c:v>480.5</c:v>
              </c:pt>
              <c:pt idx="949">
                <c:v>471.7</c:v>
              </c:pt>
              <c:pt idx="950">
                <c:v>462.9</c:v>
              </c:pt>
              <c:pt idx="951">
                <c:v>454.5</c:v>
              </c:pt>
              <c:pt idx="952">
                <c:v>448.25</c:v>
              </c:pt>
              <c:pt idx="953">
                <c:v>451.5</c:v>
              </c:pt>
              <c:pt idx="954">
                <c:v>463.1</c:v>
              </c:pt>
              <c:pt idx="955">
                <c:v>459.75</c:v>
              </c:pt>
              <c:pt idx="956">
                <c:v>471.75</c:v>
              </c:pt>
              <c:pt idx="957">
                <c:v>482.65</c:v>
              </c:pt>
              <c:pt idx="958">
                <c:v>485.5</c:v>
              </c:pt>
              <c:pt idx="959">
                <c:v>478.55</c:v>
              </c:pt>
              <c:pt idx="960">
                <c:v>483.35</c:v>
              </c:pt>
              <c:pt idx="961">
                <c:v>478.3</c:v>
              </c:pt>
              <c:pt idx="962">
                <c:v>467.75</c:v>
              </c:pt>
              <c:pt idx="963">
                <c:v>468.15</c:v>
              </c:pt>
              <c:pt idx="964">
                <c:v>466.6</c:v>
              </c:pt>
              <c:pt idx="965">
                <c:v>464.35</c:v>
              </c:pt>
              <c:pt idx="966">
                <c:v>464.7</c:v>
              </c:pt>
              <c:pt idx="967">
                <c:v>469.9</c:v>
              </c:pt>
              <c:pt idx="968">
                <c:v>462</c:v>
              </c:pt>
              <c:pt idx="969">
                <c:v>455.6</c:v>
              </c:pt>
              <c:pt idx="970">
                <c:v>447.75</c:v>
              </c:pt>
              <c:pt idx="971">
                <c:v>453</c:v>
              </c:pt>
              <c:pt idx="972">
                <c:v>449.7</c:v>
              </c:pt>
              <c:pt idx="973">
                <c:v>460.6</c:v>
              </c:pt>
              <c:pt idx="974">
                <c:v>461.35</c:v>
              </c:pt>
              <c:pt idx="975">
                <c:v>458.6</c:v>
              </c:pt>
              <c:pt idx="976">
                <c:v>463.85</c:v>
              </c:pt>
              <c:pt idx="977">
                <c:v>467.75</c:v>
              </c:pt>
              <c:pt idx="978">
                <c:v>467.65</c:v>
              </c:pt>
              <c:pt idx="979">
                <c:v>465.65</c:v>
              </c:pt>
              <c:pt idx="980">
                <c:v>467.75</c:v>
              </c:pt>
              <c:pt idx="981">
                <c:v>478.6</c:v>
              </c:pt>
              <c:pt idx="982">
                <c:v>474.15</c:v>
              </c:pt>
              <c:pt idx="983">
                <c:v>481.4</c:v>
              </c:pt>
              <c:pt idx="984">
                <c:v>479.8</c:v>
              </c:pt>
              <c:pt idx="985">
                <c:v>478.45</c:v>
              </c:pt>
              <c:pt idx="986">
                <c:v>476.05</c:v>
              </c:pt>
              <c:pt idx="987">
                <c:v>473.7</c:v>
              </c:pt>
              <c:pt idx="988">
                <c:v>470.25</c:v>
              </c:pt>
              <c:pt idx="989">
                <c:v>466.75</c:v>
              </c:pt>
              <c:pt idx="990">
                <c:v>468.75</c:v>
              </c:pt>
              <c:pt idx="991">
                <c:v>464.55</c:v>
              </c:pt>
              <c:pt idx="992">
                <c:v>470</c:v>
              </c:pt>
              <c:pt idx="993">
                <c:v>473.15</c:v>
              </c:pt>
              <c:pt idx="994">
                <c:v>477.45</c:v>
              </c:pt>
              <c:pt idx="995">
                <c:v>484.4</c:v>
              </c:pt>
              <c:pt idx="996">
                <c:v>483.7</c:v>
              </c:pt>
              <c:pt idx="997">
                <c:v>479.95</c:v>
              </c:pt>
              <c:pt idx="998">
                <c:v>480.25</c:v>
              </c:pt>
              <c:pt idx="999">
                <c:v>480.15</c:v>
              </c:pt>
              <c:pt idx="1000">
                <c:v>473.25</c:v>
              </c:pt>
              <c:pt idx="1001">
                <c:v>471.75</c:v>
              </c:pt>
              <c:pt idx="1002">
                <c:v>464.8</c:v>
              </c:pt>
              <c:pt idx="1003">
                <c:v>458.1</c:v>
              </c:pt>
              <c:pt idx="1004">
                <c:v>464.65</c:v>
              </c:pt>
              <c:pt idx="1005">
                <c:v>464.65</c:v>
              </c:pt>
              <c:pt idx="1006">
                <c:v>461.35</c:v>
              </c:pt>
              <c:pt idx="1007">
                <c:v>451.5</c:v>
              </c:pt>
              <c:pt idx="1008">
                <c:v>446.9</c:v>
              </c:pt>
              <c:pt idx="1009">
                <c:v>442.8</c:v>
              </c:pt>
              <c:pt idx="1010">
                <c:v>444.4</c:v>
              </c:pt>
              <c:pt idx="1011">
                <c:v>448.6</c:v>
              </c:pt>
              <c:pt idx="1012">
                <c:v>446.8</c:v>
              </c:pt>
              <c:pt idx="1013">
                <c:v>439.7</c:v>
              </c:pt>
              <c:pt idx="1014">
                <c:v>443.15</c:v>
              </c:pt>
              <c:pt idx="1015">
                <c:v>444.85</c:v>
              </c:pt>
              <c:pt idx="1016">
                <c:v>450.65</c:v>
              </c:pt>
              <c:pt idx="1017">
                <c:v>446.75</c:v>
              </c:pt>
              <c:pt idx="1018">
                <c:v>443.55</c:v>
              </c:pt>
              <c:pt idx="1019">
                <c:v>446.95</c:v>
              </c:pt>
              <c:pt idx="1020">
                <c:v>431.7</c:v>
              </c:pt>
              <c:pt idx="1021">
                <c:v>435.65</c:v>
              </c:pt>
              <c:pt idx="1022">
                <c:v>447.45</c:v>
              </c:pt>
              <c:pt idx="1023">
                <c:v>435.55</c:v>
              </c:pt>
              <c:pt idx="1024">
                <c:v>430.3</c:v>
              </c:pt>
              <c:pt idx="1025">
                <c:v>425.35</c:v>
              </c:pt>
              <c:pt idx="1026">
                <c:v>422.45</c:v>
              </c:pt>
              <c:pt idx="1027">
                <c:v>421.45</c:v>
              </c:pt>
              <c:pt idx="1028">
                <c:v>401.45</c:v>
              </c:pt>
              <c:pt idx="1029">
                <c:v>403.7</c:v>
              </c:pt>
              <c:pt idx="1030">
                <c:v>425.7</c:v>
              </c:pt>
              <c:pt idx="1031">
                <c:v>447.7</c:v>
              </c:pt>
              <c:pt idx="1032">
                <c:v>440.45</c:v>
              </c:pt>
              <c:pt idx="1033">
                <c:v>433.95</c:v>
              </c:pt>
              <c:pt idx="1034">
                <c:v>425.55</c:v>
              </c:pt>
              <c:pt idx="1035">
                <c:v>417.55</c:v>
              </c:pt>
              <c:pt idx="1036">
                <c:v>394.85</c:v>
              </c:pt>
              <c:pt idx="1037">
                <c:v>425.2</c:v>
              </c:pt>
              <c:pt idx="1038">
                <c:v>396.4</c:v>
              </c:pt>
              <c:pt idx="1039">
                <c:v>401.75</c:v>
              </c:pt>
              <c:pt idx="1040">
                <c:v>386.7</c:v>
              </c:pt>
              <c:pt idx="1041">
                <c:v>374.6</c:v>
              </c:pt>
              <c:pt idx="1042">
                <c:v>393.6</c:v>
              </c:pt>
              <c:pt idx="1043">
                <c:v>377.6</c:v>
              </c:pt>
              <c:pt idx="1044">
                <c:v>377.65</c:v>
              </c:pt>
              <c:pt idx="1045">
                <c:v>376.7</c:v>
              </c:pt>
              <c:pt idx="1046">
                <c:v>386.65</c:v>
              </c:pt>
              <c:pt idx="1047">
                <c:v>408.45</c:v>
              </c:pt>
              <c:pt idx="1048">
                <c:v>432.1</c:v>
              </c:pt>
              <c:pt idx="1049">
                <c:v>423</c:v>
              </c:pt>
              <c:pt idx="1050">
                <c:v>413.55</c:v>
              </c:pt>
              <c:pt idx="1051">
                <c:v>449.1</c:v>
              </c:pt>
              <c:pt idx="1052">
                <c:v>491.95</c:v>
              </c:pt>
              <c:pt idx="1053">
                <c:v>513</c:v>
              </c:pt>
              <c:pt idx="1054">
                <c:v>579.5</c:v>
              </c:pt>
              <c:pt idx="1055">
                <c:v>592.70000000000005</c:v>
              </c:pt>
              <c:pt idx="1056">
                <c:v>592.54999999999995</c:v>
              </c:pt>
              <c:pt idx="1057">
                <c:v>600.54999999999995</c:v>
              </c:pt>
              <c:pt idx="1058">
                <c:v>598.1</c:v>
              </c:pt>
              <c:pt idx="1059">
                <c:v>584.75</c:v>
              </c:pt>
              <c:pt idx="1060">
                <c:v>590.79999999999995</c:v>
              </c:pt>
              <c:pt idx="1061">
                <c:v>587.1</c:v>
              </c:pt>
              <c:pt idx="1062">
                <c:v>586.65</c:v>
              </c:pt>
              <c:pt idx="1063">
                <c:v>599.6</c:v>
              </c:pt>
              <c:pt idx="1064">
                <c:v>608.70000000000005</c:v>
              </c:pt>
              <c:pt idx="1065">
                <c:v>598.45000000000005</c:v>
              </c:pt>
              <c:pt idx="1066">
                <c:v>596.65</c:v>
              </c:pt>
              <c:pt idx="1067">
                <c:v>589.5</c:v>
              </c:pt>
              <c:pt idx="1068">
                <c:v>612</c:v>
              </c:pt>
              <c:pt idx="1069">
                <c:v>597.04999999999995</c:v>
              </c:pt>
              <c:pt idx="1070">
                <c:v>592.04999999999995</c:v>
              </c:pt>
              <c:pt idx="1071">
                <c:v>589.4</c:v>
              </c:pt>
              <c:pt idx="1072">
                <c:v>591.85</c:v>
              </c:pt>
              <c:pt idx="1073">
                <c:v>586.1</c:v>
              </c:pt>
              <c:pt idx="1074">
                <c:v>570</c:v>
              </c:pt>
              <c:pt idx="1075">
                <c:v>570.20000000000005</c:v>
              </c:pt>
              <c:pt idx="1076">
                <c:v>569.6</c:v>
              </c:pt>
              <c:pt idx="1077">
                <c:v>570.20000000000005</c:v>
              </c:pt>
              <c:pt idx="1078">
                <c:v>600.6</c:v>
              </c:pt>
              <c:pt idx="1079">
                <c:v>594.79999999999995</c:v>
              </c:pt>
              <c:pt idx="1080">
                <c:v>620.35</c:v>
              </c:pt>
              <c:pt idx="1081">
                <c:v>616.45000000000005</c:v>
              </c:pt>
              <c:pt idx="1082">
                <c:v>639</c:v>
              </c:pt>
              <c:pt idx="1083">
                <c:v>627.85</c:v>
              </c:pt>
              <c:pt idx="1084">
                <c:v>632.9</c:v>
              </c:pt>
              <c:pt idx="1085">
                <c:v>628.29999999999995</c:v>
              </c:pt>
              <c:pt idx="1086">
                <c:v>647.6</c:v>
              </c:pt>
              <c:pt idx="1087">
                <c:v>642.04999999999995</c:v>
              </c:pt>
              <c:pt idx="1088">
                <c:v>637.45000000000005</c:v>
              </c:pt>
              <c:pt idx="1089">
                <c:v>641.45000000000005</c:v>
              </c:pt>
              <c:pt idx="1090">
                <c:v>660.9</c:v>
              </c:pt>
              <c:pt idx="1091">
                <c:v>651.1</c:v>
              </c:pt>
              <c:pt idx="1092">
                <c:v>635.25</c:v>
              </c:pt>
              <c:pt idx="1093">
                <c:v>639.9</c:v>
              </c:pt>
              <c:pt idx="1094">
                <c:v>642.5</c:v>
              </c:pt>
              <c:pt idx="1095">
                <c:v>634.95000000000005</c:v>
              </c:pt>
              <c:pt idx="1096">
                <c:v>643.65</c:v>
              </c:pt>
              <c:pt idx="1097">
                <c:v>643.35</c:v>
              </c:pt>
              <c:pt idx="1098">
                <c:v>637.85</c:v>
              </c:pt>
              <c:pt idx="1099">
                <c:v>640.5</c:v>
              </c:pt>
              <c:pt idx="1100">
                <c:v>641.54999999999995</c:v>
              </c:pt>
              <c:pt idx="1101">
                <c:v>637.1</c:v>
              </c:pt>
              <c:pt idx="1102">
                <c:v>655.8</c:v>
              </c:pt>
              <c:pt idx="1103">
                <c:v>659.7</c:v>
              </c:pt>
              <c:pt idx="1104">
                <c:v>631.65</c:v>
              </c:pt>
              <c:pt idx="1105">
                <c:v>635.1</c:v>
              </c:pt>
              <c:pt idx="1106">
                <c:v>634.70000000000005</c:v>
              </c:pt>
              <c:pt idx="1107">
                <c:v>645.04999999999995</c:v>
              </c:pt>
              <c:pt idx="1108">
                <c:v>640.04999999999995</c:v>
              </c:pt>
              <c:pt idx="1109">
                <c:v>627.1</c:v>
              </c:pt>
              <c:pt idx="1110">
                <c:v>645.79999999999995</c:v>
              </c:pt>
              <c:pt idx="1111">
                <c:v>638.85</c:v>
              </c:pt>
              <c:pt idx="1112">
                <c:v>634.6</c:v>
              </c:pt>
              <c:pt idx="1113">
                <c:v>636.4</c:v>
              </c:pt>
              <c:pt idx="1114">
                <c:v>634.45000000000005</c:v>
              </c:pt>
              <c:pt idx="1115">
                <c:v>638.79999999999995</c:v>
              </c:pt>
              <c:pt idx="1116">
                <c:v>638.65</c:v>
              </c:pt>
              <c:pt idx="1117">
                <c:v>638.15</c:v>
              </c:pt>
              <c:pt idx="1118">
                <c:v>632.20000000000005</c:v>
              </c:pt>
              <c:pt idx="1119">
                <c:v>638.15</c:v>
              </c:pt>
              <c:pt idx="1120">
                <c:v>674.5</c:v>
              </c:pt>
              <c:pt idx="1121">
                <c:v>689</c:v>
              </c:pt>
              <c:pt idx="1122">
                <c:v>674.3</c:v>
              </c:pt>
              <c:pt idx="1123">
                <c:v>661.4</c:v>
              </c:pt>
              <c:pt idx="1124">
                <c:v>661.8</c:v>
              </c:pt>
              <c:pt idx="1125">
                <c:v>671.55</c:v>
              </c:pt>
              <c:pt idx="1126">
                <c:v>665.5</c:v>
              </c:pt>
              <c:pt idx="1127">
                <c:v>652.65</c:v>
              </c:pt>
              <c:pt idx="1128">
                <c:v>662.7</c:v>
              </c:pt>
              <c:pt idx="1129">
                <c:v>681.25</c:v>
              </c:pt>
              <c:pt idx="1130">
                <c:v>685.95</c:v>
              </c:pt>
              <c:pt idx="1131">
                <c:v>720.3</c:v>
              </c:pt>
              <c:pt idx="1132">
                <c:v>710.55</c:v>
              </c:pt>
              <c:pt idx="1133">
                <c:v>713.85</c:v>
              </c:pt>
              <c:pt idx="1134">
                <c:v>722.55</c:v>
              </c:pt>
              <c:pt idx="1135">
                <c:v>731.7</c:v>
              </c:pt>
              <c:pt idx="1136">
                <c:v>728.6</c:v>
              </c:pt>
              <c:pt idx="1137">
                <c:v>795.65</c:v>
              </c:pt>
              <c:pt idx="1138">
                <c:v>778.7</c:v>
              </c:pt>
              <c:pt idx="1139">
                <c:v>762.2</c:v>
              </c:pt>
              <c:pt idx="1140">
                <c:v>760.4</c:v>
              </c:pt>
              <c:pt idx="1141">
                <c:v>771.8</c:v>
              </c:pt>
              <c:pt idx="1142">
                <c:v>771.45</c:v>
              </c:pt>
              <c:pt idx="1143">
                <c:v>764.65</c:v>
              </c:pt>
              <c:pt idx="1144">
                <c:v>758.45</c:v>
              </c:pt>
              <c:pt idx="1145">
                <c:v>762.65</c:v>
              </c:pt>
              <c:pt idx="1146">
                <c:v>761.15</c:v>
              </c:pt>
              <c:pt idx="1147">
                <c:v>751.95</c:v>
              </c:pt>
              <c:pt idx="1148">
                <c:v>747.5</c:v>
              </c:pt>
              <c:pt idx="1149">
                <c:v>747.95</c:v>
              </c:pt>
              <c:pt idx="1150">
                <c:v>756.05</c:v>
              </c:pt>
              <c:pt idx="1151">
                <c:v>748.8</c:v>
              </c:pt>
              <c:pt idx="1152">
                <c:v>712.1</c:v>
              </c:pt>
              <c:pt idx="1153">
                <c:v>737.25</c:v>
              </c:pt>
              <c:pt idx="1154">
                <c:v>737.9</c:v>
              </c:pt>
              <c:pt idx="1155">
                <c:v>738.6</c:v>
              </c:pt>
              <c:pt idx="1156">
                <c:v>724.7</c:v>
              </c:pt>
              <c:pt idx="1157">
                <c:v>716.65</c:v>
              </c:pt>
              <c:pt idx="1158">
                <c:v>708.35</c:v>
              </c:pt>
              <c:pt idx="1159">
                <c:v>727.8</c:v>
              </c:pt>
              <c:pt idx="1160">
                <c:v>727.35</c:v>
              </c:pt>
              <c:pt idx="1161">
                <c:v>725.5</c:v>
              </c:pt>
              <c:pt idx="1162">
                <c:v>721.75</c:v>
              </c:pt>
              <c:pt idx="1163">
                <c:v>742.3</c:v>
              </c:pt>
              <c:pt idx="1164">
                <c:v>752.7</c:v>
              </c:pt>
              <c:pt idx="1165">
                <c:v>752.05</c:v>
              </c:pt>
              <c:pt idx="1166">
                <c:v>806.85</c:v>
              </c:pt>
              <c:pt idx="1167">
                <c:v>767.7</c:v>
              </c:pt>
              <c:pt idx="1168">
                <c:v>778.2</c:v>
              </c:pt>
              <c:pt idx="1169">
                <c:v>766.9</c:v>
              </c:pt>
              <c:pt idx="1170">
                <c:v>732.8</c:v>
              </c:pt>
              <c:pt idx="1171">
                <c:v>770.2</c:v>
              </c:pt>
              <c:pt idx="1172">
                <c:v>774.65</c:v>
              </c:pt>
              <c:pt idx="1173">
                <c:v>762.25</c:v>
              </c:pt>
              <c:pt idx="1174">
                <c:v>774.75</c:v>
              </c:pt>
              <c:pt idx="1175">
                <c:v>773.1</c:v>
              </c:pt>
              <c:pt idx="1176">
                <c:v>779.1</c:v>
              </c:pt>
              <c:pt idx="1177">
                <c:v>780.2</c:v>
              </c:pt>
              <c:pt idx="1178">
                <c:v>773.65</c:v>
              </c:pt>
              <c:pt idx="1179">
                <c:v>811.4</c:v>
              </c:pt>
              <c:pt idx="1180">
                <c:v>803.3</c:v>
              </c:pt>
              <c:pt idx="1181">
                <c:v>814.7</c:v>
              </c:pt>
              <c:pt idx="1182">
                <c:v>788.25</c:v>
              </c:pt>
              <c:pt idx="1183">
                <c:v>781.4</c:v>
              </c:pt>
              <c:pt idx="1184">
                <c:v>768.45</c:v>
              </c:pt>
              <c:pt idx="1185">
                <c:v>782.1</c:v>
              </c:pt>
              <c:pt idx="1186">
                <c:v>763.85</c:v>
              </c:pt>
              <c:pt idx="1187">
                <c:v>764.05</c:v>
              </c:pt>
              <c:pt idx="1188">
                <c:v>767.55</c:v>
              </c:pt>
              <c:pt idx="1189">
                <c:v>757.35</c:v>
              </c:pt>
              <c:pt idx="1190">
                <c:v>756.85</c:v>
              </c:pt>
              <c:pt idx="1191">
                <c:v>745.05</c:v>
              </c:pt>
              <c:pt idx="1192">
                <c:v>770.45</c:v>
              </c:pt>
              <c:pt idx="1193">
                <c:v>765.15</c:v>
              </c:pt>
              <c:pt idx="1194">
                <c:v>761.9</c:v>
              </c:pt>
              <c:pt idx="1195">
                <c:v>754.1</c:v>
              </c:pt>
              <c:pt idx="1196">
                <c:v>750.95</c:v>
              </c:pt>
              <c:pt idx="1197">
                <c:v>759.65</c:v>
              </c:pt>
              <c:pt idx="1198">
                <c:v>781.25</c:v>
              </c:pt>
              <c:pt idx="1199">
                <c:v>793.85</c:v>
              </c:pt>
              <c:pt idx="1200">
                <c:v>789.9</c:v>
              </c:pt>
              <c:pt idx="1201">
                <c:v>762.6</c:v>
              </c:pt>
              <c:pt idx="1202">
                <c:v>717.7</c:v>
              </c:pt>
              <c:pt idx="1203">
                <c:v>742.1</c:v>
              </c:pt>
              <c:pt idx="1204">
                <c:v>739.9</c:v>
              </c:pt>
              <c:pt idx="1205">
                <c:v>744.5</c:v>
              </c:pt>
              <c:pt idx="1206">
                <c:v>746.25</c:v>
              </c:pt>
              <c:pt idx="1207">
                <c:v>742.5</c:v>
              </c:pt>
              <c:pt idx="1208">
                <c:v>743.35</c:v>
              </c:pt>
              <c:pt idx="1209">
                <c:v>741.9</c:v>
              </c:pt>
              <c:pt idx="1210">
                <c:v>739.9</c:v>
              </c:pt>
              <c:pt idx="1211">
                <c:v>746.1</c:v>
              </c:pt>
              <c:pt idx="1212">
                <c:v>748.55</c:v>
              </c:pt>
              <c:pt idx="1213">
                <c:v>731.35</c:v>
              </c:pt>
              <c:pt idx="1214">
                <c:v>738.05</c:v>
              </c:pt>
              <c:pt idx="1215">
                <c:v>744.65</c:v>
              </c:pt>
              <c:pt idx="1216">
                <c:v>755.55</c:v>
              </c:pt>
              <c:pt idx="1217">
                <c:v>758.15</c:v>
              </c:pt>
              <c:pt idx="1218">
                <c:v>762</c:v>
              </c:pt>
              <c:pt idx="1219">
                <c:v>766.6</c:v>
              </c:pt>
              <c:pt idx="1220">
                <c:v>772.45</c:v>
              </c:pt>
              <c:pt idx="1221">
                <c:v>765.9</c:v>
              </c:pt>
              <c:pt idx="1222">
                <c:v>762.25</c:v>
              </c:pt>
              <c:pt idx="1223">
                <c:v>762.9</c:v>
              </c:pt>
              <c:pt idx="1224">
                <c:v>755.9</c:v>
              </c:pt>
              <c:pt idx="1225">
                <c:v>789.25</c:v>
              </c:pt>
              <c:pt idx="1226">
                <c:v>781.7</c:v>
              </c:pt>
              <c:pt idx="1227">
                <c:v>786.65</c:v>
              </c:pt>
              <c:pt idx="1228">
                <c:v>783.2</c:v>
              </c:pt>
              <c:pt idx="1229">
                <c:v>793.9</c:v>
              </c:pt>
              <c:pt idx="1230">
                <c:v>778.05</c:v>
              </c:pt>
              <c:pt idx="1231">
                <c:v>795.35</c:v>
              </c:pt>
              <c:pt idx="1232">
                <c:v>824.25</c:v>
              </c:pt>
              <c:pt idx="1233">
                <c:v>833.45</c:v>
              </c:pt>
              <c:pt idx="1234">
                <c:v>830.05</c:v>
              </c:pt>
              <c:pt idx="1235">
                <c:v>827.65</c:v>
              </c:pt>
              <c:pt idx="1236">
                <c:v>823.65</c:v>
              </c:pt>
              <c:pt idx="1237">
                <c:v>819.85</c:v>
              </c:pt>
              <c:pt idx="1238">
                <c:v>826.45</c:v>
              </c:pt>
              <c:pt idx="1239">
                <c:v>832.25</c:v>
              </c:pt>
              <c:pt idx="1240">
                <c:v>827.2</c:v>
              </c:pt>
              <c:pt idx="1241">
                <c:v>825</c:v>
              </c:pt>
              <c:pt idx="1242">
                <c:v>826.35</c:v>
              </c:pt>
              <c:pt idx="1243">
                <c:v>838.35</c:v>
              </c:pt>
              <c:pt idx="1244">
                <c:v>856.55</c:v>
              </c:pt>
              <c:pt idx="1245">
                <c:v>843.15</c:v>
              </c:pt>
              <c:pt idx="1246">
                <c:v>841.4</c:v>
              </c:pt>
              <c:pt idx="1247">
                <c:v>840.5</c:v>
              </c:pt>
              <c:pt idx="1248">
                <c:v>823.55</c:v>
              </c:pt>
              <c:pt idx="1249">
                <c:v>801.3</c:v>
              </c:pt>
              <c:pt idx="1250">
                <c:v>822.35</c:v>
              </c:pt>
              <c:pt idx="1251">
                <c:v>832.6</c:v>
              </c:pt>
              <c:pt idx="1252">
                <c:v>813</c:v>
              </c:pt>
              <c:pt idx="1253">
                <c:v>808.05</c:v>
              </c:pt>
              <c:pt idx="1254">
                <c:v>837.1</c:v>
              </c:pt>
              <c:pt idx="1255">
                <c:v>842.1</c:v>
              </c:pt>
              <c:pt idx="1256">
                <c:v>841.55</c:v>
              </c:pt>
              <c:pt idx="1257">
                <c:v>825.6</c:v>
              </c:pt>
              <c:pt idx="1258">
                <c:v>805.55</c:v>
              </c:pt>
              <c:pt idx="1259">
                <c:v>821.95</c:v>
              </c:pt>
              <c:pt idx="1260">
                <c:v>849.1</c:v>
              </c:pt>
              <c:pt idx="1261">
                <c:v>834.45</c:v>
              </c:pt>
              <c:pt idx="1262">
                <c:v>847.6</c:v>
              </c:pt>
              <c:pt idx="1263">
                <c:v>847.55</c:v>
              </c:pt>
              <c:pt idx="1264">
                <c:v>842.5</c:v>
              </c:pt>
              <c:pt idx="1265">
                <c:v>863.55</c:v>
              </c:pt>
              <c:pt idx="1266">
                <c:v>859.8</c:v>
              </c:pt>
              <c:pt idx="1267">
                <c:v>849.3</c:v>
              </c:pt>
              <c:pt idx="1268">
                <c:v>844.45</c:v>
              </c:pt>
              <c:pt idx="1269">
                <c:v>848.25</c:v>
              </c:pt>
              <c:pt idx="1270">
                <c:v>835.8</c:v>
              </c:pt>
              <c:pt idx="1271">
                <c:v>824.9</c:v>
              </c:pt>
              <c:pt idx="1272">
                <c:v>807.3</c:v>
              </c:pt>
              <c:pt idx="1273">
                <c:v>793.15</c:v>
              </c:pt>
              <c:pt idx="1274">
                <c:v>790.9</c:v>
              </c:pt>
              <c:pt idx="1275">
                <c:v>789.55</c:v>
              </c:pt>
              <c:pt idx="1276">
                <c:v>809.1</c:v>
              </c:pt>
              <c:pt idx="1277">
                <c:v>786.55</c:v>
              </c:pt>
              <c:pt idx="1278">
                <c:v>789.5</c:v>
              </c:pt>
              <c:pt idx="1279">
                <c:v>812.1</c:v>
              </c:pt>
              <c:pt idx="1280">
                <c:v>812.3</c:v>
              </c:pt>
              <c:pt idx="1281">
                <c:v>806.2</c:v>
              </c:pt>
              <c:pt idx="1282">
                <c:v>805.45</c:v>
              </c:pt>
              <c:pt idx="1283">
                <c:v>808.2</c:v>
              </c:pt>
              <c:pt idx="1284">
                <c:v>797.7</c:v>
              </c:pt>
              <c:pt idx="1285">
                <c:v>812.2</c:v>
              </c:pt>
              <c:pt idx="1286">
                <c:v>806.2</c:v>
              </c:pt>
              <c:pt idx="1287">
                <c:v>805.3</c:v>
              </c:pt>
              <c:pt idx="1288">
                <c:v>792.6</c:v>
              </c:pt>
              <c:pt idx="1289">
                <c:v>772.85</c:v>
              </c:pt>
              <c:pt idx="1290">
                <c:v>754.9</c:v>
              </c:pt>
              <c:pt idx="1291">
                <c:v>760.5</c:v>
              </c:pt>
              <c:pt idx="1292">
                <c:v>772.8</c:v>
              </c:pt>
              <c:pt idx="1293">
                <c:v>776.3</c:v>
              </c:pt>
              <c:pt idx="1294">
                <c:v>792.65</c:v>
              </c:pt>
              <c:pt idx="1295">
                <c:v>787.45</c:v>
              </c:pt>
              <c:pt idx="1296">
                <c:v>787.85</c:v>
              </c:pt>
              <c:pt idx="1297">
                <c:v>812.45</c:v>
              </c:pt>
              <c:pt idx="1298">
                <c:v>815.25</c:v>
              </c:pt>
              <c:pt idx="1299">
                <c:v>818.3</c:v>
              </c:pt>
              <c:pt idx="1300">
                <c:v>819.35</c:v>
              </c:pt>
              <c:pt idx="1301">
                <c:v>836.2</c:v>
              </c:pt>
              <c:pt idx="1302">
                <c:v>840.6</c:v>
              </c:pt>
              <c:pt idx="1303">
                <c:v>841.75</c:v>
              </c:pt>
              <c:pt idx="1304">
                <c:v>882.3</c:v>
              </c:pt>
              <c:pt idx="1305">
                <c:v>903</c:v>
              </c:pt>
              <c:pt idx="1306">
                <c:v>885.2</c:v>
              </c:pt>
              <c:pt idx="1307">
                <c:v>914.2</c:v>
              </c:pt>
              <c:pt idx="1308">
                <c:v>938.7</c:v>
              </c:pt>
              <c:pt idx="1309">
                <c:v>946.6</c:v>
              </c:pt>
              <c:pt idx="1310">
                <c:v>949.3</c:v>
              </c:pt>
              <c:pt idx="1311">
                <c:v>944.35</c:v>
              </c:pt>
              <c:pt idx="1312">
                <c:v>935.5</c:v>
              </c:pt>
              <c:pt idx="1313">
                <c:v>900.4</c:v>
              </c:pt>
              <c:pt idx="1314">
                <c:v>912.25</c:v>
              </c:pt>
              <c:pt idx="1315">
                <c:v>910.45</c:v>
              </c:pt>
              <c:pt idx="1316">
                <c:v>906.5</c:v>
              </c:pt>
              <c:pt idx="1317">
                <c:v>911.3</c:v>
              </c:pt>
              <c:pt idx="1318">
                <c:v>909.55</c:v>
              </c:pt>
              <c:pt idx="1319">
                <c:v>878.55</c:v>
              </c:pt>
              <c:pt idx="1320">
                <c:v>888.7</c:v>
              </c:pt>
              <c:pt idx="1321">
                <c:v>883.8</c:v>
              </c:pt>
              <c:pt idx="1322">
                <c:v>882.95</c:v>
              </c:pt>
              <c:pt idx="1323">
                <c:v>900.25</c:v>
              </c:pt>
              <c:pt idx="1324">
                <c:v>890.75</c:v>
              </c:pt>
              <c:pt idx="1325">
                <c:v>898.7</c:v>
              </c:pt>
              <c:pt idx="1326">
                <c:v>904.1</c:v>
              </c:pt>
              <c:pt idx="1327">
                <c:v>881.05</c:v>
              </c:pt>
              <c:pt idx="1328">
                <c:v>884.15</c:v>
              </c:pt>
              <c:pt idx="1329">
                <c:v>904.05</c:v>
              </c:pt>
              <c:pt idx="1330">
                <c:v>924.6</c:v>
              </c:pt>
              <c:pt idx="1331">
                <c:v>926.85</c:v>
              </c:pt>
              <c:pt idx="1332">
                <c:v>930.7</c:v>
              </c:pt>
              <c:pt idx="1333">
                <c:v>935.85</c:v>
              </c:pt>
              <c:pt idx="1334">
                <c:v>945.1</c:v>
              </c:pt>
              <c:pt idx="1335">
                <c:v>942.5</c:v>
              </c:pt>
              <c:pt idx="1336">
                <c:v>934.5</c:v>
              </c:pt>
              <c:pt idx="1337">
                <c:v>949.15</c:v>
              </c:pt>
              <c:pt idx="1338">
                <c:v>946.4</c:v>
              </c:pt>
              <c:pt idx="1339">
                <c:v>954.55</c:v>
              </c:pt>
              <c:pt idx="1340">
                <c:v>948.5</c:v>
              </c:pt>
              <c:pt idx="1341">
                <c:v>946.55</c:v>
              </c:pt>
              <c:pt idx="1342">
                <c:v>940.5</c:v>
              </c:pt>
              <c:pt idx="1343">
                <c:v>953.35</c:v>
              </c:pt>
              <c:pt idx="1344">
                <c:v>958.5</c:v>
              </c:pt>
              <c:pt idx="1345">
                <c:v>974.4</c:v>
              </c:pt>
              <c:pt idx="1346">
                <c:v>967.75</c:v>
              </c:pt>
              <c:pt idx="1347">
                <c:v>976.2</c:v>
              </c:pt>
              <c:pt idx="1348">
                <c:v>969.6</c:v>
              </c:pt>
              <c:pt idx="1349">
                <c:v>956.6</c:v>
              </c:pt>
              <c:pt idx="1350">
                <c:v>950.9</c:v>
              </c:pt>
              <c:pt idx="1351">
                <c:v>960.25</c:v>
              </c:pt>
              <c:pt idx="1352">
                <c:v>960</c:v>
              </c:pt>
              <c:pt idx="1353">
                <c:v>955.65</c:v>
              </c:pt>
              <c:pt idx="1354">
                <c:v>957.8</c:v>
              </c:pt>
              <c:pt idx="1355">
                <c:v>950.5</c:v>
              </c:pt>
              <c:pt idx="1356">
                <c:v>956.55</c:v>
              </c:pt>
              <c:pt idx="1357">
                <c:v>962.65</c:v>
              </c:pt>
              <c:pt idx="1358">
                <c:v>979.05</c:v>
              </c:pt>
              <c:pt idx="1359">
                <c:v>971.95</c:v>
              </c:pt>
              <c:pt idx="1360">
                <c:v>978.25</c:v>
              </c:pt>
              <c:pt idx="1361">
                <c:v>979.1</c:v>
              </c:pt>
              <c:pt idx="1362">
                <c:v>974.8</c:v>
              </c:pt>
              <c:pt idx="1363">
                <c:v>968.8</c:v>
              </c:pt>
              <c:pt idx="1364">
                <c:v>965.6</c:v>
              </c:pt>
              <c:pt idx="1365">
                <c:v>950.7</c:v>
              </c:pt>
              <c:pt idx="1366">
                <c:v>959.65</c:v>
              </c:pt>
              <c:pt idx="1367">
                <c:v>959.55</c:v>
              </c:pt>
              <c:pt idx="1368">
                <c:v>965.8</c:v>
              </c:pt>
              <c:pt idx="1369">
                <c:v>977</c:v>
              </c:pt>
              <c:pt idx="1370">
                <c:v>973.35</c:v>
              </c:pt>
              <c:pt idx="1371">
                <c:v>977.2</c:v>
              </c:pt>
              <c:pt idx="1372">
                <c:v>973.65</c:v>
              </c:pt>
              <c:pt idx="1373">
                <c:v>955.2</c:v>
              </c:pt>
              <c:pt idx="1374">
                <c:v>949.6</c:v>
              </c:pt>
              <c:pt idx="1375">
                <c:v>948</c:v>
              </c:pt>
              <c:pt idx="1376">
                <c:v>950.65</c:v>
              </c:pt>
              <c:pt idx="1377">
                <c:v>913.2</c:v>
              </c:pt>
              <c:pt idx="1378">
                <c:v>890.05</c:v>
              </c:pt>
              <c:pt idx="1379">
                <c:v>882.3</c:v>
              </c:pt>
              <c:pt idx="1380">
                <c:v>920.3</c:v>
              </c:pt>
              <c:pt idx="1381">
                <c:v>921.8</c:v>
              </c:pt>
              <c:pt idx="1382">
                <c:v>927.25</c:v>
              </c:pt>
              <c:pt idx="1383">
                <c:v>939.6</c:v>
              </c:pt>
              <c:pt idx="1384">
                <c:v>945.2</c:v>
              </c:pt>
              <c:pt idx="1385">
                <c:v>911</c:v>
              </c:pt>
              <c:pt idx="1386">
                <c:v>918.45</c:v>
              </c:pt>
              <c:pt idx="1387">
                <c:v>912.4</c:v>
              </c:pt>
              <c:pt idx="1388">
                <c:v>910.25</c:v>
              </c:pt>
              <c:pt idx="1389">
                <c:v>905.05</c:v>
              </c:pt>
              <c:pt idx="1390">
                <c:v>894.4</c:v>
              </c:pt>
              <c:pt idx="1391">
                <c:v>888.5</c:v>
              </c:pt>
              <c:pt idx="1392">
                <c:v>904.45</c:v>
              </c:pt>
              <c:pt idx="1393">
                <c:v>908.6</c:v>
              </c:pt>
              <c:pt idx="1394">
                <c:v>890.45</c:v>
              </c:pt>
              <c:pt idx="1395">
                <c:v>898</c:v>
              </c:pt>
              <c:pt idx="1396">
                <c:v>917.4</c:v>
              </c:pt>
              <c:pt idx="1397">
                <c:v>913</c:v>
              </c:pt>
              <c:pt idx="1398">
                <c:v>911.2</c:v>
              </c:pt>
              <c:pt idx="1399">
                <c:v>923.2</c:v>
              </c:pt>
              <c:pt idx="1400">
                <c:v>935.05</c:v>
              </c:pt>
              <c:pt idx="1401">
                <c:v>947.2</c:v>
              </c:pt>
              <c:pt idx="1402">
                <c:v>923.85</c:v>
              </c:pt>
              <c:pt idx="1403">
                <c:v>954.8</c:v>
              </c:pt>
              <c:pt idx="1404">
                <c:v>940.85</c:v>
              </c:pt>
              <c:pt idx="1405">
                <c:v>950.3</c:v>
              </c:pt>
              <c:pt idx="1406">
                <c:v>950.5</c:v>
              </c:pt>
              <c:pt idx="1407">
                <c:v>952.05</c:v>
              </c:pt>
              <c:pt idx="1408">
                <c:v>949.55</c:v>
              </c:pt>
              <c:pt idx="1409">
                <c:v>950.2</c:v>
              </c:pt>
              <c:pt idx="1410">
                <c:v>952.75</c:v>
              </c:pt>
              <c:pt idx="1411">
                <c:v>953.75</c:v>
              </c:pt>
              <c:pt idx="1412">
                <c:v>954</c:v>
              </c:pt>
              <c:pt idx="1413">
                <c:v>954.15</c:v>
              </c:pt>
              <c:pt idx="1414">
                <c:v>939.05</c:v>
              </c:pt>
              <c:pt idx="1415">
                <c:v>956.05</c:v>
              </c:pt>
              <c:pt idx="1416">
                <c:v>964.65</c:v>
              </c:pt>
              <c:pt idx="1417">
                <c:v>968.05</c:v>
              </c:pt>
              <c:pt idx="1418">
                <c:v>967</c:v>
              </c:pt>
              <c:pt idx="1419">
                <c:v>962.35</c:v>
              </c:pt>
              <c:pt idx="1420">
                <c:v>973.05</c:v>
              </c:pt>
              <c:pt idx="1421">
                <c:v>987.9</c:v>
              </c:pt>
              <c:pt idx="1422">
                <c:v>984.1</c:v>
              </c:pt>
              <c:pt idx="1423">
                <c:v>986.8</c:v>
              </c:pt>
              <c:pt idx="1424">
                <c:v>958.05</c:v>
              </c:pt>
              <c:pt idx="1425">
                <c:v>934.7</c:v>
              </c:pt>
              <c:pt idx="1426">
                <c:v>914.2</c:v>
              </c:pt>
              <c:pt idx="1427">
                <c:v>916.05</c:v>
              </c:pt>
              <c:pt idx="1428">
                <c:v>917.15</c:v>
              </c:pt>
              <c:pt idx="1429">
                <c:v>913.55</c:v>
              </c:pt>
              <c:pt idx="1430">
                <c:v>916</c:v>
              </c:pt>
              <c:pt idx="1431">
                <c:v>913.7</c:v>
              </c:pt>
              <c:pt idx="1432">
                <c:v>911.5</c:v>
              </c:pt>
              <c:pt idx="1433">
                <c:v>903.8</c:v>
              </c:pt>
              <c:pt idx="1434">
                <c:v>906.2</c:v>
              </c:pt>
              <c:pt idx="1435">
                <c:v>905.15</c:v>
              </c:pt>
              <c:pt idx="1436">
                <c:v>911.4</c:v>
              </c:pt>
              <c:pt idx="1437">
                <c:v>896</c:v>
              </c:pt>
              <c:pt idx="1438">
                <c:v>901.9</c:v>
              </c:pt>
              <c:pt idx="1439">
                <c:v>907.3</c:v>
              </c:pt>
              <c:pt idx="1440">
                <c:v>922.55</c:v>
              </c:pt>
              <c:pt idx="1441">
                <c:v>891.8</c:v>
              </c:pt>
              <c:pt idx="1442">
                <c:v>906.5</c:v>
              </c:pt>
              <c:pt idx="1443">
                <c:v>909.15</c:v>
              </c:pt>
              <c:pt idx="1444">
                <c:v>903.35</c:v>
              </c:pt>
              <c:pt idx="1445">
                <c:v>912.65</c:v>
              </c:pt>
              <c:pt idx="1446">
                <c:v>910.7</c:v>
              </c:pt>
              <c:pt idx="1447">
                <c:v>913.5</c:v>
              </c:pt>
              <c:pt idx="1448">
                <c:v>914.05</c:v>
              </c:pt>
              <c:pt idx="1449">
                <c:v>912.3</c:v>
              </c:pt>
              <c:pt idx="1450">
                <c:v>904.95</c:v>
              </c:pt>
              <c:pt idx="1451">
                <c:v>915.9</c:v>
              </c:pt>
              <c:pt idx="1452">
                <c:v>938.05</c:v>
              </c:pt>
              <c:pt idx="1453">
                <c:v>921.05</c:v>
              </c:pt>
              <c:pt idx="1454">
                <c:v>905.05</c:v>
              </c:pt>
              <c:pt idx="1455">
                <c:v>892.3</c:v>
              </c:pt>
              <c:pt idx="1456">
                <c:v>894.85</c:v>
              </c:pt>
              <c:pt idx="1457">
                <c:v>909.15</c:v>
              </c:pt>
              <c:pt idx="1458">
                <c:v>893.5</c:v>
              </c:pt>
              <c:pt idx="1459">
                <c:v>899.95</c:v>
              </c:pt>
              <c:pt idx="1460">
                <c:v>966.15</c:v>
              </c:pt>
              <c:pt idx="1461">
                <c:v>964.2</c:v>
              </c:pt>
              <c:pt idx="1462">
                <c:v>971.3</c:v>
              </c:pt>
              <c:pt idx="1463">
                <c:v>927.8</c:v>
              </c:pt>
              <c:pt idx="1464">
                <c:v>921.45</c:v>
              </c:pt>
              <c:pt idx="1465">
                <c:v>911.85</c:v>
              </c:pt>
              <c:pt idx="1466">
                <c:v>895.9</c:v>
              </c:pt>
              <c:pt idx="1467">
                <c:v>889.5</c:v>
              </c:pt>
              <c:pt idx="1468">
                <c:v>897.9</c:v>
              </c:pt>
              <c:pt idx="1469">
                <c:v>894.35</c:v>
              </c:pt>
              <c:pt idx="1470">
                <c:v>893.8</c:v>
              </c:pt>
              <c:pt idx="1471">
                <c:v>891</c:v>
              </c:pt>
              <c:pt idx="1472">
                <c:v>895.4</c:v>
              </c:pt>
              <c:pt idx="1473">
                <c:v>895.7</c:v>
              </c:pt>
              <c:pt idx="1474">
                <c:v>881</c:v>
              </c:pt>
              <c:pt idx="1475">
                <c:v>859.85</c:v>
              </c:pt>
              <c:pt idx="1476">
                <c:v>892.75</c:v>
              </c:pt>
              <c:pt idx="1477">
                <c:v>885.6</c:v>
              </c:pt>
              <c:pt idx="1478">
                <c:v>889.85</c:v>
              </c:pt>
              <c:pt idx="1479">
                <c:v>908.65</c:v>
              </c:pt>
              <c:pt idx="1480">
                <c:v>907.7</c:v>
              </c:pt>
              <c:pt idx="1481">
                <c:v>929.45</c:v>
              </c:pt>
              <c:pt idx="1482">
                <c:v>933.4</c:v>
              </c:pt>
              <c:pt idx="1483">
                <c:v>935.25</c:v>
              </c:pt>
              <c:pt idx="1484">
                <c:v>952.2</c:v>
              </c:pt>
              <c:pt idx="1485">
                <c:v>944.3</c:v>
              </c:pt>
              <c:pt idx="1486">
                <c:v>930.4</c:v>
              </c:pt>
              <c:pt idx="1487">
                <c:v>923.85</c:v>
              </c:pt>
              <c:pt idx="1488">
                <c:v>928.25</c:v>
              </c:pt>
              <c:pt idx="1489">
                <c:v>921.55</c:v>
              </c:pt>
              <c:pt idx="1490">
                <c:v>915.15</c:v>
              </c:pt>
              <c:pt idx="1491">
                <c:v>916.35</c:v>
              </c:pt>
              <c:pt idx="1492">
                <c:v>915.3</c:v>
              </c:pt>
              <c:pt idx="1493">
                <c:v>906.85</c:v>
              </c:pt>
              <c:pt idx="1494">
                <c:v>923.75</c:v>
              </c:pt>
              <c:pt idx="1495">
                <c:v>921.4</c:v>
              </c:pt>
              <c:pt idx="1496">
                <c:v>910.5</c:v>
              </c:pt>
              <c:pt idx="1497">
                <c:v>902.25</c:v>
              </c:pt>
              <c:pt idx="1498">
                <c:v>895.45</c:v>
              </c:pt>
              <c:pt idx="1499">
                <c:v>882.7</c:v>
              </c:pt>
              <c:pt idx="1500">
                <c:v>866.9</c:v>
              </c:pt>
              <c:pt idx="1501">
                <c:v>891.7</c:v>
              </c:pt>
              <c:pt idx="1502">
                <c:v>904.1</c:v>
              </c:pt>
              <c:pt idx="1503">
                <c:v>927.85</c:v>
              </c:pt>
              <c:pt idx="1504">
                <c:v>932.15</c:v>
              </c:pt>
              <c:pt idx="1505">
                <c:v>944.75</c:v>
              </c:pt>
              <c:pt idx="1506">
                <c:v>945.2</c:v>
              </c:pt>
              <c:pt idx="1507">
                <c:v>951.5</c:v>
              </c:pt>
              <c:pt idx="1508">
                <c:v>952.3</c:v>
              </c:pt>
              <c:pt idx="1509">
                <c:v>945.9</c:v>
              </c:pt>
              <c:pt idx="1510">
                <c:v>933.55</c:v>
              </c:pt>
              <c:pt idx="1511">
                <c:v>948.6</c:v>
              </c:pt>
              <c:pt idx="1512">
                <c:v>967.9</c:v>
              </c:pt>
              <c:pt idx="1513">
                <c:v>974.65</c:v>
              </c:pt>
              <c:pt idx="1514">
                <c:v>958.05</c:v>
              </c:pt>
              <c:pt idx="1515">
                <c:v>955.25</c:v>
              </c:pt>
              <c:pt idx="1516">
                <c:v>921.75</c:v>
              </c:pt>
              <c:pt idx="1517">
                <c:v>932.55</c:v>
              </c:pt>
              <c:pt idx="1518">
                <c:v>927.85</c:v>
              </c:pt>
              <c:pt idx="1519">
                <c:v>908.35</c:v>
              </c:pt>
              <c:pt idx="1520">
                <c:v>905.95</c:v>
              </c:pt>
              <c:pt idx="1521">
                <c:v>913.1</c:v>
              </c:pt>
              <c:pt idx="1522">
                <c:v>915.75</c:v>
              </c:pt>
              <c:pt idx="1523">
                <c:v>894.8</c:v>
              </c:pt>
              <c:pt idx="1524">
                <c:v>921.6</c:v>
              </c:pt>
              <c:pt idx="1525">
                <c:v>925.05</c:v>
              </c:pt>
              <c:pt idx="1526">
                <c:v>923.6</c:v>
              </c:pt>
              <c:pt idx="1527">
                <c:v>934.45</c:v>
              </c:pt>
              <c:pt idx="1528">
                <c:v>932</c:v>
              </c:pt>
              <c:pt idx="1529">
                <c:v>940.5</c:v>
              </c:pt>
              <c:pt idx="1530">
                <c:v>968.35</c:v>
              </c:pt>
              <c:pt idx="1531">
                <c:v>981.3</c:v>
              </c:pt>
              <c:pt idx="1532">
                <c:v>986.8</c:v>
              </c:pt>
              <c:pt idx="1533">
                <c:v>1044.4000000000001</c:v>
              </c:pt>
              <c:pt idx="1534">
                <c:v>1048.4000000000001</c:v>
              </c:pt>
              <c:pt idx="1535">
                <c:v>1069.75</c:v>
              </c:pt>
              <c:pt idx="1536">
                <c:v>1055.8</c:v>
              </c:pt>
              <c:pt idx="1537">
                <c:v>1048.4000000000001</c:v>
              </c:pt>
              <c:pt idx="1538">
                <c:v>1049.95</c:v>
              </c:pt>
              <c:pt idx="1539">
                <c:v>1032.3499999999999</c:v>
              </c:pt>
              <c:pt idx="1540">
                <c:v>1014.9</c:v>
              </c:pt>
              <c:pt idx="1541">
                <c:v>1029.0999999999999</c:v>
              </c:pt>
              <c:pt idx="1542">
                <c:v>1013.35</c:v>
              </c:pt>
              <c:pt idx="1543">
                <c:v>1018.35</c:v>
              </c:pt>
              <c:pt idx="1544">
                <c:v>1038.8</c:v>
              </c:pt>
              <c:pt idx="1545">
                <c:v>1032.05</c:v>
              </c:pt>
              <c:pt idx="1546">
                <c:v>1018.5</c:v>
              </c:pt>
              <c:pt idx="1547">
                <c:v>1014.95</c:v>
              </c:pt>
              <c:pt idx="1548">
                <c:v>1027.8</c:v>
              </c:pt>
              <c:pt idx="1549">
                <c:v>1021.3</c:v>
              </c:pt>
              <c:pt idx="1550">
                <c:v>1028.4000000000001</c:v>
              </c:pt>
              <c:pt idx="1551">
                <c:v>1036.9000000000001</c:v>
              </c:pt>
              <c:pt idx="1552">
                <c:v>1011.65</c:v>
              </c:pt>
              <c:pt idx="1553">
                <c:v>1023.55</c:v>
              </c:pt>
              <c:pt idx="1554">
                <c:v>1027.3</c:v>
              </c:pt>
              <c:pt idx="1555">
                <c:v>1016.3</c:v>
              </c:pt>
              <c:pt idx="1556">
                <c:v>1027.0999999999999</c:v>
              </c:pt>
              <c:pt idx="1557">
                <c:v>999</c:v>
              </c:pt>
              <c:pt idx="1558">
                <c:v>1011.85</c:v>
              </c:pt>
              <c:pt idx="1559">
                <c:v>998.2</c:v>
              </c:pt>
              <c:pt idx="1560">
                <c:v>967</c:v>
              </c:pt>
              <c:pt idx="1561">
                <c:v>953.65</c:v>
              </c:pt>
              <c:pt idx="1562">
                <c:v>978.5</c:v>
              </c:pt>
              <c:pt idx="1563">
                <c:v>977.35</c:v>
              </c:pt>
              <c:pt idx="1564">
                <c:v>982.3</c:v>
              </c:pt>
              <c:pt idx="1565">
                <c:v>981.85</c:v>
              </c:pt>
              <c:pt idx="1566">
                <c:v>976.8</c:v>
              </c:pt>
              <c:pt idx="1567">
                <c:v>957.35</c:v>
              </c:pt>
              <c:pt idx="1568">
                <c:v>951.95</c:v>
              </c:pt>
              <c:pt idx="1569">
                <c:v>935.25</c:v>
              </c:pt>
              <c:pt idx="1570">
                <c:v>937.55</c:v>
              </c:pt>
              <c:pt idx="1571">
                <c:v>926.25</c:v>
              </c:pt>
              <c:pt idx="1572">
                <c:v>937.9</c:v>
              </c:pt>
              <c:pt idx="1573">
                <c:v>921.1</c:v>
              </c:pt>
              <c:pt idx="1574">
                <c:v>932.85</c:v>
              </c:pt>
              <c:pt idx="1575">
                <c:v>933.1</c:v>
              </c:pt>
              <c:pt idx="1576">
                <c:v>938</c:v>
              </c:pt>
              <c:pt idx="1577">
                <c:v>957.9</c:v>
              </c:pt>
              <c:pt idx="1578">
                <c:v>938.05</c:v>
              </c:pt>
              <c:pt idx="1579">
                <c:v>978.6</c:v>
              </c:pt>
              <c:pt idx="1580">
                <c:v>970.55</c:v>
              </c:pt>
              <c:pt idx="1581">
                <c:v>970.5</c:v>
              </c:pt>
              <c:pt idx="1582">
                <c:v>971.35</c:v>
              </c:pt>
              <c:pt idx="1583">
                <c:v>964.4</c:v>
              </c:pt>
              <c:pt idx="1584">
                <c:v>966.3</c:v>
              </c:pt>
              <c:pt idx="1585">
                <c:v>987.2</c:v>
              </c:pt>
              <c:pt idx="1586">
                <c:v>993.85</c:v>
              </c:pt>
              <c:pt idx="1587">
                <c:v>983.15</c:v>
              </c:pt>
              <c:pt idx="1588">
                <c:v>987.4</c:v>
              </c:pt>
              <c:pt idx="1589">
                <c:v>961.25</c:v>
              </c:pt>
              <c:pt idx="1590">
                <c:v>976.2</c:v>
              </c:pt>
              <c:pt idx="1591">
                <c:v>972.95</c:v>
              </c:pt>
              <c:pt idx="1592">
                <c:v>961.5</c:v>
              </c:pt>
              <c:pt idx="1593">
                <c:v>972.15</c:v>
              </c:pt>
              <c:pt idx="1594">
                <c:v>966.75</c:v>
              </c:pt>
              <c:pt idx="1595">
                <c:v>954.1</c:v>
              </c:pt>
              <c:pt idx="1596">
                <c:v>964.1</c:v>
              </c:pt>
              <c:pt idx="1597">
                <c:v>968.65</c:v>
              </c:pt>
              <c:pt idx="1598">
                <c:v>940.6</c:v>
              </c:pt>
              <c:pt idx="1599">
                <c:v>915.6</c:v>
              </c:pt>
              <c:pt idx="1600">
                <c:v>925.75</c:v>
              </c:pt>
              <c:pt idx="1601">
                <c:v>937</c:v>
              </c:pt>
              <c:pt idx="1602">
                <c:v>916.5</c:v>
              </c:pt>
              <c:pt idx="1603">
                <c:v>933</c:v>
              </c:pt>
              <c:pt idx="1604">
                <c:v>933.4</c:v>
              </c:pt>
              <c:pt idx="1605">
                <c:v>932.25</c:v>
              </c:pt>
              <c:pt idx="1606">
                <c:v>944.7</c:v>
              </c:pt>
              <c:pt idx="1607">
                <c:v>945.6</c:v>
              </c:pt>
              <c:pt idx="1608">
                <c:v>915.2</c:v>
              </c:pt>
              <c:pt idx="1609">
                <c:v>950.1</c:v>
              </c:pt>
              <c:pt idx="1610">
                <c:v>930.35</c:v>
              </c:pt>
              <c:pt idx="1611">
                <c:v>937.7</c:v>
              </c:pt>
              <c:pt idx="1612">
                <c:v>945.85</c:v>
              </c:pt>
              <c:pt idx="1613">
                <c:v>936.4</c:v>
              </c:pt>
              <c:pt idx="1614">
                <c:v>935.4</c:v>
              </c:pt>
              <c:pt idx="1615">
                <c:v>946.45</c:v>
              </c:pt>
              <c:pt idx="1616">
                <c:v>935.7</c:v>
              </c:pt>
              <c:pt idx="1617">
                <c:v>953.35</c:v>
              </c:pt>
              <c:pt idx="1618">
                <c:v>950.85</c:v>
              </c:pt>
              <c:pt idx="1619">
                <c:v>966</c:v>
              </c:pt>
              <c:pt idx="1620">
                <c:v>966.55</c:v>
              </c:pt>
              <c:pt idx="1621">
                <c:v>960.65</c:v>
              </c:pt>
              <c:pt idx="1622">
                <c:v>981.6</c:v>
              </c:pt>
              <c:pt idx="1623">
                <c:v>968.15</c:v>
              </c:pt>
              <c:pt idx="1624">
                <c:v>972.8</c:v>
              </c:pt>
              <c:pt idx="1625">
                <c:v>959.2</c:v>
              </c:pt>
              <c:pt idx="1626">
                <c:v>955.1</c:v>
              </c:pt>
              <c:pt idx="1627">
                <c:v>974.2</c:v>
              </c:pt>
              <c:pt idx="1628">
                <c:v>967.7</c:v>
              </c:pt>
              <c:pt idx="1629">
                <c:v>978.15</c:v>
              </c:pt>
              <c:pt idx="1630">
                <c:v>1004.3</c:v>
              </c:pt>
              <c:pt idx="1631">
                <c:v>1003.55</c:v>
              </c:pt>
              <c:pt idx="1632">
                <c:v>1010.7</c:v>
              </c:pt>
              <c:pt idx="1633">
                <c:v>1044.45</c:v>
              </c:pt>
              <c:pt idx="1634">
                <c:v>1034.25</c:v>
              </c:pt>
              <c:pt idx="1635">
                <c:v>1029.25</c:v>
              </c:pt>
              <c:pt idx="1636">
                <c:v>1038.2</c:v>
              </c:pt>
              <c:pt idx="1637">
                <c:v>1038.4000000000001</c:v>
              </c:pt>
              <c:pt idx="1638">
                <c:v>1027.3499999999999</c:v>
              </c:pt>
              <c:pt idx="1639">
                <c:v>1033.8499999999999</c:v>
              </c:pt>
              <c:pt idx="1640">
                <c:v>1025.5</c:v>
              </c:pt>
              <c:pt idx="1641">
                <c:v>1032.0999999999999</c:v>
              </c:pt>
              <c:pt idx="1642">
                <c:v>1030.3499999999999</c:v>
              </c:pt>
              <c:pt idx="1643">
                <c:v>1022.55</c:v>
              </c:pt>
              <c:pt idx="1644">
                <c:v>1040.55</c:v>
              </c:pt>
              <c:pt idx="1645">
                <c:v>1037.5999999999999</c:v>
              </c:pt>
              <c:pt idx="1646">
                <c:v>1025.45</c:v>
              </c:pt>
              <c:pt idx="1647">
                <c:v>1020.25</c:v>
              </c:pt>
              <c:pt idx="1648">
                <c:v>1016.55</c:v>
              </c:pt>
              <c:pt idx="1649">
                <c:v>1038.95</c:v>
              </c:pt>
              <c:pt idx="1650">
                <c:v>1022.8</c:v>
              </c:pt>
              <c:pt idx="1651">
                <c:v>1015.55</c:v>
              </c:pt>
              <c:pt idx="1652">
                <c:v>1025.7</c:v>
              </c:pt>
              <c:pt idx="1653">
                <c:v>1040.7</c:v>
              </c:pt>
              <c:pt idx="1654">
                <c:v>1050.5999999999999</c:v>
              </c:pt>
              <c:pt idx="1655">
                <c:v>1056.0999999999999</c:v>
              </c:pt>
              <c:pt idx="1656">
                <c:v>1058.45</c:v>
              </c:pt>
              <c:pt idx="1657">
                <c:v>1064.6500000000001</c:v>
              </c:pt>
              <c:pt idx="1658">
                <c:v>1058.9000000000001</c:v>
              </c:pt>
              <c:pt idx="1659">
                <c:v>1058.6500000000001</c:v>
              </c:pt>
              <c:pt idx="1660">
                <c:v>1033.1500000000001</c:v>
              </c:pt>
              <c:pt idx="1661">
                <c:v>1045.3</c:v>
              </c:pt>
              <c:pt idx="1662">
                <c:v>1034.8499999999999</c:v>
              </c:pt>
              <c:pt idx="1663">
                <c:v>1091.4000000000001</c:v>
              </c:pt>
              <c:pt idx="1664">
                <c:v>1069</c:v>
              </c:pt>
              <c:pt idx="1665">
                <c:v>1061.7</c:v>
              </c:pt>
              <c:pt idx="1666">
                <c:v>1067.8</c:v>
              </c:pt>
              <c:pt idx="1667">
                <c:v>1065.45</c:v>
              </c:pt>
              <c:pt idx="1668">
                <c:v>1100.9000000000001</c:v>
              </c:pt>
              <c:pt idx="1669">
                <c:v>1096.5999999999999</c:v>
              </c:pt>
              <c:pt idx="1670">
                <c:v>1117.6500000000001</c:v>
              </c:pt>
              <c:pt idx="1671">
                <c:v>1115.2</c:v>
              </c:pt>
              <c:pt idx="1672">
                <c:v>1130.8499999999999</c:v>
              </c:pt>
              <c:pt idx="1673">
                <c:v>1144.7</c:v>
              </c:pt>
              <c:pt idx="1674">
                <c:v>1134.25</c:v>
              </c:pt>
              <c:pt idx="1675">
                <c:v>1130</c:v>
              </c:pt>
              <c:pt idx="1676">
                <c:v>1119.4000000000001</c:v>
              </c:pt>
              <c:pt idx="1677">
                <c:v>1111.2</c:v>
              </c:pt>
              <c:pt idx="1678">
                <c:v>1108.0999999999999</c:v>
              </c:pt>
              <c:pt idx="1679">
                <c:v>1103.3499999999999</c:v>
              </c:pt>
              <c:pt idx="1680">
                <c:v>1109.25</c:v>
              </c:pt>
              <c:pt idx="1681">
                <c:v>1108</c:v>
              </c:pt>
              <c:pt idx="1682">
                <c:v>1125.2</c:v>
              </c:pt>
              <c:pt idx="1683">
                <c:v>1122.0999999999999</c:v>
              </c:pt>
              <c:pt idx="1684">
                <c:v>1137.55</c:v>
              </c:pt>
              <c:pt idx="1685">
                <c:v>1134.4000000000001</c:v>
              </c:pt>
              <c:pt idx="1686">
                <c:v>1146.45</c:v>
              </c:pt>
              <c:pt idx="1687">
                <c:v>1155.7</c:v>
              </c:pt>
              <c:pt idx="1688">
                <c:v>1165.3</c:v>
              </c:pt>
              <c:pt idx="1689">
                <c:v>1154.95</c:v>
              </c:pt>
              <c:pt idx="1690">
                <c:v>1166.2</c:v>
              </c:pt>
              <c:pt idx="1691">
                <c:v>1174.3</c:v>
              </c:pt>
              <c:pt idx="1692">
                <c:v>1159.25</c:v>
              </c:pt>
              <c:pt idx="1693">
                <c:v>1159.95</c:v>
              </c:pt>
              <c:pt idx="1694">
                <c:v>1146.3499999999999</c:v>
              </c:pt>
              <c:pt idx="1695">
                <c:v>1131.0999999999999</c:v>
              </c:pt>
              <c:pt idx="1696">
                <c:v>1129.2</c:v>
              </c:pt>
              <c:pt idx="1697">
                <c:v>1122.8</c:v>
              </c:pt>
              <c:pt idx="1698">
                <c:v>1121.4000000000001</c:v>
              </c:pt>
              <c:pt idx="1699">
                <c:v>1129.2</c:v>
              </c:pt>
              <c:pt idx="1700">
                <c:v>1118.5999999999999</c:v>
              </c:pt>
              <c:pt idx="1701">
                <c:v>1121</c:v>
              </c:pt>
              <c:pt idx="1702">
                <c:v>1119.0999999999999</c:v>
              </c:pt>
              <c:pt idx="1703">
                <c:v>1101.4000000000001</c:v>
              </c:pt>
              <c:pt idx="1704">
                <c:v>1105.0999999999999</c:v>
              </c:pt>
              <c:pt idx="1705">
                <c:v>1103.7</c:v>
              </c:pt>
              <c:pt idx="1706">
                <c:v>1107.2</c:v>
              </c:pt>
              <c:pt idx="1707">
                <c:v>1095.3</c:v>
              </c:pt>
              <c:pt idx="1708">
                <c:v>1105.1500000000001</c:v>
              </c:pt>
              <c:pt idx="1709">
                <c:v>1101.3</c:v>
              </c:pt>
              <c:pt idx="1710">
                <c:v>1121.25</c:v>
              </c:pt>
              <c:pt idx="1711">
                <c:v>1140.3</c:v>
              </c:pt>
              <c:pt idx="1712">
                <c:v>1124.55</c:v>
              </c:pt>
              <c:pt idx="1713">
                <c:v>1112.6500000000001</c:v>
              </c:pt>
              <c:pt idx="1714">
                <c:v>1115.5</c:v>
              </c:pt>
              <c:pt idx="1715">
                <c:v>1109.1500000000001</c:v>
              </c:pt>
              <c:pt idx="1716">
                <c:v>1105.05</c:v>
              </c:pt>
              <c:pt idx="1717">
                <c:v>1107.1500000000001</c:v>
              </c:pt>
              <c:pt idx="1718">
                <c:v>1107.45</c:v>
              </c:pt>
              <c:pt idx="1719">
                <c:v>1097.05</c:v>
              </c:pt>
              <c:pt idx="1720">
                <c:v>1109.6500000000001</c:v>
              </c:pt>
              <c:pt idx="1721">
                <c:v>1111.6500000000001</c:v>
              </c:pt>
              <c:pt idx="1722">
                <c:v>1102.1500000000001</c:v>
              </c:pt>
              <c:pt idx="1723">
                <c:v>1089.4000000000001</c:v>
              </c:pt>
              <c:pt idx="1724">
                <c:v>1096.3499999999999</c:v>
              </c:pt>
              <c:pt idx="1725">
                <c:v>1090.7</c:v>
              </c:pt>
              <c:pt idx="1726">
                <c:v>1127.55</c:v>
              </c:pt>
              <c:pt idx="1727">
                <c:v>1122.5</c:v>
              </c:pt>
              <c:pt idx="1728">
                <c:v>1118.55</c:v>
              </c:pt>
              <c:pt idx="1729">
                <c:v>1096.3</c:v>
              </c:pt>
              <c:pt idx="1730">
                <c:v>1096</c:v>
              </c:pt>
              <c:pt idx="1731">
                <c:v>1085.5</c:v>
              </c:pt>
              <c:pt idx="1732">
                <c:v>1087.3</c:v>
              </c:pt>
              <c:pt idx="1733">
                <c:v>1075.05</c:v>
              </c:pt>
              <c:pt idx="1734">
                <c:v>1070.95</c:v>
              </c:pt>
              <c:pt idx="1735">
                <c:v>1075.4000000000001</c:v>
              </c:pt>
              <c:pt idx="1736">
                <c:v>1067.3499999999999</c:v>
              </c:pt>
              <c:pt idx="1737">
                <c:v>1088.2</c:v>
              </c:pt>
              <c:pt idx="1738">
                <c:v>1076.45</c:v>
              </c:pt>
              <c:pt idx="1739">
                <c:v>1087.3</c:v>
              </c:pt>
              <c:pt idx="1740">
                <c:v>1078.8499999999999</c:v>
              </c:pt>
              <c:pt idx="1741">
                <c:v>1047.75</c:v>
              </c:pt>
              <c:pt idx="1742">
                <c:v>1061.55</c:v>
              </c:pt>
              <c:pt idx="1743">
                <c:v>1068.25</c:v>
              </c:pt>
              <c:pt idx="1744">
                <c:v>1060</c:v>
              </c:pt>
              <c:pt idx="1745">
                <c:v>1068.95</c:v>
              </c:pt>
              <c:pt idx="1746">
                <c:v>1063.5999999999999</c:v>
              </c:pt>
              <c:pt idx="1747">
                <c:v>1065</c:v>
              </c:pt>
              <c:pt idx="1748">
                <c:v>1053.8</c:v>
              </c:pt>
              <c:pt idx="1749">
                <c:v>1062.5999999999999</c:v>
              </c:pt>
              <c:pt idx="1750">
                <c:v>1061.5</c:v>
              </c:pt>
              <c:pt idx="1751">
                <c:v>1034.4000000000001</c:v>
              </c:pt>
              <c:pt idx="1752">
                <c:v>1047.05</c:v>
              </c:pt>
              <c:pt idx="1753">
                <c:v>1034.8</c:v>
              </c:pt>
              <c:pt idx="1754">
                <c:v>1017</c:v>
              </c:pt>
              <c:pt idx="1755">
                <c:v>1032.3</c:v>
              </c:pt>
              <c:pt idx="1756">
                <c:v>1024.95</c:v>
              </c:pt>
              <c:pt idx="1757">
                <c:v>1023</c:v>
              </c:pt>
              <c:pt idx="1758">
                <c:v>1029.75</c:v>
              </c:pt>
              <c:pt idx="1759">
                <c:v>1031.3499999999999</c:v>
              </c:pt>
              <c:pt idx="1760">
                <c:v>1039.3</c:v>
              </c:pt>
              <c:pt idx="1761">
                <c:v>1021</c:v>
              </c:pt>
              <c:pt idx="1762">
                <c:v>1032.95</c:v>
              </c:pt>
              <c:pt idx="1763">
                <c:v>1021.85</c:v>
              </c:pt>
              <c:pt idx="1764">
                <c:v>1028.55</c:v>
              </c:pt>
              <c:pt idx="1765">
                <c:v>1030.4000000000001</c:v>
              </c:pt>
              <c:pt idx="1766">
                <c:v>1035.8</c:v>
              </c:pt>
              <c:pt idx="1767">
                <c:v>1025.8</c:v>
              </c:pt>
              <c:pt idx="1768">
                <c:v>964.05</c:v>
              </c:pt>
              <c:pt idx="1769">
                <c:v>965.95</c:v>
              </c:pt>
              <c:pt idx="1770">
                <c:v>963.15</c:v>
              </c:pt>
              <c:pt idx="1771">
                <c:v>960.5</c:v>
              </c:pt>
              <c:pt idx="1772">
                <c:v>963.2</c:v>
              </c:pt>
              <c:pt idx="1773">
                <c:v>950.35</c:v>
              </c:pt>
              <c:pt idx="1774">
                <c:v>906.05</c:v>
              </c:pt>
              <c:pt idx="1775">
                <c:v>899.85</c:v>
              </c:pt>
              <c:pt idx="1776">
                <c:v>886.7</c:v>
              </c:pt>
              <c:pt idx="1777">
                <c:v>878.85</c:v>
              </c:pt>
              <c:pt idx="1778">
                <c:v>881.05</c:v>
              </c:pt>
              <c:pt idx="1779">
                <c:v>877.55</c:v>
              </c:pt>
              <c:pt idx="1780">
                <c:v>881.3</c:v>
              </c:pt>
              <c:pt idx="1781">
                <c:v>881.6</c:v>
              </c:pt>
              <c:pt idx="1782">
                <c:v>875.15</c:v>
              </c:pt>
              <c:pt idx="1783">
                <c:v>872.2</c:v>
              </c:pt>
              <c:pt idx="1784">
                <c:v>878.15</c:v>
              </c:pt>
              <c:pt idx="1785">
                <c:v>883.8</c:v>
              </c:pt>
              <c:pt idx="1786">
                <c:v>874.3</c:v>
              </c:pt>
              <c:pt idx="1787">
                <c:v>867.25</c:v>
              </c:pt>
              <c:pt idx="1788">
                <c:v>862.7</c:v>
              </c:pt>
              <c:pt idx="1789">
                <c:v>863.4</c:v>
              </c:pt>
              <c:pt idx="1790">
                <c:v>869.5</c:v>
              </c:pt>
              <c:pt idx="1791">
                <c:v>877</c:v>
              </c:pt>
              <c:pt idx="1792">
                <c:v>889.45</c:v>
              </c:pt>
              <c:pt idx="1793">
                <c:v>889.55</c:v>
              </c:pt>
              <c:pt idx="1794">
                <c:v>887.85</c:v>
              </c:pt>
              <c:pt idx="1795">
                <c:v>900.65</c:v>
              </c:pt>
              <c:pt idx="1796">
                <c:v>891.5</c:v>
              </c:pt>
              <c:pt idx="1797">
                <c:v>895.65</c:v>
              </c:pt>
              <c:pt idx="1798">
                <c:v>892.7</c:v>
              </c:pt>
              <c:pt idx="1799">
                <c:v>901.85</c:v>
              </c:pt>
              <c:pt idx="1800">
                <c:v>907.2</c:v>
              </c:pt>
              <c:pt idx="1801">
                <c:v>918.15</c:v>
              </c:pt>
              <c:pt idx="1802">
                <c:v>915.65</c:v>
              </c:pt>
              <c:pt idx="1803">
                <c:v>906.95</c:v>
              </c:pt>
              <c:pt idx="1804">
                <c:v>924.5</c:v>
              </c:pt>
              <c:pt idx="1805">
                <c:v>911.7</c:v>
              </c:pt>
              <c:pt idx="1806">
                <c:v>903.6</c:v>
              </c:pt>
              <c:pt idx="1807">
                <c:v>915.2</c:v>
              </c:pt>
              <c:pt idx="1808">
                <c:v>903</c:v>
              </c:pt>
              <c:pt idx="1809">
                <c:v>910.9</c:v>
              </c:pt>
              <c:pt idx="1810">
                <c:v>912</c:v>
              </c:pt>
              <c:pt idx="1811">
                <c:v>913.95</c:v>
              </c:pt>
              <c:pt idx="1812">
                <c:v>907.7</c:v>
              </c:pt>
              <c:pt idx="1813">
                <c:v>916.15</c:v>
              </c:pt>
              <c:pt idx="1814">
                <c:v>921</c:v>
              </c:pt>
              <c:pt idx="1815">
                <c:v>933.95</c:v>
              </c:pt>
              <c:pt idx="1816">
                <c:v>924.5</c:v>
              </c:pt>
              <c:pt idx="1817">
                <c:v>932.7</c:v>
              </c:pt>
              <c:pt idx="1818">
                <c:v>939.05</c:v>
              </c:pt>
              <c:pt idx="1819">
                <c:v>943.95</c:v>
              </c:pt>
              <c:pt idx="1820">
                <c:v>943.7</c:v>
              </c:pt>
              <c:pt idx="1821">
                <c:v>934.9</c:v>
              </c:pt>
              <c:pt idx="1822">
                <c:v>922.8</c:v>
              </c:pt>
              <c:pt idx="1823">
                <c:v>922</c:v>
              </c:pt>
              <c:pt idx="1824">
                <c:v>923.45</c:v>
              </c:pt>
              <c:pt idx="1825">
                <c:v>914.35</c:v>
              </c:pt>
              <c:pt idx="1826">
                <c:v>916.15</c:v>
              </c:pt>
              <c:pt idx="1827">
                <c:v>925.1</c:v>
              </c:pt>
              <c:pt idx="1828">
                <c:v>930.65</c:v>
              </c:pt>
              <c:pt idx="1829">
                <c:v>937.9</c:v>
              </c:pt>
              <c:pt idx="1830">
                <c:v>944.5</c:v>
              </c:pt>
              <c:pt idx="1831">
                <c:v>951</c:v>
              </c:pt>
              <c:pt idx="1832">
                <c:v>955.65</c:v>
              </c:pt>
              <c:pt idx="1833">
                <c:v>959.85</c:v>
              </c:pt>
              <c:pt idx="1834">
                <c:v>954.2</c:v>
              </c:pt>
              <c:pt idx="1835">
                <c:v>964.25</c:v>
              </c:pt>
              <c:pt idx="1836">
                <c:v>965.25</c:v>
              </c:pt>
              <c:pt idx="1837">
                <c:v>974.7</c:v>
              </c:pt>
              <c:pt idx="1838">
                <c:v>972.25</c:v>
              </c:pt>
              <c:pt idx="1839">
                <c:v>960.5</c:v>
              </c:pt>
              <c:pt idx="1840">
                <c:v>965.45</c:v>
              </c:pt>
              <c:pt idx="1841">
                <c:v>968.65</c:v>
              </c:pt>
              <c:pt idx="1842">
                <c:v>959.85</c:v>
              </c:pt>
              <c:pt idx="1843">
                <c:v>981.4</c:v>
              </c:pt>
              <c:pt idx="1844">
                <c:v>978.55</c:v>
              </c:pt>
              <c:pt idx="1845">
                <c:v>998.75</c:v>
              </c:pt>
              <c:pt idx="1846">
                <c:v>1005.55</c:v>
              </c:pt>
              <c:pt idx="1847">
                <c:v>1011.55</c:v>
              </c:pt>
              <c:pt idx="1848">
                <c:v>1010.65</c:v>
              </c:pt>
              <c:pt idx="1849">
                <c:v>1008.7</c:v>
              </c:pt>
              <c:pt idx="1850">
                <c:v>998.65</c:v>
              </c:pt>
              <c:pt idx="1851">
                <c:v>991.2</c:v>
              </c:pt>
              <c:pt idx="1852">
                <c:v>1022.7</c:v>
              </c:pt>
              <c:pt idx="1853">
                <c:v>1009</c:v>
              </c:pt>
              <c:pt idx="1854">
                <c:v>1009.55</c:v>
              </c:pt>
              <c:pt idx="1855">
                <c:v>1015.45</c:v>
              </c:pt>
              <c:pt idx="1856">
                <c:v>1001.25</c:v>
              </c:pt>
              <c:pt idx="1857">
                <c:v>1011.95</c:v>
              </c:pt>
              <c:pt idx="1858">
                <c:v>1010.65</c:v>
              </c:pt>
              <c:pt idx="1859">
                <c:v>1021</c:v>
              </c:pt>
              <c:pt idx="1860">
                <c:v>1020.75</c:v>
              </c:pt>
              <c:pt idx="1861">
                <c:v>1016.4</c:v>
              </c:pt>
              <c:pt idx="1862">
                <c:v>1027.45</c:v>
              </c:pt>
              <c:pt idx="1863">
                <c:v>1022.35</c:v>
              </c:pt>
              <c:pt idx="1864">
                <c:v>1020.9</c:v>
              </c:pt>
              <c:pt idx="1865">
                <c:v>1031.95</c:v>
              </c:pt>
              <c:pt idx="1866">
                <c:v>1032.5</c:v>
              </c:pt>
              <c:pt idx="1867">
                <c:v>1030.8499999999999</c:v>
              </c:pt>
              <c:pt idx="1868">
                <c:v>1035.6500000000001</c:v>
              </c:pt>
              <c:pt idx="1869">
                <c:v>1056.2</c:v>
              </c:pt>
              <c:pt idx="1870">
                <c:v>1049.2</c:v>
              </c:pt>
              <c:pt idx="1871">
                <c:v>1048.5999999999999</c:v>
              </c:pt>
              <c:pt idx="1872">
                <c:v>1054.25</c:v>
              </c:pt>
              <c:pt idx="1873">
                <c:v>1068.7</c:v>
              </c:pt>
              <c:pt idx="1874">
                <c:v>1171.55</c:v>
              </c:pt>
              <c:pt idx="1875">
                <c:v>1177.45</c:v>
              </c:pt>
              <c:pt idx="1876">
                <c:v>1175.8499999999999</c:v>
              </c:pt>
              <c:pt idx="1877">
                <c:v>1178</c:v>
              </c:pt>
              <c:pt idx="1878">
                <c:v>1167.45</c:v>
              </c:pt>
              <c:pt idx="1879">
                <c:v>1165</c:v>
              </c:pt>
              <c:pt idx="1880">
                <c:v>1209.55</c:v>
              </c:pt>
              <c:pt idx="1881">
                <c:v>1223.55</c:v>
              </c:pt>
              <c:pt idx="1882">
                <c:v>1266.5999999999999</c:v>
              </c:pt>
              <c:pt idx="1883">
                <c:v>1265.9000000000001</c:v>
              </c:pt>
              <c:pt idx="1884">
                <c:v>1258.8</c:v>
              </c:pt>
              <c:pt idx="1885">
                <c:v>1250.7</c:v>
              </c:pt>
              <c:pt idx="1886">
                <c:v>1235.2</c:v>
              </c:pt>
              <c:pt idx="1887">
                <c:v>1242.1500000000001</c:v>
              </c:pt>
              <c:pt idx="1888">
                <c:v>1239.75</c:v>
              </c:pt>
              <c:pt idx="1889">
                <c:v>1235.3</c:v>
              </c:pt>
              <c:pt idx="1890">
                <c:v>1234.3</c:v>
              </c:pt>
              <c:pt idx="1891">
                <c:v>1220.95</c:v>
              </c:pt>
              <c:pt idx="1892">
                <c:v>1230.55</c:v>
              </c:pt>
              <c:pt idx="1893">
                <c:v>1219.3499999999999</c:v>
              </c:pt>
              <c:pt idx="1894">
                <c:v>1209.4000000000001</c:v>
              </c:pt>
              <c:pt idx="1895">
                <c:v>1229.2</c:v>
              </c:pt>
              <c:pt idx="1896">
                <c:v>1229.2</c:v>
              </c:pt>
              <c:pt idx="1897">
                <c:v>1235.8</c:v>
              </c:pt>
              <c:pt idx="1898">
                <c:v>1257.2</c:v>
              </c:pt>
              <c:pt idx="1899">
                <c:v>1245.05</c:v>
              </c:pt>
              <c:pt idx="1900">
                <c:v>1238.9000000000001</c:v>
              </c:pt>
              <c:pt idx="1901">
                <c:v>1238.55</c:v>
              </c:pt>
              <c:pt idx="1902">
                <c:v>1256.6500000000001</c:v>
              </c:pt>
              <c:pt idx="1903">
                <c:v>1249.0999999999999</c:v>
              </c:pt>
              <c:pt idx="1904">
                <c:v>1243.7</c:v>
              </c:pt>
              <c:pt idx="1905">
                <c:v>1246.7</c:v>
              </c:pt>
              <c:pt idx="1906">
                <c:v>1239.25</c:v>
              </c:pt>
              <c:pt idx="1907">
                <c:v>1227.7</c:v>
              </c:pt>
              <c:pt idx="1908">
                <c:v>1234.1500000000001</c:v>
              </c:pt>
              <c:pt idx="1909">
                <c:v>1235.7</c:v>
              </c:pt>
              <c:pt idx="1910">
                <c:v>1240.45</c:v>
              </c:pt>
              <c:pt idx="1911">
                <c:v>1238.8499999999999</c:v>
              </c:pt>
              <c:pt idx="1912">
                <c:v>1207.1500000000001</c:v>
              </c:pt>
              <c:pt idx="1913">
                <c:v>1186.5999999999999</c:v>
              </c:pt>
              <c:pt idx="1914">
                <c:v>1178.8</c:v>
              </c:pt>
              <c:pt idx="1915">
                <c:v>1163.8</c:v>
              </c:pt>
              <c:pt idx="1916">
                <c:v>1180.5</c:v>
              </c:pt>
              <c:pt idx="1917">
                <c:v>1164</c:v>
              </c:pt>
              <c:pt idx="1918">
                <c:v>1186.8</c:v>
              </c:pt>
              <c:pt idx="1919">
                <c:v>1182.6500000000001</c:v>
              </c:pt>
              <c:pt idx="1920">
                <c:v>1167.0999999999999</c:v>
              </c:pt>
              <c:pt idx="1921">
                <c:v>1161.0999999999999</c:v>
              </c:pt>
              <c:pt idx="1922">
                <c:v>1162.8499999999999</c:v>
              </c:pt>
              <c:pt idx="1923">
                <c:v>1159.5999999999999</c:v>
              </c:pt>
              <c:pt idx="1924">
                <c:v>1155</c:v>
              </c:pt>
              <c:pt idx="1925">
                <c:v>1170.8</c:v>
              </c:pt>
              <c:pt idx="1926">
                <c:v>1157.45</c:v>
              </c:pt>
              <c:pt idx="1927">
                <c:v>1167.95</c:v>
              </c:pt>
              <c:pt idx="1928">
                <c:v>1164.4000000000001</c:v>
              </c:pt>
              <c:pt idx="1929">
                <c:v>1173.5</c:v>
              </c:pt>
              <c:pt idx="1930">
                <c:v>1210.55</c:v>
              </c:pt>
              <c:pt idx="1931">
                <c:v>1223.3</c:v>
              </c:pt>
              <c:pt idx="1932">
                <c:v>1199.8499999999999</c:v>
              </c:pt>
              <c:pt idx="1933">
                <c:v>1183.3</c:v>
              </c:pt>
              <c:pt idx="1934">
                <c:v>1156.7</c:v>
              </c:pt>
              <c:pt idx="1935">
                <c:v>1150.1500000000001</c:v>
              </c:pt>
              <c:pt idx="1936">
                <c:v>1173.8499999999999</c:v>
              </c:pt>
              <c:pt idx="1937">
                <c:v>1193.05</c:v>
              </c:pt>
              <c:pt idx="1938">
                <c:v>1199.4000000000001</c:v>
              </c:pt>
              <c:pt idx="1939">
                <c:v>1200.9000000000001</c:v>
              </c:pt>
              <c:pt idx="1940">
                <c:v>1208.55</c:v>
              </c:pt>
              <c:pt idx="1941">
                <c:v>1206.1500000000001</c:v>
              </c:pt>
              <c:pt idx="1942">
                <c:v>1204.05</c:v>
              </c:pt>
              <c:pt idx="1943">
                <c:v>1215.9000000000001</c:v>
              </c:pt>
              <c:pt idx="1944">
                <c:v>1240.55</c:v>
              </c:pt>
              <c:pt idx="1945">
                <c:v>1238.45</c:v>
              </c:pt>
              <c:pt idx="1946">
                <c:v>1240</c:v>
              </c:pt>
              <c:pt idx="1947">
                <c:v>1244.2</c:v>
              </c:pt>
              <c:pt idx="1948">
                <c:v>1240.3499999999999</c:v>
              </c:pt>
              <c:pt idx="1949">
                <c:v>1241.3499999999999</c:v>
              </c:pt>
              <c:pt idx="1950">
                <c:v>1234.8499999999999</c:v>
              </c:pt>
              <c:pt idx="1951">
                <c:v>1249.3499999999999</c:v>
              </c:pt>
              <c:pt idx="1952">
                <c:v>1246.75</c:v>
              </c:pt>
              <c:pt idx="1953">
                <c:v>1253.8499999999999</c:v>
              </c:pt>
              <c:pt idx="1954">
                <c:v>1271.6500000000001</c:v>
              </c:pt>
              <c:pt idx="1955">
                <c:v>1168.5999999999999</c:v>
              </c:pt>
              <c:pt idx="1956">
                <c:v>1198.8499999999999</c:v>
              </c:pt>
              <c:pt idx="1957">
                <c:v>1192.05</c:v>
              </c:pt>
              <c:pt idx="1958">
                <c:v>1201.9000000000001</c:v>
              </c:pt>
              <c:pt idx="1959">
                <c:v>1211.5</c:v>
              </c:pt>
              <c:pt idx="1960">
                <c:v>1206.6500000000001</c:v>
              </c:pt>
              <c:pt idx="1961">
                <c:v>1216.55</c:v>
              </c:pt>
              <c:pt idx="1962">
                <c:v>1224.0999999999999</c:v>
              </c:pt>
              <c:pt idx="1963">
                <c:v>1205.5</c:v>
              </c:pt>
              <c:pt idx="1964">
                <c:v>1222.9000000000001</c:v>
              </c:pt>
              <c:pt idx="1965">
                <c:v>1219.3499999999999</c:v>
              </c:pt>
              <c:pt idx="1966">
                <c:v>1202.5999999999999</c:v>
              </c:pt>
              <c:pt idx="1967">
                <c:v>1198.5999999999999</c:v>
              </c:pt>
              <c:pt idx="1968">
                <c:v>1216.4000000000001</c:v>
              </c:pt>
              <c:pt idx="1969">
                <c:v>1204.55</c:v>
              </c:pt>
              <c:pt idx="1970">
                <c:v>1205.7</c:v>
              </c:pt>
              <c:pt idx="1971">
                <c:v>1216.95</c:v>
              </c:pt>
              <c:pt idx="1972">
                <c:v>1236.45</c:v>
              </c:pt>
              <c:pt idx="1973">
                <c:v>1234.7</c:v>
              </c:pt>
              <c:pt idx="1974">
                <c:v>1222.55</c:v>
              </c:pt>
              <c:pt idx="1975">
                <c:v>1235.3499999999999</c:v>
              </c:pt>
              <c:pt idx="1976">
                <c:v>1245.3499999999999</c:v>
              </c:pt>
              <c:pt idx="1977">
                <c:v>1239.45</c:v>
              </c:pt>
              <c:pt idx="1978">
                <c:v>1260.4000000000001</c:v>
              </c:pt>
              <c:pt idx="1979">
                <c:v>1246.75</c:v>
              </c:pt>
              <c:pt idx="1980">
                <c:v>1251.05</c:v>
              </c:pt>
              <c:pt idx="1981">
                <c:v>1281.55</c:v>
              </c:pt>
              <c:pt idx="1982">
                <c:v>1299.75</c:v>
              </c:pt>
              <c:pt idx="1983">
                <c:v>1296.9000000000001</c:v>
              </c:pt>
              <c:pt idx="1984">
                <c:v>1286.5</c:v>
              </c:pt>
              <c:pt idx="1985">
                <c:v>1271.05</c:v>
              </c:pt>
              <c:pt idx="1986">
                <c:v>1290.3499999999999</c:v>
              </c:pt>
              <c:pt idx="1987">
                <c:v>1329.95</c:v>
              </c:pt>
              <c:pt idx="1988">
                <c:v>1325.25</c:v>
              </c:pt>
              <c:pt idx="1989">
                <c:v>1308.3499999999999</c:v>
              </c:pt>
              <c:pt idx="1990">
                <c:v>1312.75</c:v>
              </c:pt>
              <c:pt idx="1991">
                <c:v>1301.45</c:v>
              </c:pt>
              <c:pt idx="1992">
                <c:v>1293.5</c:v>
              </c:pt>
              <c:pt idx="1993">
                <c:v>1323.3</c:v>
              </c:pt>
              <c:pt idx="1994">
                <c:v>1328.25</c:v>
              </c:pt>
              <c:pt idx="1995">
                <c:v>1312.6</c:v>
              </c:pt>
              <c:pt idx="1996">
                <c:v>1409.05</c:v>
              </c:pt>
              <c:pt idx="1997">
                <c:v>1417.7</c:v>
              </c:pt>
              <c:pt idx="1998">
                <c:v>1369.8</c:v>
              </c:pt>
              <c:pt idx="1999">
                <c:v>1337.25</c:v>
              </c:pt>
              <c:pt idx="2000">
                <c:v>1316.95</c:v>
              </c:pt>
              <c:pt idx="2001">
                <c:v>1351.3</c:v>
              </c:pt>
              <c:pt idx="2002">
                <c:v>1387.55</c:v>
              </c:pt>
              <c:pt idx="2003">
                <c:v>1391.45</c:v>
              </c:pt>
              <c:pt idx="2004">
                <c:v>1433.45</c:v>
              </c:pt>
              <c:pt idx="2005">
                <c:v>1425.55</c:v>
              </c:pt>
              <c:pt idx="2006">
                <c:v>1439.05</c:v>
              </c:pt>
              <c:pt idx="2007">
                <c:v>1420.1</c:v>
              </c:pt>
              <c:pt idx="2008">
                <c:v>1438.8</c:v>
              </c:pt>
              <c:pt idx="2009">
                <c:v>1435.6</c:v>
              </c:pt>
              <c:pt idx="2010">
                <c:v>1456.85</c:v>
              </c:pt>
              <c:pt idx="2011">
                <c:v>1425.6</c:v>
              </c:pt>
              <c:pt idx="2012">
                <c:v>1422.85</c:v>
              </c:pt>
              <c:pt idx="2013">
                <c:v>1440.2</c:v>
              </c:pt>
              <c:pt idx="2014">
                <c:v>1470.45</c:v>
              </c:pt>
              <c:pt idx="2015">
                <c:v>1451.6</c:v>
              </c:pt>
              <c:pt idx="2016">
                <c:v>1447.5</c:v>
              </c:pt>
              <c:pt idx="2017">
                <c:v>1453.75</c:v>
              </c:pt>
              <c:pt idx="2018">
                <c:v>1466.2</c:v>
              </c:pt>
              <c:pt idx="2019">
                <c:v>1469.75</c:v>
              </c:pt>
              <c:pt idx="2020">
                <c:v>1488.55</c:v>
              </c:pt>
              <c:pt idx="2021">
                <c:v>1476.25</c:v>
              </c:pt>
              <c:pt idx="2022">
                <c:v>1480.6</c:v>
              </c:pt>
              <c:pt idx="2023">
                <c:v>1470.6</c:v>
              </c:pt>
              <c:pt idx="2024">
                <c:v>1483.1</c:v>
              </c:pt>
              <c:pt idx="2025">
                <c:v>1471.25</c:v>
              </c:pt>
              <c:pt idx="2026">
                <c:v>1473.75</c:v>
              </c:pt>
              <c:pt idx="2027">
                <c:v>1484.95</c:v>
              </c:pt>
              <c:pt idx="2028">
                <c:v>1481.95</c:v>
              </c:pt>
              <c:pt idx="2029">
                <c:v>1503.9</c:v>
              </c:pt>
              <c:pt idx="2030">
                <c:v>1465.3</c:v>
              </c:pt>
              <c:pt idx="2031">
                <c:v>1471.05</c:v>
              </c:pt>
              <c:pt idx="2032">
                <c:v>1497.05</c:v>
              </c:pt>
              <c:pt idx="2033">
                <c:v>1487.9</c:v>
              </c:pt>
              <c:pt idx="2034">
                <c:v>1487.35</c:v>
              </c:pt>
              <c:pt idx="2035">
                <c:v>1436.15</c:v>
              </c:pt>
              <c:pt idx="2036">
                <c:v>1416.8</c:v>
              </c:pt>
              <c:pt idx="2037">
                <c:v>1450.85</c:v>
              </c:pt>
              <c:pt idx="2038">
                <c:v>1480.8</c:v>
              </c:pt>
              <c:pt idx="2039">
                <c:v>1471.7</c:v>
              </c:pt>
              <c:pt idx="2040">
                <c:v>1466.2</c:v>
              </c:pt>
              <c:pt idx="2041">
                <c:v>1494.65</c:v>
              </c:pt>
              <c:pt idx="2042">
                <c:v>1496.35</c:v>
              </c:pt>
              <c:pt idx="2043">
                <c:v>1488.35</c:v>
              </c:pt>
              <c:pt idx="2044">
                <c:v>1470.65</c:v>
              </c:pt>
              <c:pt idx="2045">
                <c:v>1459.75</c:v>
              </c:pt>
              <c:pt idx="2046">
                <c:v>1448.65</c:v>
              </c:pt>
              <c:pt idx="2047">
                <c:v>1461.8</c:v>
              </c:pt>
              <c:pt idx="2048">
                <c:v>1450.2</c:v>
              </c:pt>
              <c:pt idx="2049">
                <c:v>1422.5</c:v>
              </c:pt>
              <c:pt idx="2050">
                <c:v>1396.4</c:v>
              </c:pt>
              <c:pt idx="2051">
                <c:v>1381.25</c:v>
              </c:pt>
              <c:pt idx="2052">
                <c:v>1376.05</c:v>
              </c:pt>
              <c:pt idx="2053">
                <c:v>1347.65</c:v>
              </c:pt>
              <c:pt idx="2054">
                <c:v>1345.35</c:v>
              </c:pt>
              <c:pt idx="2055">
                <c:v>1354.25</c:v>
              </c:pt>
              <c:pt idx="2056">
                <c:v>1347.7</c:v>
              </c:pt>
              <c:pt idx="2057">
                <c:v>1398.8</c:v>
              </c:pt>
              <c:pt idx="2058">
                <c:v>1405.4</c:v>
              </c:pt>
              <c:pt idx="2059">
                <c:v>1409.4</c:v>
              </c:pt>
              <c:pt idx="2060">
                <c:v>1407.55</c:v>
              </c:pt>
              <c:pt idx="2061">
                <c:v>1401.2</c:v>
              </c:pt>
              <c:pt idx="2062">
                <c:v>1419.55</c:v>
              </c:pt>
              <c:pt idx="2063">
                <c:v>1424.75</c:v>
              </c:pt>
              <c:pt idx="2064">
                <c:v>1423.4</c:v>
              </c:pt>
              <c:pt idx="2065">
                <c:v>1387.9</c:v>
              </c:pt>
              <c:pt idx="2066">
                <c:v>1384.8</c:v>
              </c:pt>
              <c:pt idx="2067">
                <c:v>1358.8</c:v>
              </c:pt>
              <c:pt idx="2068">
                <c:v>1339.45</c:v>
              </c:pt>
              <c:pt idx="2069">
                <c:v>1414.8</c:v>
              </c:pt>
              <c:pt idx="2070">
                <c:v>1356.95</c:v>
              </c:pt>
              <c:pt idx="2071">
                <c:v>1405.95</c:v>
              </c:pt>
              <c:pt idx="2072">
                <c:v>1420.05</c:v>
              </c:pt>
              <c:pt idx="2073">
                <c:v>1399.35</c:v>
              </c:pt>
              <c:pt idx="2074">
                <c:v>1403.9</c:v>
              </c:pt>
              <c:pt idx="2075">
                <c:v>1443.2</c:v>
              </c:pt>
              <c:pt idx="2076">
                <c:v>1481.55</c:v>
              </c:pt>
              <c:pt idx="2077">
                <c:v>1488.65</c:v>
              </c:pt>
              <c:pt idx="2078">
                <c:v>1485.3</c:v>
              </c:pt>
              <c:pt idx="2079">
                <c:v>1478.35</c:v>
              </c:pt>
              <c:pt idx="2080">
                <c:v>1479.6</c:v>
              </c:pt>
              <c:pt idx="2081">
                <c:v>1493.05</c:v>
              </c:pt>
              <c:pt idx="2082">
                <c:v>1464.8</c:v>
              </c:pt>
              <c:pt idx="2083">
                <c:v>1448.15</c:v>
              </c:pt>
              <c:pt idx="2084">
                <c:v>1452.5</c:v>
              </c:pt>
              <c:pt idx="2085">
                <c:v>1462.85</c:v>
              </c:pt>
              <c:pt idx="2086">
                <c:v>1497.85</c:v>
              </c:pt>
              <c:pt idx="2087">
                <c:v>1477.25</c:v>
              </c:pt>
              <c:pt idx="2088">
                <c:v>1497.3</c:v>
              </c:pt>
              <c:pt idx="2089">
                <c:v>1533.8</c:v>
              </c:pt>
              <c:pt idx="2090">
                <c:v>1529.85</c:v>
              </c:pt>
              <c:pt idx="2091">
                <c:v>1540.7</c:v>
              </c:pt>
              <c:pt idx="2092">
                <c:v>1543.45</c:v>
              </c:pt>
              <c:pt idx="2093">
                <c:v>1565.3</c:v>
              </c:pt>
              <c:pt idx="2094">
                <c:v>1574.25</c:v>
              </c:pt>
              <c:pt idx="2095">
                <c:v>1559.3</c:v>
              </c:pt>
              <c:pt idx="2096">
                <c:v>1544.45</c:v>
              </c:pt>
              <c:pt idx="2097">
                <c:v>1540.95</c:v>
              </c:pt>
              <c:pt idx="2098">
                <c:v>1503.3</c:v>
              </c:pt>
              <c:pt idx="2099">
                <c:v>1499.4</c:v>
              </c:pt>
              <c:pt idx="2100">
                <c:v>1479.45</c:v>
              </c:pt>
              <c:pt idx="2101">
                <c:v>1480.95</c:v>
              </c:pt>
              <c:pt idx="2102">
                <c:v>1480.4</c:v>
              </c:pt>
              <c:pt idx="2103">
                <c:v>1478.9</c:v>
              </c:pt>
              <c:pt idx="2104">
                <c:v>1488.45</c:v>
              </c:pt>
              <c:pt idx="2105">
                <c:v>1483.2</c:v>
              </c:pt>
              <c:pt idx="2106">
                <c:v>1481.65</c:v>
              </c:pt>
              <c:pt idx="2107">
                <c:v>1509.4</c:v>
              </c:pt>
              <c:pt idx="2108">
                <c:v>1486.95</c:v>
              </c:pt>
              <c:pt idx="2109">
                <c:v>1511.8</c:v>
              </c:pt>
              <c:pt idx="2110">
                <c:v>1513.15</c:v>
              </c:pt>
              <c:pt idx="2111">
                <c:v>1505.8</c:v>
              </c:pt>
              <c:pt idx="2112">
                <c:v>1511.95</c:v>
              </c:pt>
              <c:pt idx="2113">
                <c:v>1516.05</c:v>
              </c:pt>
              <c:pt idx="2114">
                <c:v>1511.35</c:v>
              </c:pt>
              <c:pt idx="2115">
                <c:v>1506.05</c:v>
              </c:pt>
              <c:pt idx="2116">
                <c:v>1485.15</c:v>
              </c:pt>
              <c:pt idx="2117">
                <c:v>1489.7</c:v>
              </c:pt>
              <c:pt idx="2118">
                <c:v>1497.45</c:v>
              </c:pt>
              <c:pt idx="2119">
                <c:v>1503.9</c:v>
              </c:pt>
              <c:pt idx="2120">
                <c:v>1499.9</c:v>
              </c:pt>
              <c:pt idx="2121">
                <c:v>1578.25</c:v>
              </c:pt>
              <c:pt idx="2122">
                <c:v>1553.7</c:v>
              </c:pt>
              <c:pt idx="2123">
                <c:v>1529.3</c:v>
              </c:pt>
              <c:pt idx="2124">
                <c:v>1543.85</c:v>
              </c:pt>
              <c:pt idx="2125">
                <c:v>1546.15</c:v>
              </c:pt>
              <c:pt idx="2126">
                <c:v>1528.8</c:v>
              </c:pt>
              <c:pt idx="2127">
                <c:v>1515</c:v>
              </c:pt>
              <c:pt idx="2128">
                <c:v>1531.5</c:v>
              </c:pt>
              <c:pt idx="2129">
                <c:v>1553.8</c:v>
              </c:pt>
              <c:pt idx="2130">
                <c:v>1568.9</c:v>
              </c:pt>
              <c:pt idx="2131">
                <c:v>1574.75</c:v>
              </c:pt>
              <c:pt idx="2132">
                <c:v>1585.25</c:v>
              </c:pt>
              <c:pt idx="2133">
                <c:v>1582.55</c:v>
              </c:pt>
              <c:pt idx="2134">
                <c:v>1564.55</c:v>
              </c:pt>
              <c:pt idx="2135">
                <c:v>1576.5</c:v>
              </c:pt>
              <c:pt idx="2136">
                <c:v>1575.45</c:v>
              </c:pt>
              <c:pt idx="2137">
                <c:v>1562.9</c:v>
              </c:pt>
              <c:pt idx="2138">
                <c:v>1594.3</c:v>
              </c:pt>
              <c:pt idx="2139">
                <c:v>1585.75</c:v>
              </c:pt>
              <c:pt idx="2140">
                <c:v>1575</c:v>
              </c:pt>
              <c:pt idx="2141">
                <c:v>1593.35</c:v>
              </c:pt>
              <c:pt idx="2142">
                <c:v>1597.6</c:v>
              </c:pt>
              <c:pt idx="2143">
                <c:v>1619.25</c:v>
              </c:pt>
              <c:pt idx="2144">
                <c:v>1618.9</c:v>
              </c:pt>
              <c:pt idx="2145">
                <c:v>1655.75</c:v>
              </c:pt>
              <c:pt idx="2146">
                <c:v>1646.35</c:v>
              </c:pt>
              <c:pt idx="2147">
                <c:v>1652.4</c:v>
              </c:pt>
              <c:pt idx="2148">
                <c:v>1651.8</c:v>
              </c:pt>
              <c:pt idx="2149">
                <c:v>1628.1</c:v>
              </c:pt>
              <c:pt idx="2150">
                <c:v>1611.9</c:v>
              </c:pt>
              <c:pt idx="2151">
                <c:v>1620.15</c:v>
              </c:pt>
              <c:pt idx="2152">
                <c:v>1632</c:v>
              </c:pt>
              <c:pt idx="2153">
                <c:v>1627.7</c:v>
              </c:pt>
              <c:pt idx="2154">
                <c:v>1657.1</c:v>
              </c:pt>
              <c:pt idx="2155">
                <c:v>1659.25</c:v>
              </c:pt>
              <c:pt idx="2156">
                <c:v>1659.65</c:v>
              </c:pt>
              <c:pt idx="2157">
                <c:v>1671.15</c:v>
              </c:pt>
              <c:pt idx="2158">
                <c:v>1651.9</c:v>
              </c:pt>
              <c:pt idx="2159">
                <c:v>1638.45</c:v>
              </c:pt>
              <c:pt idx="2160">
                <c:v>1639.5</c:v>
              </c:pt>
              <c:pt idx="2161">
                <c:v>1657.65</c:v>
              </c:pt>
              <c:pt idx="2162">
                <c:v>1637.4</c:v>
              </c:pt>
              <c:pt idx="2163">
                <c:v>1643.2</c:v>
              </c:pt>
              <c:pt idx="2164">
                <c:v>1622.1</c:v>
              </c:pt>
              <c:pt idx="2165">
                <c:v>1671.6</c:v>
              </c:pt>
              <c:pt idx="2166">
                <c:v>1654</c:v>
              </c:pt>
              <c:pt idx="2167">
                <c:v>1663.55</c:v>
              </c:pt>
              <c:pt idx="2168">
                <c:v>1656</c:v>
              </c:pt>
              <c:pt idx="2169">
                <c:v>1622.85</c:v>
              </c:pt>
              <c:pt idx="2170">
                <c:v>1624.7</c:v>
              </c:pt>
              <c:pt idx="2171">
                <c:v>1640.6</c:v>
              </c:pt>
              <c:pt idx="2172">
                <c:v>1681.05</c:v>
              </c:pt>
              <c:pt idx="2173">
                <c:v>1618.55</c:v>
              </c:pt>
              <c:pt idx="2174">
                <c:v>1595.25</c:v>
              </c:pt>
              <c:pt idx="2175">
                <c:v>1599.8</c:v>
              </c:pt>
              <c:pt idx="2176">
                <c:v>1571.45</c:v>
              </c:pt>
              <c:pt idx="2177">
                <c:v>1562.65</c:v>
              </c:pt>
              <c:pt idx="2178">
                <c:v>1558.35</c:v>
              </c:pt>
              <c:pt idx="2179">
                <c:v>1551.5</c:v>
              </c:pt>
              <c:pt idx="2180">
                <c:v>1522.95</c:v>
              </c:pt>
              <c:pt idx="2181">
                <c:v>1511.2</c:v>
              </c:pt>
              <c:pt idx="2182">
                <c:v>1484.85</c:v>
              </c:pt>
              <c:pt idx="2183">
                <c:v>1491.85</c:v>
              </c:pt>
              <c:pt idx="2184">
                <c:v>1488.8</c:v>
              </c:pt>
              <c:pt idx="2185">
                <c:v>1503.5</c:v>
              </c:pt>
              <c:pt idx="2186">
                <c:v>1478.1</c:v>
              </c:pt>
              <c:pt idx="2187">
                <c:v>1417.45</c:v>
              </c:pt>
              <c:pt idx="2188">
                <c:v>1553.2</c:v>
              </c:pt>
              <c:pt idx="2189">
                <c:v>1559.2</c:v>
              </c:pt>
              <c:pt idx="2190">
                <c:v>1584.55</c:v>
              </c:pt>
              <c:pt idx="2191">
                <c:v>1601.25</c:v>
              </c:pt>
              <c:pt idx="2192">
                <c:v>1594.3</c:v>
              </c:pt>
              <c:pt idx="2193">
                <c:v>1573.35</c:v>
              </c:pt>
              <c:pt idx="2194">
                <c:v>1591.75</c:v>
              </c:pt>
              <c:pt idx="2195">
                <c:v>1553.75</c:v>
              </c:pt>
              <c:pt idx="2196">
                <c:v>1524.75</c:v>
              </c:pt>
              <c:pt idx="2197">
                <c:v>1505.25</c:v>
              </c:pt>
              <c:pt idx="2198">
                <c:v>1500.15</c:v>
              </c:pt>
              <c:pt idx="2199">
                <c:v>1465.1</c:v>
              </c:pt>
              <c:pt idx="2200">
                <c:v>1471.35</c:v>
              </c:pt>
              <c:pt idx="2201">
                <c:v>1465.65</c:v>
              </c:pt>
              <c:pt idx="2202">
                <c:v>1486.3</c:v>
              </c:pt>
              <c:pt idx="2203">
                <c:v>1503.4</c:v>
              </c:pt>
              <c:pt idx="2204">
                <c:v>1493.35</c:v>
              </c:pt>
              <c:pt idx="2205">
                <c:v>1491.55</c:v>
              </c:pt>
              <c:pt idx="2206">
                <c:v>1492.85</c:v>
              </c:pt>
              <c:pt idx="2207">
                <c:v>1534.4</c:v>
              </c:pt>
              <c:pt idx="2208">
                <c:v>1508.1</c:v>
              </c:pt>
              <c:pt idx="2209">
                <c:v>1534.4</c:v>
              </c:pt>
              <c:pt idx="2210">
                <c:v>1501.1</c:v>
              </c:pt>
              <c:pt idx="2211">
                <c:v>1498.9</c:v>
              </c:pt>
              <c:pt idx="2212">
                <c:v>1477.6</c:v>
              </c:pt>
              <c:pt idx="2213">
                <c:v>1469.3</c:v>
              </c:pt>
              <c:pt idx="2214">
                <c:v>1455.65</c:v>
              </c:pt>
              <c:pt idx="2215">
                <c:v>1454.2</c:v>
              </c:pt>
              <c:pt idx="2216">
                <c:v>1446.35</c:v>
              </c:pt>
              <c:pt idx="2217">
                <c:v>1447.35</c:v>
              </c:pt>
              <c:pt idx="2218">
                <c:v>1448.25</c:v>
              </c:pt>
              <c:pt idx="2219">
                <c:v>1450.5</c:v>
              </c:pt>
              <c:pt idx="2220">
                <c:v>1472.05</c:v>
              </c:pt>
              <c:pt idx="2221">
                <c:v>1505.85</c:v>
              </c:pt>
              <c:pt idx="2222">
                <c:v>1472.45</c:v>
              </c:pt>
              <c:pt idx="2223">
                <c:v>1476.45</c:v>
              </c:pt>
              <c:pt idx="2224">
                <c:v>1475.9</c:v>
              </c:pt>
              <c:pt idx="2225">
                <c:v>1489.2</c:v>
              </c:pt>
              <c:pt idx="2226">
                <c:v>1506.15</c:v>
              </c:pt>
              <c:pt idx="2227">
                <c:v>1520.65</c:v>
              </c:pt>
              <c:pt idx="2228">
                <c:v>1529.5</c:v>
              </c:pt>
              <c:pt idx="2229">
                <c:v>1530.85</c:v>
              </c:pt>
              <c:pt idx="2230">
                <c:v>1537.55</c:v>
              </c:pt>
              <c:pt idx="2231">
                <c:v>1510.25</c:v>
              </c:pt>
              <c:pt idx="2232">
                <c:v>1490.55</c:v>
              </c:pt>
              <c:pt idx="2233">
                <c:v>1497.8</c:v>
              </c:pt>
              <c:pt idx="2234">
                <c:v>1495.05</c:v>
              </c:pt>
              <c:pt idx="2235">
                <c:v>1488.15</c:v>
              </c:pt>
              <c:pt idx="2236">
                <c:v>1470.05</c:v>
              </c:pt>
              <c:pt idx="2237">
                <c:v>1438.8</c:v>
              </c:pt>
              <c:pt idx="2238">
                <c:v>1448</c:v>
              </c:pt>
              <c:pt idx="2239">
                <c:v>1446.9</c:v>
              </c:pt>
              <c:pt idx="2240">
                <c:v>1443.5</c:v>
              </c:pt>
              <c:pt idx="2241">
                <c:v>1442.45</c:v>
              </c:pt>
              <c:pt idx="2242">
                <c:v>1445.9</c:v>
              </c:pt>
              <c:pt idx="2243">
                <c:v>1427.3</c:v>
              </c:pt>
              <c:pt idx="2244">
                <c:v>1439.3</c:v>
              </c:pt>
              <c:pt idx="2245">
                <c:v>1451.15</c:v>
              </c:pt>
              <c:pt idx="2246">
                <c:v>1411.8</c:v>
              </c:pt>
              <c:pt idx="2247">
                <c:v>1395.9</c:v>
              </c:pt>
              <c:pt idx="2248">
                <c:v>1419.55</c:v>
              </c:pt>
              <c:pt idx="2249">
                <c:v>1423.95</c:v>
              </c:pt>
              <c:pt idx="2250">
                <c:v>1458.15</c:v>
              </c:pt>
              <c:pt idx="2251">
                <c:v>1479.35</c:v>
              </c:pt>
              <c:pt idx="2252">
                <c:v>1437.85</c:v>
              </c:pt>
              <c:pt idx="2253">
                <c:v>1420.9</c:v>
              </c:pt>
              <c:pt idx="2254">
                <c:v>1448.7</c:v>
              </c:pt>
              <c:pt idx="2255">
                <c:v>1436.6</c:v>
              </c:pt>
              <c:pt idx="2256">
                <c:v>1471.65</c:v>
              </c:pt>
              <c:pt idx="2257">
                <c:v>1472.3</c:v>
              </c:pt>
              <c:pt idx="2258">
                <c:v>1458.35</c:v>
              </c:pt>
              <c:pt idx="2259">
                <c:v>1452.7</c:v>
              </c:pt>
              <c:pt idx="2260">
                <c:v>1449.8</c:v>
              </c:pt>
              <c:pt idx="2261">
                <c:v>1472.1</c:v>
              </c:pt>
              <c:pt idx="2262">
                <c:v>1459.05</c:v>
              </c:pt>
              <c:pt idx="2263">
                <c:v>1473.15</c:v>
              </c:pt>
              <c:pt idx="2264">
                <c:v>1482.2</c:v>
              </c:pt>
              <c:pt idx="2265">
                <c:v>1464.05</c:v>
              </c:pt>
              <c:pt idx="2266">
                <c:v>1479.8</c:v>
              </c:pt>
              <c:pt idx="2267">
                <c:v>1474.3</c:v>
              </c:pt>
              <c:pt idx="2268">
                <c:v>1476.6</c:v>
              </c:pt>
              <c:pt idx="2269">
                <c:v>1463.25</c:v>
              </c:pt>
              <c:pt idx="2270">
                <c:v>1441.15</c:v>
              </c:pt>
              <c:pt idx="2271">
                <c:v>1410.95</c:v>
              </c:pt>
              <c:pt idx="2272">
                <c:v>1407.45</c:v>
              </c:pt>
              <c:pt idx="2273">
                <c:v>1401.4</c:v>
              </c:pt>
              <c:pt idx="2274">
                <c:v>1418.45</c:v>
              </c:pt>
              <c:pt idx="2275">
                <c:v>1461.85</c:v>
              </c:pt>
              <c:pt idx="2276">
                <c:v>1458.65</c:v>
              </c:pt>
              <c:pt idx="2277">
                <c:v>1462.45</c:v>
              </c:pt>
              <c:pt idx="2278">
                <c:v>1446.3</c:v>
              </c:pt>
              <c:pt idx="2279">
                <c:v>1453.85</c:v>
              </c:pt>
              <c:pt idx="2280">
                <c:v>1461.6</c:v>
              </c:pt>
              <c:pt idx="2281">
                <c:v>1493.05</c:v>
              </c:pt>
              <c:pt idx="2282">
                <c:v>1508.7</c:v>
              </c:pt>
              <c:pt idx="2283">
                <c:v>1498.5</c:v>
              </c:pt>
              <c:pt idx="2284">
                <c:v>1513.05</c:v>
              </c:pt>
              <c:pt idx="2285">
                <c:v>1523.3</c:v>
              </c:pt>
              <c:pt idx="2286">
                <c:v>1524.35</c:v>
              </c:pt>
              <c:pt idx="2287">
                <c:v>1510.65</c:v>
              </c:pt>
              <c:pt idx="2288">
                <c:v>1475.5</c:v>
              </c:pt>
              <c:pt idx="2289">
                <c:v>1483</c:v>
              </c:pt>
              <c:pt idx="2290">
                <c:v>1441.7</c:v>
              </c:pt>
              <c:pt idx="2291">
                <c:v>1444.55</c:v>
              </c:pt>
              <c:pt idx="2292">
                <c:v>1452.7</c:v>
              </c:pt>
              <c:pt idx="2293">
                <c:v>1495.15</c:v>
              </c:pt>
              <c:pt idx="2294">
                <c:v>1415.55</c:v>
              </c:pt>
              <c:pt idx="2295">
                <c:v>1384.4</c:v>
              </c:pt>
              <c:pt idx="2296">
                <c:v>1433.45</c:v>
              </c:pt>
              <c:pt idx="2297">
                <c:v>1416.3</c:v>
              </c:pt>
              <c:pt idx="2298">
                <c:v>1463.15</c:v>
              </c:pt>
              <c:pt idx="2299">
                <c:v>1481.4</c:v>
              </c:pt>
              <c:pt idx="2300">
                <c:v>1496.5</c:v>
              </c:pt>
              <c:pt idx="2301">
                <c:v>1515.45</c:v>
              </c:pt>
              <c:pt idx="2302">
                <c:v>1511.5</c:v>
              </c:pt>
              <c:pt idx="2303">
                <c:v>1528.1</c:v>
              </c:pt>
              <c:pt idx="2304">
                <c:v>1533.55</c:v>
              </c:pt>
              <c:pt idx="2305">
                <c:v>1551.3</c:v>
              </c:pt>
              <c:pt idx="2306">
                <c:v>1525.5</c:v>
              </c:pt>
              <c:pt idx="2307">
                <c:v>1554.4</c:v>
              </c:pt>
              <c:pt idx="2308">
                <c:v>1541</c:v>
              </c:pt>
              <c:pt idx="2309">
                <c:v>1549.65</c:v>
              </c:pt>
              <c:pt idx="2310">
                <c:v>1525.7</c:v>
              </c:pt>
              <c:pt idx="2311">
                <c:v>1543.1</c:v>
              </c:pt>
              <c:pt idx="2312">
                <c:v>1510.7</c:v>
              </c:pt>
              <c:pt idx="2313">
                <c:v>1508.95</c:v>
              </c:pt>
              <c:pt idx="2314">
                <c:v>1486.75</c:v>
              </c:pt>
              <c:pt idx="2315">
                <c:v>1478.5</c:v>
              </c:pt>
              <c:pt idx="2316">
                <c:v>1512</c:v>
              </c:pt>
              <c:pt idx="2317">
                <c:v>1519.45</c:v>
              </c:pt>
              <c:pt idx="2318">
                <c:v>1495.4</c:v>
              </c:pt>
              <c:pt idx="2319">
                <c:v>1502.25</c:v>
              </c:pt>
              <c:pt idx="2320">
                <c:v>1499.7</c:v>
              </c:pt>
              <c:pt idx="2321">
                <c:v>1491.7</c:v>
              </c:pt>
              <c:pt idx="2322">
                <c:v>1454.5</c:v>
              </c:pt>
              <c:pt idx="2323">
                <c:v>1482.05</c:v>
              </c:pt>
              <c:pt idx="2324">
                <c:v>1467.3</c:v>
              </c:pt>
              <c:pt idx="2325">
                <c:v>1484.55</c:v>
              </c:pt>
              <c:pt idx="2326">
                <c:v>1483.7</c:v>
              </c:pt>
              <c:pt idx="2327">
                <c:v>1480.35</c:v>
              </c:pt>
              <c:pt idx="2328">
                <c:v>1468.75</c:v>
              </c:pt>
              <c:pt idx="2329">
                <c:v>1476.55</c:v>
              </c:pt>
              <c:pt idx="2330">
                <c:v>1464.85</c:v>
              </c:pt>
              <c:pt idx="2331">
                <c:v>1469.75</c:v>
              </c:pt>
              <c:pt idx="2332">
                <c:v>1472.8</c:v>
              </c:pt>
              <c:pt idx="2333">
                <c:v>1472.2</c:v>
              </c:pt>
              <c:pt idx="2334">
                <c:v>1489.65</c:v>
              </c:pt>
              <c:pt idx="2335">
                <c:v>1503.75</c:v>
              </c:pt>
              <c:pt idx="2336">
                <c:v>1506.35</c:v>
              </c:pt>
              <c:pt idx="2337">
                <c:v>1510.65</c:v>
              </c:pt>
              <c:pt idx="2338">
                <c:v>1521.95</c:v>
              </c:pt>
              <c:pt idx="2339">
                <c:v>1502.1</c:v>
              </c:pt>
              <c:pt idx="2340">
                <c:v>1505.4</c:v>
              </c:pt>
              <c:pt idx="2341">
                <c:v>1526.9</c:v>
              </c:pt>
              <c:pt idx="2342">
                <c:v>1503.5</c:v>
              </c:pt>
              <c:pt idx="2343">
                <c:v>1498.35</c:v>
              </c:pt>
              <c:pt idx="2344">
                <c:v>1483.15</c:v>
              </c:pt>
              <c:pt idx="2345">
                <c:v>1500.5</c:v>
              </c:pt>
              <c:pt idx="2346">
                <c:v>1498.35</c:v>
              </c:pt>
              <c:pt idx="2347">
                <c:v>1502.85</c:v>
              </c:pt>
              <c:pt idx="2348">
                <c:v>1510</c:v>
              </c:pt>
              <c:pt idx="2349">
                <c:v>1512.75</c:v>
              </c:pt>
              <c:pt idx="2350">
                <c:v>1502.75</c:v>
              </c:pt>
              <c:pt idx="2351">
                <c:v>1505.3</c:v>
              </c:pt>
              <c:pt idx="2352">
                <c:v>1515.95</c:v>
              </c:pt>
              <c:pt idx="2353">
                <c:v>1497.25</c:v>
              </c:pt>
              <c:pt idx="2354">
                <c:v>1508.55</c:v>
              </c:pt>
              <c:pt idx="2355">
                <c:v>1513.5</c:v>
              </c:pt>
              <c:pt idx="2356">
                <c:v>1510.85</c:v>
              </c:pt>
              <c:pt idx="2357">
                <c:v>1488.15</c:v>
              </c:pt>
              <c:pt idx="2358">
                <c:v>1491.8</c:v>
              </c:pt>
              <c:pt idx="2359">
                <c:v>1477.3</c:v>
              </c:pt>
              <c:pt idx="2360">
                <c:v>1485.05</c:v>
              </c:pt>
              <c:pt idx="2361">
                <c:v>1484.6</c:v>
              </c:pt>
              <c:pt idx="2362">
                <c:v>1490.9</c:v>
              </c:pt>
              <c:pt idx="2363">
                <c:v>1473.7</c:v>
              </c:pt>
              <c:pt idx="2364">
                <c:v>1482.45</c:v>
              </c:pt>
              <c:pt idx="2365">
                <c:v>1482.05</c:v>
              </c:pt>
              <c:pt idx="2366">
                <c:v>1475.5</c:v>
              </c:pt>
              <c:pt idx="2367">
                <c:v>1465</c:v>
              </c:pt>
              <c:pt idx="2368">
                <c:v>1473.35</c:v>
              </c:pt>
              <c:pt idx="2369">
                <c:v>1487.25</c:v>
              </c:pt>
              <c:pt idx="2370">
                <c:v>1531.1</c:v>
              </c:pt>
              <c:pt idx="2371">
                <c:v>1570.95</c:v>
              </c:pt>
              <c:pt idx="2372">
                <c:v>1574</c:v>
              </c:pt>
              <c:pt idx="2373">
                <c:v>1559.8</c:v>
              </c:pt>
              <c:pt idx="2374">
                <c:v>1554.2</c:v>
              </c:pt>
              <c:pt idx="2375">
                <c:v>1501.2</c:v>
              </c:pt>
              <c:pt idx="2376">
                <c:v>1515.45</c:v>
              </c:pt>
              <c:pt idx="2377">
                <c:v>1499.25</c:v>
              </c:pt>
              <c:pt idx="2378">
                <c:v>1487.1</c:v>
              </c:pt>
              <c:pt idx="2379">
                <c:v>1491.4</c:v>
              </c:pt>
              <c:pt idx="2380">
                <c:v>1485.45</c:v>
              </c:pt>
              <c:pt idx="2381">
                <c:v>1503.45</c:v>
              </c:pt>
              <c:pt idx="2382">
                <c:v>1520.7</c:v>
              </c:pt>
              <c:pt idx="2383">
                <c:v>1561.85</c:v>
              </c:pt>
              <c:pt idx="2384">
                <c:v>1563.75</c:v>
              </c:pt>
              <c:pt idx="2385">
                <c:v>1564.4</c:v>
              </c:pt>
              <c:pt idx="2386">
                <c:v>1548.9</c:v>
              </c:pt>
              <c:pt idx="2387">
                <c:v>1545.85</c:v>
              </c:pt>
              <c:pt idx="2388">
                <c:v>1592.8</c:v>
              </c:pt>
              <c:pt idx="2389">
                <c:v>1592.3</c:v>
              </c:pt>
              <c:pt idx="2390">
                <c:v>1601.1</c:v>
              </c:pt>
              <c:pt idx="2391">
                <c:v>1579.85</c:v>
              </c:pt>
              <c:pt idx="2392">
                <c:v>1578.55</c:v>
              </c:pt>
              <c:pt idx="2393">
                <c:v>1589.65</c:v>
              </c:pt>
              <c:pt idx="2394">
                <c:v>1587.6</c:v>
              </c:pt>
              <c:pt idx="2395">
                <c:v>1568.95</c:v>
              </c:pt>
              <c:pt idx="2396">
                <c:v>1579</c:v>
              </c:pt>
              <c:pt idx="2397">
                <c:v>1577.65</c:v>
              </c:pt>
              <c:pt idx="2398">
                <c:v>1553.3</c:v>
              </c:pt>
              <c:pt idx="2399">
                <c:v>1541.4</c:v>
              </c:pt>
              <c:pt idx="2400">
                <c:v>1551.85</c:v>
              </c:pt>
              <c:pt idx="2401">
                <c:v>1563.7</c:v>
              </c:pt>
              <c:pt idx="2402">
                <c:v>1560.9</c:v>
              </c:pt>
              <c:pt idx="2403">
                <c:v>1573.8</c:v>
              </c:pt>
              <c:pt idx="2404">
                <c:v>1547.9</c:v>
              </c:pt>
              <c:pt idx="2405">
                <c:v>1558.25</c:v>
              </c:pt>
              <c:pt idx="2406">
                <c:v>1559.25</c:v>
              </c:pt>
              <c:pt idx="2407">
                <c:v>1578.35</c:v>
              </c:pt>
              <c:pt idx="2408">
                <c:v>1575.45</c:v>
              </c:pt>
              <c:pt idx="2409">
                <c:v>1541.7</c:v>
              </c:pt>
              <c:pt idx="2410">
                <c:v>1527.9</c:v>
              </c:pt>
              <c:pt idx="2411">
                <c:v>1537.85</c:v>
              </c:pt>
              <c:pt idx="2412">
                <c:v>1509.8</c:v>
              </c:pt>
              <c:pt idx="2413">
                <c:v>1498.95</c:v>
              </c:pt>
              <c:pt idx="2414">
                <c:v>1488.55</c:v>
              </c:pt>
              <c:pt idx="2415">
                <c:v>1501.6</c:v>
              </c:pt>
              <c:pt idx="2416">
                <c:v>1513.85</c:v>
              </c:pt>
              <c:pt idx="2417">
                <c:v>1515.65</c:v>
              </c:pt>
              <c:pt idx="2418">
                <c:v>1513.75</c:v>
              </c:pt>
              <c:pt idx="2419">
                <c:v>1513.8</c:v>
              </c:pt>
              <c:pt idx="2420">
                <c:v>1494.7</c:v>
              </c:pt>
              <c:pt idx="2421">
                <c:v>1512.55</c:v>
              </c:pt>
              <c:pt idx="2422">
                <c:v>1561.55</c:v>
              </c:pt>
              <c:pt idx="2423">
                <c:v>1563.9</c:v>
              </c:pt>
              <c:pt idx="2424">
                <c:v>1553.1</c:v>
              </c:pt>
              <c:pt idx="2425">
                <c:v>1557.9</c:v>
              </c:pt>
              <c:pt idx="2426">
                <c:v>1568.65</c:v>
              </c:pt>
              <c:pt idx="2427">
                <c:v>1577.8</c:v>
              </c:pt>
              <c:pt idx="2428">
                <c:v>1639.3</c:v>
              </c:pt>
              <c:pt idx="2429">
                <c:v>1663.85</c:v>
              </c:pt>
              <c:pt idx="2430">
                <c:v>1645.25</c:v>
              </c:pt>
              <c:pt idx="2431">
                <c:v>1583.75</c:v>
              </c:pt>
              <c:pt idx="2432">
                <c:v>1583.95</c:v>
              </c:pt>
              <c:pt idx="2433">
                <c:v>1569.85</c:v>
              </c:pt>
              <c:pt idx="2434">
                <c:v>1580.75</c:v>
              </c:pt>
              <c:pt idx="2435">
                <c:v>1540.5</c:v>
              </c:pt>
              <c:pt idx="2436">
                <c:v>1501.65</c:v>
              </c:pt>
              <c:pt idx="2437">
                <c:v>1511.6</c:v>
              </c:pt>
              <c:pt idx="2438">
                <c:v>1503.55</c:v>
              </c:pt>
              <c:pt idx="2439">
                <c:v>1500.05</c:v>
              </c:pt>
              <c:pt idx="2440">
                <c:v>1504.45</c:v>
              </c:pt>
              <c:pt idx="2441">
                <c:v>1513.75</c:v>
              </c:pt>
              <c:pt idx="2442">
                <c:v>1514.8</c:v>
              </c:pt>
              <c:pt idx="2443">
                <c:v>1519.9</c:v>
              </c:pt>
              <c:pt idx="2444">
                <c:v>1525.8</c:v>
              </c:pt>
              <c:pt idx="2445">
                <c:v>1531.65</c:v>
              </c:pt>
              <c:pt idx="2446">
                <c:v>1536.25</c:v>
              </c:pt>
              <c:pt idx="2447">
                <c:v>1514.65</c:v>
              </c:pt>
              <c:pt idx="2448">
                <c:v>1526.35</c:v>
              </c:pt>
              <c:pt idx="2449">
                <c:v>1528.95</c:v>
              </c:pt>
              <c:pt idx="2450">
                <c:v>1511.35</c:v>
              </c:pt>
              <c:pt idx="2451">
                <c:v>1503.9</c:v>
              </c:pt>
              <c:pt idx="2452">
                <c:v>1507.05</c:v>
              </c:pt>
              <c:pt idx="2453">
                <c:v>1523.45</c:v>
              </c:pt>
              <c:pt idx="2454">
                <c:v>1524.55</c:v>
              </c:pt>
              <c:pt idx="2455">
                <c:v>1530.95</c:v>
              </c:pt>
              <c:pt idx="2456">
                <c:v>1523.8</c:v>
              </c:pt>
              <c:pt idx="2457">
                <c:v>1516.65</c:v>
              </c:pt>
              <c:pt idx="2458">
                <c:v>1508.1</c:v>
              </c:pt>
              <c:pt idx="2459">
                <c:v>1521.2</c:v>
              </c:pt>
              <c:pt idx="2460">
                <c:v>1520.55</c:v>
              </c:pt>
              <c:pt idx="2461">
                <c:v>1497.45</c:v>
              </c:pt>
              <c:pt idx="2462">
                <c:v>1490.7</c:v>
              </c:pt>
              <c:pt idx="2463">
                <c:v>1489.15</c:v>
              </c:pt>
              <c:pt idx="2464">
                <c:v>1512.1</c:v>
              </c:pt>
              <c:pt idx="2465">
                <c:v>1517.2</c:v>
              </c:pt>
              <c:pt idx="2466">
                <c:v>1507.25</c:v>
              </c:pt>
              <c:pt idx="2467">
                <c:v>1500</c:v>
              </c:pt>
              <c:pt idx="2468">
                <c:v>1496.95</c:v>
              </c:pt>
              <c:pt idx="2469">
                <c:v>1499.1</c:v>
              </c:pt>
              <c:pt idx="2470">
                <c:v>1517</c:v>
              </c:pt>
              <c:pt idx="2471">
                <c:v>1512.5</c:v>
              </c:pt>
              <c:pt idx="2472">
                <c:v>1500.4</c:v>
              </c:pt>
              <c:pt idx="2473">
                <c:v>1496.35</c:v>
              </c:pt>
              <c:pt idx="2474">
                <c:v>1505.05</c:v>
              </c:pt>
              <c:pt idx="2475">
                <c:v>1494.4</c:v>
              </c:pt>
              <c:pt idx="2476">
                <c:v>1491.4</c:v>
              </c:pt>
              <c:pt idx="2477">
                <c:v>1510.9</c:v>
              </c:pt>
            </c:numLit>
          </c:val>
          <c:smooth val="0"/>
          <c:extLst>
            <c:ext xmlns:c16="http://schemas.microsoft.com/office/drawing/2014/chart" uri="{C3380CC4-5D6E-409C-BE32-E72D297353CC}">
              <c16:uniqueId val="{00000001-7EB9-4CFF-8246-B2CD061D3269}"/>
            </c:ext>
          </c:extLst>
        </c:ser>
        <c:dLbls>
          <c:showLegendKey val="0"/>
          <c:showVal val="0"/>
          <c:showCatName val="0"/>
          <c:showSerName val="0"/>
          <c:showPercent val="0"/>
          <c:showBubbleSize val="0"/>
        </c:dLbls>
        <c:smooth val="0"/>
        <c:axId val="1352583183"/>
        <c:axId val="1352583663"/>
      </c:lineChart>
      <c:catAx>
        <c:axId val="1352583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583663"/>
        <c:crosses val="autoZero"/>
        <c:auto val="1"/>
        <c:lblAlgn val="ctr"/>
        <c:lblOffset val="100"/>
        <c:noMultiLvlLbl val="1"/>
      </c:catAx>
      <c:valAx>
        <c:axId val="1352583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583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Debt</a:t>
            </a:r>
            <a:r>
              <a:rPr lang="en-IN" baseline="0"/>
              <a:t> To Equity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F6-4B9E-991C-1BE8356851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F6-4B9E-991C-1BE8356851C5}"/>
              </c:ext>
            </c:extLst>
          </c:dPt>
          <c:cat>
            <c:strLit>
              <c:ptCount val="2"/>
              <c:pt idx="0">
                <c:v>% of debt</c:v>
              </c:pt>
              <c:pt idx="1">
                <c:v>% of Equity</c:v>
              </c:pt>
            </c:strLit>
          </c:cat>
          <c:val>
            <c:numLit>
              <c:formatCode>General</c:formatCode>
              <c:ptCount val="2"/>
              <c:pt idx="0">
                <c:v>2.6776099239966419E-3</c:v>
              </c:pt>
              <c:pt idx="1">
                <c:v>0.99732239007600332</c:v>
              </c:pt>
            </c:numLit>
          </c:val>
          <c:extLst>
            <c:ext xmlns:c16="http://schemas.microsoft.com/office/drawing/2014/chart" uri="{C3380CC4-5D6E-409C-BE32-E72D297353CC}">
              <c16:uniqueId val="{00000004-29F6-4B9E-991C-1BE8356851C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IN"/>
              <a:t>Market Value vs Fair Value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'DCF Valuation'!$A$35:$A$37</c:f>
              <c:strCache>
                <c:ptCount val="3"/>
                <c:pt idx="0">
                  <c:v>CMP</c:v>
                </c:pt>
                <c:pt idx="1">
                  <c:v>Upside Potential</c:v>
                </c:pt>
                <c:pt idx="2">
                  <c:v>Fair Value</c:v>
                </c:pt>
              </c:strCache>
            </c:strRef>
          </c:cat>
          <c:val>
            <c:numRef>
              <c:f>'DCF Valuation'!$B$35:$B$37</c:f>
              <c:numCache>
                <c:formatCode>General</c:formatCode>
                <c:ptCount val="3"/>
                <c:pt idx="0">
                  <c:v>1242.6500000000001</c:v>
                </c:pt>
                <c:pt idx="1">
                  <c:v>-998.91337793164234</c:v>
                </c:pt>
                <c:pt idx="2">
                  <c:v>243.73662206835775</c:v>
                </c:pt>
              </c:numCache>
            </c:numRef>
          </c:val>
          <c:extLst>
            <c:ext xmlns:c16="http://schemas.microsoft.com/office/drawing/2014/chart" uri="{C3380CC4-5D6E-409C-BE32-E72D297353CC}">
              <c16:uniqueId val="{00000000-5A9D-40AB-BF68-1D4FD06FA854}"/>
            </c:ext>
          </c:extLst>
        </c:ser>
        <c:dLbls>
          <c:showLegendKey val="0"/>
          <c:showVal val="0"/>
          <c:showCatName val="0"/>
          <c:showSerName val="0"/>
          <c:showPercent val="0"/>
          <c:showBubbleSize val="0"/>
        </c:dLbls>
        <c:gapWidth val="182"/>
        <c:axId val="2038809967"/>
        <c:axId val="2038815247"/>
      </c:barChart>
      <c:catAx>
        <c:axId val="203880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038815247"/>
        <c:crosses val="autoZero"/>
        <c:auto val="1"/>
        <c:lblAlgn val="ctr"/>
        <c:lblOffset val="100"/>
        <c:noMultiLvlLbl val="0"/>
      </c:catAx>
      <c:valAx>
        <c:axId val="2038815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038809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OPERATING</a:t>
            </a:r>
            <a:r>
              <a:rPr lang="en-IN" baseline="0"/>
              <a:t> INCOME(EBIT)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'Key Ratios Forecast'!$A$4</c:f>
              <c:strCache>
                <c:ptCount val="1"/>
                <c:pt idx="0">
                  <c:v>Operating Income</c:v>
                </c:pt>
              </c:strCache>
            </c:strRef>
          </c:tx>
          <c:spPr>
            <a:solidFill>
              <a:schemeClr val="accent1"/>
            </a:solidFill>
            <a:ln>
              <a:noFill/>
            </a:ln>
            <a:effectLst/>
          </c:spPr>
          <c:invertIfNegative val="0"/>
          <c:val>
            <c:numRef>
              <c:f>'Key Ratios Forecast'!$B$4:$G$4</c:f>
              <c:numCache>
                <c:formatCode>_(* #,##0.00_);_(* \(#,##0.00\);_(* "-"??_);_(@_)</c:formatCode>
                <c:ptCount val="6"/>
                <c:pt idx="0">
                  <c:v>3396.8100000000009</c:v>
                </c:pt>
                <c:pt idx="1">
                  <c:v>1959.9287597124462</c:v>
                </c:pt>
                <c:pt idx="2">
                  <c:v>2182.4869135680947</c:v>
                </c:pt>
                <c:pt idx="3">
                  <c:v>2394.538671220977</c:v>
                </c:pt>
                <c:pt idx="4">
                  <c:v>2682.8471207754992</c:v>
                </c:pt>
                <c:pt idx="5">
                  <c:v>3324.1960773837563</c:v>
                </c:pt>
              </c:numCache>
            </c:numRef>
          </c:val>
          <c:extLst>
            <c:ext xmlns:c16="http://schemas.microsoft.com/office/drawing/2014/chart" uri="{C3380CC4-5D6E-409C-BE32-E72D297353CC}">
              <c16:uniqueId val="{00000000-F78C-4311-AA9A-EA81E03235B0}"/>
            </c:ext>
          </c:extLst>
        </c:ser>
        <c:dLbls>
          <c:showLegendKey val="0"/>
          <c:showVal val="0"/>
          <c:showCatName val="0"/>
          <c:showSerName val="0"/>
          <c:showPercent val="0"/>
          <c:showBubbleSize val="0"/>
        </c:dLbls>
        <c:gapWidth val="219"/>
        <c:overlap val="-27"/>
        <c:axId val="575499119"/>
        <c:axId val="575494319"/>
      </c:barChart>
      <c:lineChart>
        <c:grouping val="standard"/>
        <c:varyColors val="0"/>
        <c:ser>
          <c:idx val="1"/>
          <c:order val="1"/>
          <c:tx>
            <c:strRef>
              <c:f>'Key Ratios Forecast'!$A$5</c:f>
              <c:strCache>
                <c:ptCount val="1"/>
                <c:pt idx="0">
                  <c:v>EBIT Growth</c:v>
                </c:pt>
              </c:strCache>
            </c:strRef>
          </c:tx>
          <c:spPr>
            <a:ln w="28575" cap="rnd">
              <a:solidFill>
                <a:schemeClr val="accent2"/>
              </a:solidFill>
              <a:round/>
            </a:ln>
            <a:effectLst/>
          </c:spPr>
          <c:marker>
            <c:symbol val="none"/>
          </c:marker>
          <c:val>
            <c:numRef>
              <c:f>'Key Ratios Forecast'!$B$5:$G$5</c:f>
              <c:numCache>
                <c:formatCode>0%</c:formatCode>
                <c:ptCount val="6"/>
                <c:pt idx="0">
                  <c:v>0.17835845386023</c:v>
                </c:pt>
                <c:pt idx="1">
                  <c:v>9.5288167225554332E-2</c:v>
                </c:pt>
                <c:pt idx="2">
                  <c:v>9.8248647576775372E-2</c:v>
                </c:pt>
                <c:pt idx="3">
                  <c:v>9.9809764822763491E-2</c:v>
                </c:pt>
                <c:pt idx="4">
                  <c:v>0.10354362067745368</c:v>
                </c:pt>
                <c:pt idx="5">
                  <c:v>0.11879284919087825</c:v>
                </c:pt>
              </c:numCache>
            </c:numRef>
          </c:val>
          <c:smooth val="0"/>
          <c:extLst>
            <c:ext xmlns:c16="http://schemas.microsoft.com/office/drawing/2014/chart" uri="{C3380CC4-5D6E-409C-BE32-E72D297353CC}">
              <c16:uniqueId val="{00000001-F78C-4311-AA9A-EA81E03235B0}"/>
            </c:ext>
          </c:extLst>
        </c:ser>
        <c:dLbls>
          <c:showLegendKey val="0"/>
          <c:showVal val="0"/>
          <c:showCatName val="0"/>
          <c:showSerName val="0"/>
          <c:showPercent val="0"/>
          <c:showBubbleSize val="0"/>
        </c:dLbls>
        <c:marker val="1"/>
        <c:smooth val="0"/>
        <c:axId val="575502959"/>
        <c:axId val="575499599"/>
      </c:lineChart>
      <c:catAx>
        <c:axId val="57549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94319"/>
        <c:crosses val="autoZero"/>
        <c:auto val="1"/>
        <c:lblAlgn val="ctr"/>
        <c:lblOffset val="100"/>
        <c:noMultiLvlLbl val="0"/>
      </c:catAx>
      <c:valAx>
        <c:axId val="575494319"/>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99119"/>
        <c:crosses val="autoZero"/>
        <c:crossBetween val="between"/>
      </c:valAx>
      <c:valAx>
        <c:axId val="57549959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02959"/>
        <c:crosses val="max"/>
        <c:crossBetween val="between"/>
      </c:valAx>
      <c:catAx>
        <c:axId val="575502959"/>
        <c:scaling>
          <c:orientation val="minMax"/>
        </c:scaling>
        <c:delete val="1"/>
        <c:axPos val="b"/>
        <c:majorTickMark val="none"/>
        <c:minorTickMark val="none"/>
        <c:tickLblPos val="nextTo"/>
        <c:crossAx val="5754995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EBTDA</a:t>
            </a:r>
            <a:r>
              <a:rPr lang="en-IN" baseline="0"/>
              <a:t> Margin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'Key Ratios Forecast'!$A$6</c:f>
              <c:strCache>
                <c:ptCount val="1"/>
                <c:pt idx="0">
                  <c:v>EBITDA</c:v>
                </c:pt>
              </c:strCache>
            </c:strRef>
          </c:tx>
          <c:spPr>
            <a:solidFill>
              <a:schemeClr val="accent1"/>
            </a:solidFill>
            <a:ln>
              <a:noFill/>
            </a:ln>
            <a:effectLst/>
          </c:spPr>
          <c:invertIfNegative val="0"/>
          <c:val>
            <c:numRef>
              <c:f>'Key Ratios Forecast'!$B$6:$G$6</c:f>
              <c:numCache>
                <c:formatCode>_(* #,##0.00_);_(* \(#,##0.00\);_(* "-"??_);_(@_)</c:formatCode>
                <c:ptCount val="6"/>
                <c:pt idx="0">
                  <c:v>3970.7000000000007</c:v>
                </c:pt>
                <c:pt idx="1">
                  <c:v>2664.4343597124462</c:v>
                </c:pt>
                <c:pt idx="2">
                  <c:v>2896.0178331907264</c:v>
                </c:pt>
                <c:pt idx="3">
                  <c:v>3131.3698141433742</c:v>
                </c:pt>
                <c:pt idx="4">
                  <c:v>3403.9055732988563</c:v>
                </c:pt>
                <c:pt idx="5">
                  <c:v>4085.4930185176308</c:v>
                </c:pt>
              </c:numCache>
            </c:numRef>
          </c:val>
          <c:extLst>
            <c:ext xmlns:c16="http://schemas.microsoft.com/office/drawing/2014/chart" uri="{C3380CC4-5D6E-409C-BE32-E72D297353CC}">
              <c16:uniqueId val="{00000000-22F6-4DF7-BC67-72735607C6EA}"/>
            </c:ext>
          </c:extLst>
        </c:ser>
        <c:dLbls>
          <c:showLegendKey val="0"/>
          <c:showVal val="0"/>
          <c:showCatName val="0"/>
          <c:showSerName val="0"/>
          <c:showPercent val="0"/>
          <c:showBubbleSize val="0"/>
        </c:dLbls>
        <c:gapWidth val="219"/>
        <c:overlap val="-27"/>
        <c:axId val="575710319"/>
        <c:axId val="575714159"/>
      </c:barChart>
      <c:lineChart>
        <c:grouping val="standard"/>
        <c:varyColors val="0"/>
        <c:ser>
          <c:idx val="1"/>
          <c:order val="1"/>
          <c:tx>
            <c:strRef>
              <c:f>'Key Ratios Forecast'!$A$7</c:f>
              <c:strCache>
                <c:ptCount val="1"/>
                <c:pt idx="0">
                  <c:v>EBITDA Margin (%)</c:v>
                </c:pt>
              </c:strCache>
            </c:strRef>
          </c:tx>
          <c:spPr>
            <a:ln w="28575" cap="rnd">
              <a:solidFill>
                <a:schemeClr val="accent2"/>
              </a:solidFill>
              <a:round/>
            </a:ln>
            <a:effectLst/>
          </c:spPr>
          <c:marker>
            <c:symbol val="none"/>
          </c:marker>
          <c:val>
            <c:numRef>
              <c:f>'Key Ratios Forecast'!$B$7:$G$7</c:f>
              <c:numCache>
                <c:formatCode>0%</c:formatCode>
                <c:ptCount val="6"/>
                <c:pt idx="0">
                  <c:v>0.20849205953315469</c:v>
                </c:pt>
                <c:pt idx="1">
                  <c:v>0.12953994657797768</c:v>
                </c:pt>
                <c:pt idx="2">
                  <c:v>0.13036954938897727</c:v>
                </c:pt>
                <c:pt idx="3">
                  <c:v>0.13052254635895513</c:v>
                </c:pt>
                <c:pt idx="4">
                  <c:v>0.13137263945239186</c:v>
                </c:pt>
                <c:pt idx="5">
                  <c:v>0.1459984142695693</c:v>
                </c:pt>
              </c:numCache>
            </c:numRef>
          </c:val>
          <c:smooth val="0"/>
          <c:extLst>
            <c:ext xmlns:c16="http://schemas.microsoft.com/office/drawing/2014/chart" uri="{C3380CC4-5D6E-409C-BE32-E72D297353CC}">
              <c16:uniqueId val="{00000001-22F6-4DF7-BC67-72735607C6EA}"/>
            </c:ext>
          </c:extLst>
        </c:ser>
        <c:dLbls>
          <c:showLegendKey val="0"/>
          <c:showVal val="0"/>
          <c:showCatName val="0"/>
          <c:showSerName val="0"/>
          <c:showPercent val="0"/>
          <c:showBubbleSize val="0"/>
        </c:dLbls>
        <c:marker val="1"/>
        <c:smooth val="0"/>
        <c:axId val="575711279"/>
        <c:axId val="575701199"/>
      </c:lineChart>
      <c:catAx>
        <c:axId val="57571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714159"/>
        <c:crosses val="autoZero"/>
        <c:auto val="1"/>
        <c:lblAlgn val="ctr"/>
        <c:lblOffset val="100"/>
        <c:noMultiLvlLbl val="0"/>
      </c:catAx>
      <c:valAx>
        <c:axId val="575714159"/>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710319"/>
        <c:crosses val="autoZero"/>
        <c:crossBetween val="between"/>
      </c:valAx>
      <c:valAx>
        <c:axId val="57570119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711279"/>
        <c:crosses val="max"/>
        <c:crossBetween val="between"/>
      </c:valAx>
      <c:catAx>
        <c:axId val="575711279"/>
        <c:scaling>
          <c:orientation val="minMax"/>
        </c:scaling>
        <c:delete val="1"/>
        <c:axPos val="b"/>
        <c:majorTickMark val="none"/>
        <c:minorTickMark val="none"/>
        <c:tickLblPos val="nextTo"/>
        <c:crossAx val="5757011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Returns</a:t>
            </a:r>
            <a:r>
              <a:rPr lang="en-IN" baseline="0"/>
              <a:t> Ratio</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'Key Ratios Forecast'!$A$11</c:f>
              <c:strCache>
                <c:ptCount val="1"/>
                <c:pt idx="0">
                  <c:v>ROCE (%)</c:v>
                </c:pt>
              </c:strCache>
            </c:strRef>
          </c:tx>
          <c:spPr>
            <a:solidFill>
              <a:schemeClr val="accent1"/>
            </a:solidFill>
            <a:ln>
              <a:noFill/>
            </a:ln>
            <a:effectLst/>
          </c:spPr>
          <c:invertIfNegative val="0"/>
          <c:val>
            <c:numRef>
              <c:f>'Key Ratios Forecast'!$B$11:$G$11</c:f>
              <c:numCache>
                <c:formatCode>0%</c:formatCode>
                <c:ptCount val="6"/>
                <c:pt idx="0">
                  <c:v>9.627420381569872E-2</c:v>
                </c:pt>
                <c:pt idx="1">
                  <c:v>5.4865899029874828E-2</c:v>
                </c:pt>
                <c:pt idx="2">
                  <c:v>6.1099976765114569E-2</c:v>
                </c:pt>
                <c:pt idx="3">
                  <c:v>6.7388466723898532E-2</c:v>
                </c:pt>
                <c:pt idx="4">
                  <c:v>7.6137325624130156E-2</c:v>
                </c:pt>
                <c:pt idx="5">
                  <c:v>9.4545387940571365E-2</c:v>
                </c:pt>
              </c:numCache>
            </c:numRef>
          </c:val>
          <c:extLst>
            <c:ext xmlns:c16="http://schemas.microsoft.com/office/drawing/2014/chart" uri="{C3380CC4-5D6E-409C-BE32-E72D297353CC}">
              <c16:uniqueId val="{00000000-AFEB-4DF6-AC51-E3B1C15552F2}"/>
            </c:ext>
          </c:extLst>
        </c:ser>
        <c:ser>
          <c:idx val="1"/>
          <c:order val="1"/>
          <c:tx>
            <c:strRef>
              <c:f>'Key Ratios Forecast'!$A$12</c:f>
              <c:strCache>
                <c:ptCount val="1"/>
                <c:pt idx="0">
                  <c:v>ROE (%)</c:v>
                </c:pt>
              </c:strCache>
            </c:strRef>
          </c:tx>
          <c:spPr>
            <a:solidFill>
              <a:schemeClr val="accent2"/>
            </a:solidFill>
            <a:ln>
              <a:noFill/>
            </a:ln>
            <a:effectLst/>
          </c:spPr>
          <c:invertIfNegative val="0"/>
          <c:val>
            <c:numRef>
              <c:f>'Key Ratios Forecast'!$B$12:$G$12</c:f>
              <c:numCache>
                <c:formatCode>0%</c:formatCode>
                <c:ptCount val="6"/>
                <c:pt idx="0">
                  <c:v>0.16067825904912389</c:v>
                </c:pt>
                <c:pt idx="1">
                  <c:v>4.6903070375656171E-2</c:v>
                </c:pt>
                <c:pt idx="2">
                  <c:v>5.2749417146551777E-2</c:v>
                </c:pt>
                <c:pt idx="3">
                  <c:v>5.8215833928671003E-2</c:v>
                </c:pt>
                <c:pt idx="4">
                  <c:v>6.6462645257438002E-2</c:v>
                </c:pt>
                <c:pt idx="5">
                  <c:v>8.3426698237357849E-2</c:v>
                </c:pt>
              </c:numCache>
            </c:numRef>
          </c:val>
          <c:extLst>
            <c:ext xmlns:c16="http://schemas.microsoft.com/office/drawing/2014/chart" uri="{C3380CC4-5D6E-409C-BE32-E72D297353CC}">
              <c16:uniqueId val="{00000001-AFEB-4DF6-AC51-E3B1C15552F2}"/>
            </c:ext>
          </c:extLst>
        </c:ser>
        <c:dLbls>
          <c:showLegendKey val="0"/>
          <c:showVal val="0"/>
          <c:showCatName val="0"/>
          <c:showSerName val="0"/>
          <c:showPercent val="0"/>
          <c:showBubbleSize val="0"/>
        </c:dLbls>
        <c:gapWidth val="219"/>
        <c:overlap val="-27"/>
        <c:axId val="575679599"/>
        <c:axId val="575674319"/>
      </c:barChart>
      <c:catAx>
        <c:axId val="57567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674319"/>
        <c:crosses val="autoZero"/>
        <c:auto val="1"/>
        <c:lblAlgn val="ctr"/>
        <c:lblOffset val="100"/>
        <c:noMultiLvlLbl val="0"/>
      </c:catAx>
      <c:valAx>
        <c:axId val="5756743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679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[ADITI EABV CIPLA 25PGDMFM047.xlsx]Dashboard Peer Comparison!PivotTable5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Growth</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Peer Comparison'!$B$4:$B$5</c:f>
              <c:strCache>
                <c:ptCount val="1"/>
                <c:pt idx="0">
                  <c:v>Dr. Reddy</c:v>
                </c:pt>
              </c:strCache>
            </c:strRef>
          </c:tx>
          <c:spPr>
            <a:ln w="28575" cap="rnd">
              <a:solidFill>
                <a:schemeClr val="accent1"/>
              </a:solidFill>
              <a:round/>
            </a:ln>
            <a:effectLst/>
          </c:spPr>
          <c:marker>
            <c:symbol val="none"/>
          </c:marker>
          <c:cat>
            <c:strRef>
              <c:f>'Dashboard Peer Comparison'!$A$6:$A$13</c:f>
              <c:strCache>
                <c:ptCount val="7"/>
                <c:pt idx="0">
                  <c:v>2019</c:v>
                </c:pt>
                <c:pt idx="1">
                  <c:v>2020</c:v>
                </c:pt>
                <c:pt idx="2">
                  <c:v>2021</c:v>
                </c:pt>
                <c:pt idx="3">
                  <c:v>2022</c:v>
                </c:pt>
                <c:pt idx="4">
                  <c:v>2023</c:v>
                </c:pt>
                <c:pt idx="5">
                  <c:v>2024</c:v>
                </c:pt>
                <c:pt idx="6">
                  <c:v>2025</c:v>
                </c:pt>
              </c:strCache>
            </c:strRef>
          </c:cat>
          <c:val>
            <c:numRef>
              <c:f>'Dashboard Peer Comparison'!$B$6:$B$13</c:f>
              <c:numCache>
                <c:formatCode>General</c:formatCode>
                <c:ptCount val="7"/>
                <c:pt idx="0">
                  <c:v>#N/A</c:v>
                </c:pt>
                <c:pt idx="1">
                  <c:v>0.151</c:v>
                </c:pt>
                <c:pt idx="2">
                  <c:v>0.11</c:v>
                </c:pt>
                <c:pt idx="3">
                  <c:v>0.159</c:v>
                </c:pt>
                <c:pt idx="4">
                  <c:v>0.126</c:v>
                </c:pt>
                <c:pt idx="5">
                  <c:v>0.16800000000000001</c:v>
                </c:pt>
                <c:pt idx="6">
                  <c:v>0.12</c:v>
                </c:pt>
              </c:numCache>
            </c:numRef>
          </c:val>
          <c:smooth val="0"/>
          <c:extLst>
            <c:ext xmlns:c16="http://schemas.microsoft.com/office/drawing/2014/chart" uri="{C3380CC4-5D6E-409C-BE32-E72D297353CC}">
              <c16:uniqueId val="{00000000-7A16-4773-9A6D-5C9164459DAB}"/>
            </c:ext>
          </c:extLst>
        </c:ser>
        <c:ser>
          <c:idx val="1"/>
          <c:order val="1"/>
          <c:tx>
            <c:strRef>
              <c:f>'Dashboard Peer Comparison'!$C$4:$C$5</c:f>
              <c:strCache>
                <c:ptCount val="1"/>
                <c:pt idx="0">
                  <c:v>Lupin</c:v>
                </c:pt>
              </c:strCache>
            </c:strRef>
          </c:tx>
          <c:spPr>
            <a:ln w="28575" cap="rnd">
              <a:solidFill>
                <a:schemeClr val="accent2"/>
              </a:solidFill>
              <a:round/>
            </a:ln>
            <a:effectLst/>
          </c:spPr>
          <c:marker>
            <c:symbol val="none"/>
          </c:marker>
          <c:cat>
            <c:strRef>
              <c:f>'Dashboard Peer Comparison'!$A$6:$A$13</c:f>
              <c:strCache>
                <c:ptCount val="7"/>
                <c:pt idx="0">
                  <c:v>2019</c:v>
                </c:pt>
                <c:pt idx="1">
                  <c:v>2020</c:v>
                </c:pt>
                <c:pt idx="2">
                  <c:v>2021</c:v>
                </c:pt>
                <c:pt idx="3">
                  <c:v>2022</c:v>
                </c:pt>
                <c:pt idx="4">
                  <c:v>2023</c:v>
                </c:pt>
                <c:pt idx="5">
                  <c:v>2024</c:v>
                </c:pt>
                <c:pt idx="6">
                  <c:v>2025</c:v>
                </c:pt>
              </c:strCache>
            </c:strRef>
          </c:cat>
          <c:val>
            <c:numRef>
              <c:f>'Dashboard Peer Comparison'!$C$6:$C$13</c:f>
              <c:numCache>
                <c:formatCode>General</c:formatCode>
                <c:ptCount val="7"/>
                <c:pt idx="0">
                  <c:v>#N/A</c:v>
                </c:pt>
                <c:pt idx="1">
                  <c:v>4.7E-2</c:v>
                </c:pt>
                <c:pt idx="2">
                  <c:v>-9.7000000000000003E-2</c:v>
                </c:pt>
                <c:pt idx="3">
                  <c:v>2.5000000000000001E-2</c:v>
                </c:pt>
                <c:pt idx="4">
                  <c:v>0.14399999999999999</c:v>
                </c:pt>
                <c:pt idx="5">
                  <c:v>0.17499999999999999</c:v>
                </c:pt>
                <c:pt idx="6">
                  <c:v>0.13600000000000001</c:v>
                </c:pt>
              </c:numCache>
            </c:numRef>
          </c:val>
          <c:smooth val="0"/>
          <c:extLst>
            <c:ext xmlns:c16="http://schemas.microsoft.com/office/drawing/2014/chart" uri="{C3380CC4-5D6E-409C-BE32-E72D297353CC}">
              <c16:uniqueId val="{00000001-7A16-4773-9A6D-5C9164459DAB}"/>
            </c:ext>
          </c:extLst>
        </c:ser>
        <c:ser>
          <c:idx val="2"/>
          <c:order val="2"/>
          <c:tx>
            <c:strRef>
              <c:f>'Dashboard Peer Comparison'!$D$4:$D$5</c:f>
              <c:strCache>
                <c:ptCount val="1"/>
                <c:pt idx="0">
                  <c:v>Sun pharma</c:v>
                </c:pt>
              </c:strCache>
            </c:strRef>
          </c:tx>
          <c:spPr>
            <a:ln w="28575" cap="rnd">
              <a:solidFill>
                <a:schemeClr val="accent3"/>
              </a:solidFill>
              <a:round/>
            </a:ln>
            <a:effectLst/>
          </c:spPr>
          <c:marker>
            <c:symbol val="none"/>
          </c:marker>
          <c:cat>
            <c:strRef>
              <c:f>'Dashboard Peer Comparison'!$A$6:$A$13</c:f>
              <c:strCache>
                <c:ptCount val="7"/>
                <c:pt idx="0">
                  <c:v>2019</c:v>
                </c:pt>
                <c:pt idx="1">
                  <c:v>2020</c:v>
                </c:pt>
                <c:pt idx="2">
                  <c:v>2021</c:v>
                </c:pt>
                <c:pt idx="3">
                  <c:v>2022</c:v>
                </c:pt>
                <c:pt idx="4">
                  <c:v>2023</c:v>
                </c:pt>
                <c:pt idx="5">
                  <c:v>2024</c:v>
                </c:pt>
                <c:pt idx="6">
                  <c:v>2025</c:v>
                </c:pt>
              </c:strCache>
            </c:strRef>
          </c:cat>
          <c:val>
            <c:numRef>
              <c:f>'Dashboard Peer Comparison'!$D$6:$D$13</c:f>
              <c:numCache>
                <c:formatCode>General</c:formatCode>
                <c:ptCount val="7"/>
                <c:pt idx="0">
                  <c:v>#N/A</c:v>
                </c:pt>
                <c:pt idx="1">
                  <c:v>9.7000000000000003E-2</c:v>
                </c:pt>
                <c:pt idx="2">
                  <c:v>2.5000000000000001E-2</c:v>
                </c:pt>
                <c:pt idx="3">
                  <c:v>0.16800000000000001</c:v>
                </c:pt>
                <c:pt idx="4">
                  <c:v>0.11799999999999999</c:v>
                </c:pt>
                <c:pt idx="5">
                  <c:v>0.13500000000000001</c:v>
                </c:pt>
                <c:pt idx="6">
                  <c:v>0.13200000000000001</c:v>
                </c:pt>
              </c:numCache>
            </c:numRef>
          </c:val>
          <c:smooth val="0"/>
          <c:extLst>
            <c:ext xmlns:c16="http://schemas.microsoft.com/office/drawing/2014/chart" uri="{C3380CC4-5D6E-409C-BE32-E72D297353CC}">
              <c16:uniqueId val="{00000002-7A16-4773-9A6D-5C9164459DAB}"/>
            </c:ext>
          </c:extLst>
        </c:ser>
        <c:ser>
          <c:idx val="3"/>
          <c:order val="3"/>
          <c:tx>
            <c:strRef>
              <c:f>'Dashboard Peer Comparison'!$E$4:$E$5</c:f>
              <c:strCache>
                <c:ptCount val="1"/>
                <c:pt idx="0">
                  <c:v>Zydus </c:v>
                </c:pt>
              </c:strCache>
            </c:strRef>
          </c:tx>
          <c:spPr>
            <a:ln w="28575" cap="rnd">
              <a:solidFill>
                <a:schemeClr val="accent4"/>
              </a:solidFill>
              <a:round/>
            </a:ln>
            <a:effectLst/>
          </c:spPr>
          <c:marker>
            <c:symbol val="none"/>
          </c:marker>
          <c:cat>
            <c:strRef>
              <c:f>'Dashboard Peer Comparison'!$A$6:$A$13</c:f>
              <c:strCache>
                <c:ptCount val="7"/>
                <c:pt idx="0">
                  <c:v>2019</c:v>
                </c:pt>
                <c:pt idx="1">
                  <c:v>2020</c:v>
                </c:pt>
                <c:pt idx="2">
                  <c:v>2021</c:v>
                </c:pt>
                <c:pt idx="3">
                  <c:v>2022</c:v>
                </c:pt>
                <c:pt idx="4">
                  <c:v>2023</c:v>
                </c:pt>
                <c:pt idx="5">
                  <c:v>2024</c:v>
                </c:pt>
                <c:pt idx="6">
                  <c:v>2025</c:v>
                </c:pt>
              </c:strCache>
            </c:strRef>
          </c:cat>
          <c:val>
            <c:numRef>
              <c:f>'Dashboard Peer Comparison'!$E$6:$E$13</c:f>
              <c:numCache>
                <c:formatCode>General</c:formatCode>
                <c:ptCount val="7"/>
                <c:pt idx="0">
                  <c:v>#N/A</c:v>
                </c:pt>
                <c:pt idx="1">
                  <c:v>7.2999999999999995E-2</c:v>
                </c:pt>
                <c:pt idx="2">
                  <c:v>1.4E-2</c:v>
                </c:pt>
                <c:pt idx="3">
                  <c:v>4.8000000000000001E-2</c:v>
                </c:pt>
                <c:pt idx="4">
                  <c:v>0.17599999999999999</c:v>
                </c:pt>
                <c:pt idx="5">
                  <c:v>0.193</c:v>
                </c:pt>
                <c:pt idx="6">
                  <c:v>0.11799999999999999</c:v>
                </c:pt>
              </c:numCache>
            </c:numRef>
          </c:val>
          <c:smooth val="0"/>
          <c:extLst>
            <c:ext xmlns:c16="http://schemas.microsoft.com/office/drawing/2014/chart" uri="{C3380CC4-5D6E-409C-BE32-E72D297353CC}">
              <c16:uniqueId val="{00000003-7A16-4773-9A6D-5C9164459DAB}"/>
            </c:ext>
          </c:extLst>
        </c:ser>
        <c:dLbls>
          <c:showLegendKey val="0"/>
          <c:showVal val="0"/>
          <c:showCatName val="0"/>
          <c:showSerName val="0"/>
          <c:showPercent val="0"/>
          <c:showBubbleSize val="0"/>
        </c:dLbls>
        <c:smooth val="0"/>
        <c:axId val="2038757647"/>
        <c:axId val="2038759087"/>
      </c:lineChart>
      <c:catAx>
        <c:axId val="203875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759087"/>
        <c:crosses val="autoZero"/>
        <c:auto val="1"/>
        <c:lblAlgn val="ctr"/>
        <c:lblOffset val="100"/>
        <c:noMultiLvlLbl val="0"/>
      </c:catAx>
      <c:valAx>
        <c:axId val="203875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75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[ADITI EABV CIPLA 25PGDMFM047.xlsx]Dashboard Peer Comparison!PivotTable6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EBITDA</a:t>
            </a:r>
            <a:r>
              <a:rPr lang="en-IN" baseline="0"/>
              <a:t> MARGIN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Peer Comparison'!$I$4:$I$5</c:f>
              <c:strCache>
                <c:ptCount val="1"/>
                <c:pt idx="0">
                  <c:v>Dr. Reddy</c:v>
                </c:pt>
              </c:strCache>
            </c:strRef>
          </c:tx>
          <c:spPr>
            <a:ln w="28575" cap="rnd">
              <a:solidFill>
                <a:schemeClr val="accent1"/>
              </a:solidFill>
              <a:round/>
            </a:ln>
            <a:effectLst/>
          </c:spPr>
          <c:marker>
            <c:symbol val="none"/>
          </c:marker>
          <c:cat>
            <c:strRef>
              <c:f>'Dashboard Peer Comparison'!$H$6:$H$13</c:f>
              <c:strCache>
                <c:ptCount val="7"/>
                <c:pt idx="0">
                  <c:v>2019</c:v>
                </c:pt>
                <c:pt idx="1">
                  <c:v>2020</c:v>
                </c:pt>
                <c:pt idx="2">
                  <c:v>2021</c:v>
                </c:pt>
                <c:pt idx="3">
                  <c:v>2022</c:v>
                </c:pt>
                <c:pt idx="4">
                  <c:v>2023</c:v>
                </c:pt>
                <c:pt idx="5">
                  <c:v>2024</c:v>
                </c:pt>
                <c:pt idx="6">
                  <c:v>2025</c:v>
                </c:pt>
              </c:strCache>
            </c:strRef>
          </c:cat>
          <c:val>
            <c:numRef>
              <c:f>'Dashboard Peer Comparison'!$I$6:$I$13</c:f>
              <c:numCache>
                <c:formatCode>0.0%</c:formatCode>
                <c:ptCount val="7"/>
                <c:pt idx="0">
                  <c:v>0.185</c:v>
                </c:pt>
                <c:pt idx="1">
                  <c:v>0.22600000000000001</c:v>
                </c:pt>
                <c:pt idx="2">
                  <c:v>0.23799999999999999</c:v>
                </c:pt>
                <c:pt idx="3">
                  <c:v>0.249</c:v>
                </c:pt>
                <c:pt idx="4">
                  <c:v>0.26100000000000001</c:v>
                </c:pt>
                <c:pt idx="5">
                  <c:v>0.27100000000000002</c:v>
                </c:pt>
                <c:pt idx="6">
                  <c:v>0.28199999999999997</c:v>
                </c:pt>
              </c:numCache>
            </c:numRef>
          </c:val>
          <c:smooth val="0"/>
          <c:extLst>
            <c:ext xmlns:c16="http://schemas.microsoft.com/office/drawing/2014/chart" uri="{C3380CC4-5D6E-409C-BE32-E72D297353CC}">
              <c16:uniqueId val="{00000000-5D95-46BF-A29B-9BB1BA0B0C89}"/>
            </c:ext>
          </c:extLst>
        </c:ser>
        <c:ser>
          <c:idx val="1"/>
          <c:order val="1"/>
          <c:tx>
            <c:strRef>
              <c:f>'Dashboard Peer Comparison'!$J$4:$J$5</c:f>
              <c:strCache>
                <c:ptCount val="1"/>
                <c:pt idx="0">
                  <c:v>Lupin</c:v>
                </c:pt>
              </c:strCache>
            </c:strRef>
          </c:tx>
          <c:spPr>
            <a:ln w="28575" cap="rnd">
              <a:solidFill>
                <a:schemeClr val="accent2"/>
              </a:solidFill>
              <a:round/>
            </a:ln>
            <a:effectLst/>
          </c:spPr>
          <c:marker>
            <c:symbol val="none"/>
          </c:marker>
          <c:cat>
            <c:strRef>
              <c:f>'Dashboard Peer Comparison'!$H$6:$H$13</c:f>
              <c:strCache>
                <c:ptCount val="7"/>
                <c:pt idx="0">
                  <c:v>2019</c:v>
                </c:pt>
                <c:pt idx="1">
                  <c:v>2020</c:v>
                </c:pt>
                <c:pt idx="2">
                  <c:v>2021</c:v>
                </c:pt>
                <c:pt idx="3">
                  <c:v>2022</c:v>
                </c:pt>
                <c:pt idx="4">
                  <c:v>2023</c:v>
                </c:pt>
                <c:pt idx="5">
                  <c:v>2024</c:v>
                </c:pt>
                <c:pt idx="6">
                  <c:v>2025</c:v>
                </c:pt>
              </c:strCache>
            </c:strRef>
          </c:cat>
          <c:val>
            <c:numRef>
              <c:f>'Dashboard Peer Comparison'!$J$6:$J$13</c:f>
              <c:numCache>
                <c:formatCode>0.0%</c:formatCode>
                <c:ptCount val="7"/>
                <c:pt idx="0">
                  <c:v>0.17399999999999999</c:v>
                </c:pt>
                <c:pt idx="1">
                  <c:v>0.187</c:v>
                </c:pt>
                <c:pt idx="2">
                  <c:v>0.192</c:v>
                </c:pt>
                <c:pt idx="3">
                  <c:v>0.18099999999999999</c:v>
                </c:pt>
                <c:pt idx="4">
                  <c:v>0.19600000000000001</c:v>
                </c:pt>
                <c:pt idx="5">
                  <c:v>0.218</c:v>
                </c:pt>
                <c:pt idx="6">
                  <c:v>0.247</c:v>
                </c:pt>
              </c:numCache>
            </c:numRef>
          </c:val>
          <c:smooth val="0"/>
          <c:extLst>
            <c:ext xmlns:c16="http://schemas.microsoft.com/office/drawing/2014/chart" uri="{C3380CC4-5D6E-409C-BE32-E72D297353CC}">
              <c16:uniqueId val="{00000001-5D95-46BF-A29B-9BB1BA0B0C89}"/>
            </c:ext>
          </c:extLst>
        </c:ser>
        <c:ser>
          <c:idx val="2"/>
          <c:order val="2"/>
          <c:tx>
            <c:strRef>
              <c:f>'Dashboard Peer Comparison'!$K$4:$K$5</c:f>
              <c:strCache>
                <c:ptCount val="1"/>
                <c:pt idx="0">
                  <c:v>Sun pharma</c:v>
                </c:pt>
              </c:strCache>
            </c:strRef>
          </c:tx>
          <c:spPr>
            <a:ln w="28575" cap="rnd">
              <a:solidFill>
                <a:schemeClr val="accent3"/>
              </a:solidFill>
              <a:round/>
            </a:ln>
            <a:effectLst/>
          </c:spPr>
          <c:marker>
            <c:symbol val="none"/>
          </c:marker>
          <c:cat>
            <c:strRef>
              <c:f>'Dashboard Peer Comparison'!$H$6:$H$13</c:f>
              <c:strCache>
                <c:ptCount val="7"/>
                <c:pt idx="0">
                  <c:v>2019</c:v>
                </c:pt>
                <c:pt idx="1">
                  <c:v>2020</c:v>
                </c:pt>
                <c:pt idx="2">
                  <c:v>2021</c:v>
                </c:pt>
                <c:pt idx="3">
                  <c:v>2022</c:v>
                </c:pt>
                <c:pt idx="4">
                  <c:v>2023</c:v>
                </c:pt>
                <c:pt idx="5">
                  <c:v>2024</c:v>
                </c:pt>
                <c:pt idx="6">
                  <c:v>2025</c:v>
                </c:pt>
              </c:strCache>
            </c:strRef>
          </c:cat>
          <c:val>
            <c:numRef>
              <c:f>'Dashboard Peer Comparison'!$K$6:$K$13</c:f>
              <c:numCache>
                <c:formatCode>0.0%</c:formatCode>
                <c:ptCount val="7"/>
                <c:pt idx="0">
                  <c:v>0.28000000000000003</c:v>
                </c:pt>
                <c:pt idx="1">
                  <c:v>0.27300000000000002</c:v>
                </c:pt>
                <c:pt idx="2">
                  <c:v>0.27</c:v>
                </c:pt>
                <c:pt idx="3">
                  <c:v>0.28100000000000003</c:v>
                </c:pt>
                <c:pt idx="4">
                  <c:v>0.28499999999999998</c:v>
                </c:pt>
                <c:pt idx="5">
                  <c:v>0.29799999999999999</c:v>
                </c:pt>
                <c:pt idx="6">
                  <c:v>0.309</c:v>
                </c:pt>
              </c:numCache>
            </c:numRef>
          </c:val>
          <c:smooth val="0"/>
          <c:extLst>
            <c:ext xmlns:c16="http://schemas.microsoft.com/office/drawing/2014/chart" uri="{C3380CC4-5D6E-409C-BE32-E72D297353CC}">
              <c16:uniqueId val="{00000002-5D95-46BF-A29B-9BB1BA0B0C89}"/>
            </c:ext>
          </c:extLst>
        </c:ser>
        <c:ser>
          <c:idx val="3"/>
          <c:order val="3"/>
          <c:tx>
            <c:strRef>
              <c:f>'Dashboard Peer Comparison'!$L$4:$L$5</c:f>
              <c:strCache>
                <c:ptCount val="1"/>
                <c:pt idx="0">
                  <c:v>Zydus </c:v>
                </c:pt>
              </c:strCache>
            </c:strRef>
          </c:tx>
          <c:spPr>
            <a:ln w="28575" cap="rnd">
              <a:solidFill>
                <a:schemeClr val="accent4"/>
              </a:solidFill>
              <a:round/>
            </a:ln>
            <a:effectLst/>
          </c:spPr>
          <c:marker>
            <c:symbol val="none"/>
          </c:marker>
          <c:cat>
            <c:strRef>
              <c:f>'Dashboard Peer Comparison'!$H$6:$H$13</c:f>
              <c:strCache>
                <c:ptCount val="7"/>
                <c:pt idx="0">
                  <c:v>2019</c:v>
                </c:pt>
                <c:pt idx="1">
                  <c:v>2020</c:v>
                </c:pt>
                <c:pt idx="2">
                  <c:v>2021</c:v>
                </c:pt>
                <c:pt idx="3">
                  <c:v>2022</c:v>
                </c:pt>
                <c:pt idx="4">
                  <c:v>2023</c:v>
                </c:pt>
                <c:pt idx="5">
                  <c:v>2024</c:v>
                </c:pt>
                <c:pt idx="6">
                  <c:v>2025</c:v>
                </c:pt>
              </c:strCache>
            </c:strRef>
          </c:cat>
          <c:val>
            <c:numRef>
              <c:f>'Dashboard Peer Comparison'!$L$6:$L$13</c:f>
              <c:numCache>
                <c:formatCode>0.0%</c:formatCode>
                <c:ptCount val="7"/>
                <c:pt idx="0">
                  <c:v>0.21099999999999999</c:v>
                </c:pt>
                <c:pt idx="1">
                  <c:v>0.20200000000000001</c:v>
                </c:pt>
                <c:pt idx="2">
                  <c:v>0.22800000000000001</c:v>
                </c:pt>
                <c:pt idx="3">
                  <c:v>0.221</c:v>
                </c:pt>
                <c:pt idx="4">
                  <c:v>0.245</c:v>
                </c:pt>
                <c:pt idx="5">
                  <c:v>0.26100000000000001</c:v>
                </c:pt>
                <c:pt idx="6">
                  <c:v>0.27500000000000002</c:v>
                </c:pt>
              </c:numCache>
            </c:numRef>
          </c:val>
          <c:smooth val="0"/>
          <c:extLst>
            <c:ext xmlns:c16="http://schemas.microsoft.com/office/drawing/2014/chart" uri="{C3380CC4-5D6E-409C-BE32-E72D297353CC}">
              <c16:uniqueId val="{00000003-5D95-46BF-A29B-9BB1BA0B0C89}"/>
            </c:ext>
          </c:extLst>
        </c:ser>
        <c:dLbls>
          <c:showLegendKey val="0"/>
          <c:showVal val="0"/>
          <c:showCatName val="0"/>
          <c:showSerName val="0"/>
          <c:showPercent val="0"/>
          <c:showBubbleSize val="0"/>
        </c:dLbls>
        <c:smooth val="0"/>
        <c:axId val="2038808527"/>
        <c:axId val="2038824847"/>
      </c:lineChart>
      <c:catAx>
        <c:axId val="203880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824847"/>
        <c:crosses val="autoZero"/>
        <c:auto val="1"/>
        <c:lblAlgn val="ctr"/>
        <c:lblOffset val="100"/>
        <c:noMultiLvlLbl val="0"/>
      </c:catAx>
      <c:valAx>
        <c:axId val="203882484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80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[ADITI EABV CIPLA 25PGDMFM047.xlsx]Dashboard Peer Comparison!PivotTable7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Peer Comparison'!$S$4:$S$5</c:f>
              <c:strCache>
                <c:ptCount val="1"/>
                <c:pt idx="0">
                  <c:v>Dr. Reddy</c:v>
                </c:pt>
              </c:strCache>
            </c:strRef>
          </c:tx>
          <c:spPr>
            <a:ln w="28575" cap="rnd">
              <a:solidFill>
                <a:schemeClr val="accent1"/>
              </a:solidFill>
              <a:round/>
            </a:ln>
            <a:effectLst/>
          </c:spPr>
          <c:marker>
            <c:symbol val="none"/>
          </c:marker>
          <c:cat>
            <c:strRef>
              <c:f>'Dashboard Peer Comparison'!$R$6:$R$13</c:f>
              <c:strCache>
                <c:ptCount val="7"/>
                <c:pt idx="0">
                  <c:v>2019</c:v>
                </c:pt>
                <c:pt idx="1">
                  <c:v>2020</c:v>
                </c:pt>
                <c:pt idx="2">
                  <c:v>2021</c:v>
                </c:pt>
                <c:pt idx="3">
                  <c:v>2022</c:v>
                </c:pt>
                <c:pt idx="4">
                  <c:v>2023</c:v>
                </c:pt>
                <c:pt idx="5">
                  <c:v>2024</c:v>
                </c:pt>
                <c:pt idx="6">
                  <c:v>2025</c:v>
                </c:pt>
              </c:strCache>
            </c:strRef>
          </c:cat>
          <c:val>
            <c:numRef>
              <c:f>'Dashboard Peer Comparison'!$S$6:$S$13</c:f>
              <c:numCache>
                <c:formatCode>0.0%</c:formatCode>
                <c:ptCount val="7"/>
                <c:pt idx="0">
                  <c:v>7.3999999999999996E-2</c:v>
                </c:pt>
                <c:pt idx="1">
                  <c:v>8.7999999999999995E-2</c:v>
                </c:pt>
                <c:pt idx="2">
                  <c:v>0.10100000000000001</c:v>
                </c:pt>
                <c:pt idx="3">
                  <c:v>0.11799999999999999</c:v>
                </c:pt>
                <c:pt idx="4">
                  <c:v>0.14799999999999999</c:v>
                </c:pt>
                <c:pt idx="5">
                  <c:v>0.17199999999999999</c:v>
                </c:pt>
                <c:pt idx="6">
                  <c:v>0.188</c:v>
                </c:pt>
              </c:numCache>
            </c:numRef>
          </c:val>
          <c:smooth val="0"/>
          <c:extLst>
            <c:ext xmlns:c16="http://schemas.microsoft.com/office/drawing/2014/chart" uri="{C3380CC4-5D6E-409C-BE32-E72D297353CC}">
              <c16:uniqueId val="{00000000-6ADA-4B48-A8BF-7C3A33388DC4}"/>
            </c:ext>
          </c:extLst>
        </c:ser>
        <c:ser>
          <c:idx val="1"/>
          <c:order val="1"/>
          <c:tx>
            <c:strRef>
              <c:f>'Dashboard Peer Comparison'!$T$4:$T$5</c:f>
              <c:strCache>
                <c:ptCount val="1"/>
                <c:pt idx="0">
                  <c:v>Lupin</c:v>
                </c:pt>
              </c:strCache>
            </c:strRef>
          </c:tx>
          <c:spPr>
            <a:ln w="28575" cap="rnd">
              <a:solidFill>
                <a:schemeClr val="accent2"/>
              </a:solidFill>
              <a:round/>
            </a:ln>
            <a:effectLst/>
          </c:spPr>
          <c:marker>
            <c:symbol val="none"/>
          </c:marker>
          <c:cat>
            <c:strRef>
              <c:f>'Dashboard Peer Comparison'!$R$6:$R$13</c:f>
              <c:strCache>
                <c:ptCount val="7"/>
                <c:pt idx="0">
                  <c:v>2019</c:v>
                </c:pt>
                <c:pt idx="1">
                  <c:v>2020</c:v>
                </c:pt>
                <c:pt idx="2">
                  <c:v>2021</c:v>
                </c:pt>
                <c:pt idx="3">
                  <c:v>2022</c:v>
                </c:pt>
                <c:pt idx="4">
                  <c:v>2023</c:v>
                </c:pt>
                <c:pt idx="5">
                  <c:v>2024</c:v>
                </c:pt>
                <c:pt idx="6">
                  <c:v>2025</c:v>
                </c:pt>
              </c:strCache>
            </c:strRef>
          </c:cat>
          <c:val>
            <c:numRef>
              <c:f>'Dashboard Peer Comparison'!$T$6:$T$13</c:f>
              <c:numCache>
                <c:formatCode>0.0%</c:formatCode>
                <c:ptCount val="7"/>
                <c:pt idx="0">
                  <c:v>6.9000000000000006E-2</c:v>
                </c:pt>
                <c:pt idx="1">
                  <c:v>5.1999999999999998E-2</c:v>
                </c:pt>
                <c:pt idx="2">
                  <c:v>4.8000000000000001E-2</c:v>
                </c:pt>
                <c:pt idx="3">
                  <c:v>5.8000000000000003E-2</c:v>
                </c:pt>
                <c:pt idx="4">
                  <c:v>7.8E-2</c:v>
                </c:pt>
                <c:pt idx="5">
                  <c:v>9.8000000000000004E-2</c:v>
                </c:pt>
                <c:pt idx="6">
                  <c:v>0.13200000000000001</c:v>
                </c:pt>
              </c:numCache>
            </c:numRef>
          </c:val>
          <c:smooth val="0"/>
          <c:extLst>
            <c:ext xmlns:c16="http://schemas.microsoft.com/office/drawing/2014/chart" uri="{C3380CC4-5D6E-409C-BE32-E72D297353CC}">
              <c16:uniqueId val="{00000001-6ADA-4B48-A8BF-7C3A33388DC4}"/>
            </c:ext>
          </c:extLst>
        </c:ser>
        <c:ser>
          <c:idx val="2"/>
          <c:order val="2"/>
          <c:tx>
            <c:strRef>
              <c:f>'Dashboard Peer Comparison'!$U$4:$U$5</c:f>
              <c:strCache>
                <c:ptCount val="1"/>
                <c:pt idx="0">
                  <c:v>Sun pharma</c:v>
                </c:pt>
              </c:strCache>
            </c:strRef>
          </c:tx>
          <c:spPr>
            <a:ln w="28575" cap="rnd">
              <a:solidFill>
                <a:schemeClr val="accent3"/>
              </a:solidFill>
              <a:round/>
            </a:ln>
            <a:effectLst/>
          </c:spPr>
          <c:marker>
            <c:symbol val="none"/>
          </c:marker>
          <c:cat>
            <c:strRef>
              <c:f>'Dashboard Peer Comparison'!$R$6:$R$13</c:f>
              <c:strCache>
                <c:ptCount val="7"/>
                <c:pt idx="0">
                  <c:v>2019</c:v>
                </c:pt>
                <c:pt idx="1">
                  <c:v>2020</c:v>
                </c:pt>
                <c:pt idx="2">
                  <c:v>2021</c:v>
                </c:pt>
                <c:pt idx="3">
                  <c:v>2022</c:v>
                </c:pt>
                <c:pt idx="4">
                  <c:v>2023</c:v>
                </c:pt>
                <c:pt idx="5">
                  <c:v>2024</c:v>
                </c:pt>
                <c:pt idx="6">
                  <c:v>2025</c:v>
                </c:pt>
              </c:strCache>
            </c:strRef>
          </c:cat>
          <c:val>
            <c:numRef>
              <c:f>'Dashboard Peer Comparison'!$U$6:$U$13</c:f>
              <c:numCache>
                <c:formatCode>0.0%</c:formatCode>
                <c:ptCount val="7"/>
                <c:pt idx="0">
                  <c:v>8.5999999999999993E-2</c:v>
                </c:pt>
                <c:pt idx="1">
                  <c:v>6.4000000000000001E-2</c:v>
                </c:pt>
                <c:pt idx="2">
                  <c:v>6.9000000000000006E-2</c:v>
                </c:pt>
                <c:pt idx="3">
                  <c:v>9.1999999999999998E-2</c:v>
                </c:pt>
                <c:pt idx="4">
                  <c:v>0.107</c:v>
                </c:pt>
                <c:pt idx="5">
                  <c:v>0.121</c:v>
                </c:pt>
                <c:pt idx="6">
                  <c:v>0.128</c:v>
                </c:pt>
              </c:numCache>
            </c:numRef>
          </c:val>
          <c:smooth val="0"/>
          <c:extLst>
            <c:ext xmlns:c16="http://schemas.microsoft.com/office/drawing/2014/chart" uri="{C3380CC4-5D6E-409C-BE32-E72D297353CC}">
              <c16:uniqueId val="{00000002-6ADA-4B48-A8BF-7C3A33388DC4}"/>
            </c:ext>
          </c:extLst>
        </c:ser>
        <c:ser>
          <c:idx val="3"/>
          <c:order val="3"/>
          <c:tx>
            <c:strRef>
              <c:f>'Dashboard Peer Comparison'!$V$4:$V$5</c:f>
              <c:strCache>
                <c:ptCount val="1"/>
                <c:pt idx="0">
                  <c:v>Zydus </c:v>
                </c:pt>
              </c:strCache>
            </c:strRef>
          </c:tx>
          <c:spPr>
            <a:ln w="28575" cap="rnd">
              <a:solidFill>
                <a:schemeClr val="accent4"/>
              </a:solidFill>
              <a:round/>
            </a:ln>
            <a:effectLst/>
          </c:spPr>
          <c:marker>
            <c:symbol val="none"/>
          </c:marker>
          <c:cat>
            <c:strRef>
              <c:f>'Dashboard Peer Comparison'!$R$6:$R$13</c:f>
              <c:strCache>
                <c:ptCount val="7"/>
                <c:pt idx="0">
                  <c:v>2019</c:v>
                </c:pt>
                <c:pt idx="1">
                  <c:v>2020</c:v>
                </c:pt>
                <c:pt idx="2">
                  <c:v>2021</c:v>
                </c:pt>
                <c:pt idx="3">
                  <c:v>2022</c:v>
                </c:pt>
                <c:pt idx="4">
                  <c:v>2023</c:v>
                </c:pt>
                <c:pt idx="5">
                  <c:v>2024</c:v>
                </c:pt>
                <c:pt idx="6">
                  <c:v>2025</c:v>
                </c:pt>
              </c:strCache>
            </c:strRef>
          </c:cat>
          <c:val>
            <c:numRef>
              <c:f>'Dashboard Peer Comparison'!$V$6:$V$13</c:f>
              <c:numCache>
                <c:formatCode>0.0%</c:formatCode>
                <c:ptCount val="7"/>
                <c:pt idx="0">
                  <c:v>9.0999999999999998E-2</c:v>
                </c:pt>
                <c:pt idx="1">
                  <c:v>8.5999999999999993E-2</c:v>
                </c:pt>
                <c:pt idx="2">
                  <c:v>8.7999999999999995E-2</c:v>
                </c:pt>
                <c:pt idx="3">
                  <c:v>9.5000000000000001E-2</c:v>
                </c:pt>
                <c:pt idx="4">
                  <c:v>0.11799999999999999</c:v>
                </c:pt>
                <c:pt idx="5">
                  <c:v>0.14699999999999999</c:v>
                </c:pt>
                <c:pt idx="6">
                  <c:v>0.161</c:v>
                </c:pt>
              </c:numCache>
            </c:numRef>
          </c:val>
          <c:smooth val="0"/>
          <c:extLst>
            <c:ext xmlns:c16="http://schemas.microsoft.com/office/drawing/2014/chart" uri="{C3380CC4-5D6E-409C-BE32-E72D297353CC}">
              <c16:uniqueId val="{00000003-6ADA-4B48-A8BF-7C3A33388DC4}"/>
            </c:ext>
          </c:extLst>
        </c:ser>
        <c:dLbls>
          <c:showLegendKey val="0"/>
          <c:showVal val="0"/>
          <c:showCatName val="0"/>
          <c:showSerName val="0"/>
          <c:showPercent val="0"/>
          <c:showBubbleSize val="0"/>
        </c:dLbls>
        <c:smooth val="0"/>
        <c:axId val="1865124143"/>
        <c:axId val="1865140943"/>
      </c:lineChart>
      <c:catAx>
        <c:axId val="186512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40943"/>
        <c:crosses val="autoZero"/>
        <c:auto val="1"/>
        <c:lblAlgn val="ctr"/>
        <c:lblOffset val="100"/>
        <c:noMultiLvlLbl val="0"/>
      </c:catAx>
      <c:valAx>
        <c:axId val="186514094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2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[ADITI EABV CIPLA 25PGDMFM047.xlsx]Dashboard Peer Comparison!PivotTable8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ROE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Peer Comparison'!$B$16:$B$17</c:f>
              <c:strCache>
                <c:ptCount val="1"/>
                <c:pt idx="0">
                  <c:v>Dr. Reddy</c:v>
                </c:pt>
              </c:strCache>
            </c:strRef>
          </c:tx>
          <c:spPr>
            <a:ln w="28575" cap="rnd">
              <a:solidFill>
                <a:schemeClr val="accent1"/>
              </a:solidFill>
              <a:round/>
            </a:ln>
            <a:effectLst/>
          </c:spPr>
          <c:marker>
            <c:symbol val="none"/>
          </c:marker>
          <c:cat>
            <c:strRef>
              <c:f>'Dashboard Peer Comparison'!$A$18:$A$25</c:f>
              <c:strCache>
                <c:ptCount val="7"/>
                <c:pt idx="0">
                  <c:v>2019</c:v>
                </c:pt>
                <c:pt idx="1">
                  <c:v>2020</c:v>
                </c:pt>
                <c:pt idx="2">
                  <c:v>2021</c:v>
                </c:pt>
                <c:pt idx="3">
                  <c:v>2022</c:v>
                </c:pt>
                <c:pt idx="4">
                  <c:v>2023</c:v>
                </c:pt>
                <c:pt idx="5">
                  <c:v>2024</c:v>
                </c:pt>
                <c:pt idx="6">
                  <c:v>2025</c:v>
                </c:pt>
              </c:strCache>
            </c:strRef>
          </c:cat>
          <c:val>
            <c:numRef>
              <c:f>'Dashboard Peer Comparison'!$B$18:$B$25</c:f>
              <c:numCache>
                <c:formatCode>0.0%</c:formatCode>
                <c:ptCount val="7"/>
                <c:pt idx="0">
                  <c:v>0.112</c:v>
                </c:pt>
                <c:pt idx="1">
                  <c:v>0.13200000000000001</c:v>
                </c:pt>
                <c:pt idx="2">
                  <c:v>0.14799999999999999</c:v>
                </c:pt>
                <c:pt idx="3">
                  <c:v>0.16600000000000001</c:v>
                </c:pt>
                <c:pt idx="4">
                  <c:v>0.19500000000000001</c:v>
                </c:pt>
                <c:pt idx="5">
                  <c:v>0.214</c:v>
                </c:pt>
                <c:pt idx="6">
                  <c:v>0.214</c:v>
                </c:pt>
              </c:numCache>
            </c:numRef>
          </c:val>
          <c:smooth val="0"/>
          <c:extLst>
            <c:ext xmlns:c16="http://schemas.microsoft.com/office/drawing/2014/chart" uri="{C3380CC4-5D6E-409C-BE32-E72D297353CC}">
              <c16:uniqueId val="{00000000-C1E2-4C21-A7D8-8AE58A925A39}"/>
            </c:ext>
          </c:extLst>
        </c:ser>
        <c:ser>
          <c:idx val="1"/>
          <c:order val="1"/>
          <c:tx>
            <c:strRef>
              <c:f>'Dashboard Peer Comparison'!$C$16:$C$17</c:f>
              <c:strCache>
                <c:ptCount val="1"/>
                <c:pt idx="0">
                  <c:v>Lupin</c:v>
                </c:pt>
              </c:strCache>
            </c:strRef>
          </c:tx>
          <c:spPr>
            <a:ln w="28575" cap="rnd">
              <a:solidFill>
                <a:schemeClr val="accent2"/>
              </a:solidFill>
              <a:round/>
            </a:ln>
            <a:effectLst/>
          </c:spPr>
          <c:marker>
            <c:symbol val="none"/>
          </c:marker>
          <c:cat>
            <c:strRef>
              <c:f>'Dashboard Peer Comparison'!$A$18:$A$25</c:f>
              <c:strCache>
                <c:ptCount val="7"/>
                <c:pt idx="0">
                  <c:v>2019</c:v>
                </c:pt>
                <c:pt idx="1">
                  <c:v>2020</c:v>
                </c:pt>
                <c:pt idx="2">
                  <c:v>2021</c:v>
                </c:pt>
                <c:pt idx="3">
                  <c:v>2022</c:v>
                </c:pt>
                <c:pt idx="4">
                  <c:v>2023</c:v>
                </c:pt>
                <c:pt idx="5">
                  <c:v>2024</c:v>
                </c:pt>
                <c:pt idx="6">
                  <c:v>2025</c:v>
                </c:pt>
              </c:strCache>
            </c:strRef>
          </c:cat>
          <c:val>
            <c:numRef>
              <c:f>'Dashboard Peer Comparison'!$C$18:$C$25</c:f>
              <c:numCache>
                <c:formatCode>0.0%</c:formatCode>
                <c:ptCount val="7"/>
                <c:pt idx="0">
                  <c:v>0.125</c:v>
                </c:pt>
                <c:pt idx="1">
                  <c:v>9.1999999999999998E-2</c:v>
                </c:pt>
                <c:pt idx="2">
                  <c:v>8.5999999999999993E-2</c:v>
                </c:pt>
                <c:pt idx="3">
                  <c:v>0.10100000000000001</c:v>
                </c:pt>
                <c:pt idx="4">
                  <c:v>0.13500000000000001</c:v>
                </c:pt>
                <c:pt idx="5">
                  <c:v>0.16800000000000001</c:v>
                </c:pt>
                <c:pt idx="6">
                  <c:v>0.20899999999999999</c:v>
                </c:pt>
              </c:numCache>
            </c:numRef>
          </c:val>
          <c:smooth val="0"/>
          <c:extLst>
            <c:ext xmlns:c16="http://schemas.microsoft.com/office/drawing/2014/chart" uri="{C3380CC4-5D6E-409C-BE32-E72D297353CC}">
              <c16:uniqueId val="{00000001-C1E2-4C21-A7D8-8AE58A925A39}"/>
            </c:ext>
          </c:extLst>
        </c:ser>
        <c:ser>
          <c:idx val="2"/>
          <c:order val="2"/>
          <c:tx>
            <c:strRef>
              <c:f>'Dashboard Peer Comparison'!$D$16:$D$17</c:f>
              <c:strCache>
                <c:ptCount val="1"/>
                <c:pt idx="0">
                  <c:v>Sun pharma</c:v>
                </c:pt>
              </c:strCache>
            </c:strRef>
          </c:tx>
          <c:spPr>
            <a:ln w="28575" cap="rnd">
              <a:solidFill>
                <a:schemeClr val="accent3"/>
              </a:solidFill>
              <a:round/>
            </a:ln>
            <a:effectLst/>
          </c:spPr>
          <c:marker>
            <c:symbol val="none"/>
          </c:marker>
          <c:cat>
            <c:strRef>
              <c:f>'Dashboard Peer Comparison'!$A$18:$A$25</c:f>
              <c:strCache>
                <c:ptCount val="7"/>
                <c:pt idx="0">
                  <c:v>2019</c:v>
                </c:pt>
                <c:pt idx="1">
                  <c:v>2020</c:v>
                </c:pt>
                <c:pt idx="2">
                  <c:v>2021</c:v>
                </c:pt>
                <c:pt idx="3">
                  <c:v>2022</c:v>
                </c:pt>
                <c:pt idx="4">
                  <c:v>2023</c:v>
                </c:pt>
                <c:pt idx="5">
                  <c:v>2024</c:v>
                </c:pt>
                <c:pt idx="6">
                  <c:v>2025</c:v>
                </c:pt>
              </c:strCache>
            </c:strRef>
          </c:cat>
          <c:val>
            <c:numRef>
              <c:f>'Dashboard Peer Comparison'!$D$18:$D$25</c:f>
              <c:numCache>
                <c:formatCode>0.0%</c:formatCode>
                <c:ptCount val="7"/>
                <c:pt idx="0">
                  <c:v>9.5000000000000001E-2</c:v>
                </c:pt>
                <c:pt idx="1">
                  <c:v>7.1999999999999995E-2</c:v>
                </c:pt>
                <c:pt idx="2">
                  <c:v>7.8E-2</c:v>
                </c:pt>
                <c:pt idx="3">
                  <c:v>0.104</c:v>
                </c:pt>
                <c:pt idx="4">
                  <c:v>0.11799999999999999</c:v>
                </c:pt>
                <c:pt idx="5">
                  <c:v>0.152</c:v>
                </c:pt>
                <c:pt idx="6">
                  <c:v>0.152</c:v>
                </c:pt>
              </c:numCache>
            </c:numRef>
          </c:val>
          <c:smooth val="0"/>
          <c:extLst>
            <c:ext xmlns:c16="http://schemas.microsoft.com/office/drawing/2014/chart" uri="{C3380CC4-5D6E-409C-BE32-E72D297353CC}">
              <c16:uniqueId val="{00000002-C1E2-4C21-A7D8-8AE58A925A39}"/>
            </c:ext>
          </c:extLst>
        </c:ser>
        <c:ser>
          <c:idx val="3"/>
          <c:order val="3"/>
          <c:tx>
            <c:strRef>
              <c:f>'Dashboard Peer Comparison'!$E$16:$E$17</c:f>
              <c:strCache>
                <c:ptCount val="1"/>
                <c:pt idx="0">
                  <c:v>Zydus </c:v>
                </c:pt>
              </c:strCache>
            </c:strRef>
          </c:tx>
          <c:spPr>
            <a:ln w="28575" cap="rnd">
              <a:solidFill>
                <a:schemeClr val="accent4"/>
              </a:solidFill>
              <a:round/>
            </a:ln>
            <a:effectLst/>
          </c:spPr>
          <c:marker>
            <c:symbol val="none"/>
          </c:marker>
          <c:cat>
            <c:strRef>
              <c:f>'Dashboard Peer Comparison'!$A$18:$A$25</c:f>
              <c:strCache>
                <c:ptCount val="7"/>
                <c:pt idx="0">
                  <c:v>2019</c:v>
                </c:pt>
                <c:pt idx="1">
                  <c:v>2020</c:v>
                </c:pt>
                <c:pt idx="2">
                  <c:v>2021</c:v>
                </c:pt>
                <c:pt idx="3">
                  <c:v>2022</c:v>
                </c:pt>
                <c:pt idx="4">
                  <c:v>2023</c:v>
                </c:pt>
                <c:pt idx="5">
                  <c:v>2024</c:v>
                </c:pt>
                <c:pt idx="6">
                  <c:v>2025</c:v>
                </c:pt>
              </c:strCache>
            </c:strRef>
          </c:cat>
          <c:val>
            <c:numRef>
              <c:f>'Dashboard Peer Comparison'!$E$18:$E$25</c:f>
              <c:numCache>
                <c:formatCode>0.0%</c:formatCode>
                <c:ptCount val="7"/>
                <c:pt idx="0">
                  <c:v>0.14899999999999999</c:v>
                </c:pt>
                <c:pt idx="1">
                  <c:v>0.14000000000000001</c:v>
                </c:pt>
                <c:pt idx="2">
                  <c:v>0.14000000000000001</c:v>
                </c:pt>
                <c:pt idx="3">
                  <c:v>0.15</c:v>
                </c:pt>
                <c:pt idx="4">
                  <c:v>0.17799999999999999</c:v>
                </c:pt>
                <c:pt idx="5">
                  <c:v>0.20899999999999999</c:v>
                </c:pt>
                <c:pt idx="6">
                  <c:v>0.22500000000000001</c:v>
                </c:pt>
              </c:numCache>
            </c:numRef>
          </c:val>
          <c:smooth val="0"/>
          <c:extLst>
            <c:ext xmlns:c16="http://schemas.microsoft.com/office/drawing/2014/chart" uri="{C3380CC4-5D6E-409C-BE32-E72D297353CC}">
              <c16:uniqueId val="{00000003-C1E2-4C21-A7D8-8AE58A925A39}"/>
            </c:ext>
          </c:extLst>
        </c:ser>
        <c:dLbls>
          <c:showLegendKey val="0"/>
          <c:showVal val="0"/>
          <c:showCatName val="0"/>
          <c:showSerName val="0"/>
          <c:showPercent val="0"/>
          <c:showBubbleSize val="0"/>
        </c:dLbls>
        <c:smooth val="0"/>
        <c:axId val="482992431"/>
        <c:axId val="482997711"/>
      </c:lineChart>
      <c:catAx>
        <c:axId val="48299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997711"/>
        <c:crosses val="autoZero"/>
        <c:auto val="1"/>
        <c:lblAlgn val="ctr"/>
        <c:lblOffset val="100"/>
        <c:noMultiLvlLbl val="0"/>
      </c:catAx>
      <c:valAx>
        <c:axId val="4829977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99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[ADITI EABV CIPLA 25PGDMFM047.xlsx]Dashboard Peer Comparison!PivotTable9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Current</a:t>
            </a:r>
            <a:r>
              <a:rPr lang="en-IN" baseline="0"/>
              <a:t> Ratio</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Peer Comparison'!$I$16:$I$17</c:f>
              <c:strCache>
                <c:ptCount val="1"/>
                <c:pt idx="0">
                  <c:v>Dr. Reddy</c:v>
                </c:pt>
              </c:strCache>
            </c:strRef>
          </c:tx>
          <c:spPr>
            <a:ln w="28575" cap="rnd">
              <a:solidFill>
                <a:schemeClr val="accent1"/>
              </a:solidFill>
              <a:round/>
            </a:ln>
            <a:effectLst/>
          </c:spPr>
          <c:marker>
            <c:symbol val="none"/>
          </c:marker>
          <c:cat>
            <c:strRef>
              <c:f>'Dashboard Peer Comparison'!$H$18:$H$25</c:f>
              <c:strCache>
                <c:ptCount val="7"/>
                <c:pt idx="0">
                  <c:v>2019</c:v>
                </c:pt>
                <c:pt idx="1">
                  <c:v>2020</c:v>
                </c:pt>
                <c:pt idx="2">
                  <c:v>2021</c:v>
                </c:pt>
                <c:pt idx="3">
                  <c:v>2022</c:v>
                </c:pt>
                <c:pt idx="4">
                  <c:v>2023</c:v>
                </c:pt>
                <c:pt idx="5">
                  <c:v>2024</c:v>
                </c:pt>
                <c:pt idx="6">
                  <c:v>2025</c:v>
                </c:pt>
              </c:strCache>
            </c:strRef>
          </c:cat>
          <c:val>
            <c:numRef>
              <c:f>'Dashboard Peer Comparison'!$I$18:$I$25</c:f>
              <c:numCache>
                <c:formatCode>0.00</c:formatCode>
                <c:ptCount val="7"/>
                <c:pt idx="0">
                  <c:v>2.08</c:v>
                </c:pt>
                <c:pt idx="1">
                  <c:v>2.15</c:v>
                </c:pt>
                <c:pt idx="2">
                  <c:v>2.2200000000000002</c:v>
                </c:pt>
                <c:pt idx="3">
                  <c:v>2.38</c:v>
                </c:pt>
                <c:pt idx="4">
                  <c:v>2.44</c:v>
                </c:pt>
                <c:pt idx="5">
                  <c:v>2.52</c:v>
                </c:pt>
                <c:pt idx="6">
                  <c:v>2.61</c:v>
                </c:pt>
              </c:numCache>
            </c:numRef>
          </c:val>
          <c:smooth val="0"/>
          <c:extLst>
            <c:ext xmlns:c16="http://schemas.microsoft.com/office/drawing/2014/chart" uri="{C3380CC4-5D6E-409C-BE32-E72D297353CC}">
              <c16:uniqueId val="{00000000-46FC-4C59-BC77-192CDB89A6F1}"/>
            </c:ext>
          </c:extLst>
        </c:ser>
        <c:ser>
          <c:idx val="1"/>
          <c:order val="1"/>
          <c:tx>
            <c:strRef>
              <c:f>'Dashboard Peer Comparison'!$J$16:$J$17</c:f>
              <c:strCache>
                <c:ptCount val="1"/>
                <c:pt idx="0">
                  <c:v>Lupin</c:v>
                </c:pt>
              </c:strCache>
            </c:strRef>
          </c:tx>
          <c:spPr>
            <a:ln w="28575" cap="rnd">
              <a:solidFill>
                <a:schemeClr val="accent2"/>
              </a:solidFill>
              <a:round/>
            </a:ln>
            <a:effectLst/>
          </c:spPr>
          <c:marker>
            <c:symbol val="none"/>
          </c:marker>
          <c:cat>
            <c:strRef>
              <c:f>'Dashboard Peer Comparison'!$H$18:$H$25</c:f>
              <c:strCache>
                <c:ptCount val="7"/>
                <c:pt idx="0">
                  <c:v>2019</c:v>
                </c:pt>
                <c:pt idx="1">
                  <c:v>2020</c:v>
                </c:pt>
                <c:pt idx="2">
                  <c:v>2021</c:v>
                </c:pt>
                <c:pt idx="3">
                  <c:v>2022</c:v>
                </c:pt>
                <c:pt idx="4">
                  <c:v>2023</c:v>
                </c:pt>
                <c:pt idx="5">
                  <c:v>2024</c:v>
                </c:pt>
                <c:pt idx="6">
                  <c:v>2025</c:v>
                </c:pt>
              </c:strCache>
            </c:strRef>
          </c:cat>
          <c:val>
            <c:numRef>
              <c:f>'Dashboard Peer Comparison'!$J$18:$J$25</c:f>
              <c:numCache>
                <c:formatCode>0.00</c:formatCode>
                <c:ptCount val="7"/>
                <c:pt idx="0">
                  <c:v>2.02</c:v>
                </c:pt>
                <c:pt idx="1">
                  <c:v>1.95</c:v>
                </c:pt>
                <c:pt idx="2">
                  <c:v>2.0499999999999998</c:v>
                </c:pt>
                <c:pt idx="3">
                  <c:v>2.1</c:v>
                </c:pt>
                <c:pt idx="4">
                  <c:v>2.25</c:v>
                </c:pt>
                <c:pt idx="5">
                  <c:v>2.38</c:v>
                </c:pt>
                <c:pt idx="6">
                  <c:v>2.52</c:v>
                </c:pt>
              </c:numCache>
            </c:numRef>
          </c:val>
          <c:smooth val="0"/>
          <c:extLst>
            <c:ext xmlns:c16="http://schemas.microsoft.com/office/drawing/2014/chart" uri="{C3380CC4-5D6E-409C-BE32-E72D297353CC}">
              <c16:uniqueId val="{00000001-46FC-4C59-BC77-192CDB89A6F1}"/>
            </c:ext>
          </c:extLst>
        </c:ser>
        <c:ser>
          <c:idx val="2"/>
          <c:order val="2"/>
          <c:tx>
            <c:strRef>
              <c:f>'Dashboard Peer Comparison'!$K$16:$K$17</c:f>
              <c:strCache>
                <c:ptCount val="1"/>
                <c:pt idx="0">
                  <c:v>Sun pharma</c:v>
                </c:pt>
              </c:strCache>
            </c:strRef>
          </c:tx>
          <c:spPr>
            <a:ln w="28575" cap="rnd">
              <a:solidFill>
                <a:schemeClr val="accent3"/>
              </a:solidFill>
              <a:round/>
            </a:ln>
            <a:effectLst/>
          </c:spPr>
          <c:marker>
            <c:symbol val="none"/>
          </c:marker>
          <c:cat>
            <c:strRef>
              <c:f>'Dashboard Peer Comparison'!$H$18:$H$25</c:f>
              <c:strCache>
                <c:ptCount val="7"/>
                <c:pt idx="0">
                  <c:v>2019</c:v>
                </c:pt>
                <c:pt idx="1">
                  <c:v>2020</c:v>
                </c:pt>
                <c:pt idx="2">
                  <c:v>2021</c:v>
                </c:pt>
                <c:pt idx="3">
                  <c:v>2022</c:v>
                </c:pt>
                <c:pt idx="4">
                  <c:v>2023</c:v>
                </c:pt>
                <c:pt idx="5">
                  <c:v>2024</c:v>
                </c:pt>
                <c:pt idx="6">
                  <c:v>2025</c:v>
                </c:pt>
              </c:strCache>
            </c:strRef>
          </c:cat>
          <c:val>
            <c:numRef>
              <c:f>'Dashboard Peer Comparison'!$K$18:$K$25</c:f>
              <c:numCache>
                <c:formatCode>0.00</c:formatCode>
                <c:ptCount val="7"/>
                <c:pt idx="0">
                  <c:v>1.71</c:v>
                </c:pt>
                <c:pt idx="1">
                  <c:v>1.65</c:v>
                </c:pt>
                <c:pt idx="2">
                  <c:v>1.72</c:v>
                </c:pt>
                <c:pt idx="3">
                  <c:v>1.88</c:v>
                </c:pt>
                <c:pt idx="4">
                  <c:v>1.96</c:v>
                </c:pt>
                <c:pt idx="5">
                  <c:v>2.1</c:v>
                </c:pt>
                <c:pt idx="6">
                  <c:v>2.1800000000000002</c:v>
                </c:pt>
              </c:numCache>
            </c:numRef>
          </c:val>
          <c:smooth val="0"/>
          <c:extLst>
            <c:ext xmlns:c16="http://schemas.microsoft.com/office/drawing/2014/chart" uri="{C3380CC4-5D6E-409C-BE32-E72D297353CC}">
              <c16:uniqueId val="{00000002-46FC-4C59-BC77-192CDB89A6F1}"/>
            </c:ext>
          </c:extLst>
        </c:ser>
        <c:ser>
          <c:idx val="3"/>
          <c:order val="3"/>
          <c:tx>
            <c:strRef>
              <c:f>'Dashboard Peer Comparison'!$L$16:$L$17</c:f>
              <c:strCache>
                <c:ptCount val="1"/>
                <c:pt idx="0">
                  <c:v>Zydus </c:v>
                </c:pt>
              </c:strCache>
            </c:strRef>
          </c:tx>
          <c:spPr>
            <a:ln w="28575" cap="rnd">
              <a:solidFill>
                <a:schemeClr val="accent4"/>
              </a:solidFill>
              <a:round/>
            </a:ln>
            <a:effectLst/>
          </c:spPr>
          <c:marker>
            <c:symbol val="none"/>
          </c:marker>
          <c:cat>
            <c:strRef>
              <c:f>'Dashboard Peer Comparison'!$H$18:$H$25</c:f>
              <c:strCache>
                <c:ptCount val="7"/>
                <c:pt idx="0">
                  <c:v>2019</c:v>
                </c:pt>
                <c:pt idx="1">
                  <c:v>2020</c:v>
                </c:pt>
                <c:pt idx="2">
                  <c:v>2021</c:v>
                </c:pt>
                <c:pt idx="3">
                  <c:v>2022</c:v>
                </c:pt>
                <c:pt idx="4">
                  <c:v>2023</c:v>
                </c:pt>
                <c:pt idx="5">
                  <c:v>2024</c:v>
                </c:pt>
                <c:pt idx="6">
                  <c:v>2025</c:v>
                </c:pt>
              </c:strCache>
            </c:strRef>
          </c:cat>
          <c:val>
            <c:numRef>
              <c:f>'Dashboard Peer Comparison'!$L$18:$L$25</c:f>
              <c:numCache>
                <c:formatCode>0.00</c:formatCode>
                <c:ptCount val="7"/>
                <c:pt idx="0">
                  <c:v>2.1</c:v>
                </c:pt>
                <c:pt idx="1">
                  <c:v>2.0499999999999998</c:v>
                </c:pt>
                <c:pt idx="2">
                  <c:v>2.1800000000000002</c:v>
                </c:pt>
                <c:pt idx="3">
                  <c:v>2.2599999999999998</c:v>
                </c:pt>
                <c:pt idx="4">
                  <c:v>2.33</c:v>
                </c:pt>
                <c:pt idx="5">
                  <c:v>2.5099999999999998</c:v>
                </c:pt>
                <c:pt idx="6">
                  <c:v>2.62</c:v>
                </c:pt>
              </c:numCache>
            </c:numRef>
          </c:val>
          <c:smooth val="0"/>
          <c:extLst>
            <c:ext xmlns:c16="http://schemas.microsoft.com/office/drawing/2014/chart" uri="{C3380CC4-5D6E-409C-BE32-E72D297353CC}">
              <c16:uniqueId val="{00000003-46FC-4C59-BC77-192CDB89A6F1}"/>
            </c:ext>
          </c:extLst>
        </c:ser>
        <c:dLbls>
          <c:showLegendKey val="0"/>
          <c:showVal val="0"/>
          <c:showCatName val="0"/>
          <c:showSerName val="0"/>
          <c:showPercent val="0"/>
          <c:showBubbleSize val="0"/>
        </c:dLbls>
        <c:smooth val="0"/>
        <c:axId val="483004911"/>
        <c:axId val="483008751"/>
      </c:lineChart>
      <c:catAx>
        <c:axId val="48300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08751"/>
        <c:crosses val="autoZero"/>
        <c:auto val="1"/>
        <c:lblAlgn val="ctr"/>
        <c:lblOffset val="100"/>
        <c:noMultiLvlLbl val="0"/>
      </c:catAx>
      <c:valAx>
        <c:axId val="4830087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0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[ADITI EABV CIPLA 25PGDMFM047.xlsx]Dashboard Peer Comparison!PivotTable10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a:t>
            </a:r>
            <a:r>
              <a:rPr lang="en-IN" baseline="0"/>
              <a:t> Ratio</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Peer Comparison'!$S$16:$S$17</c:f>
              <c:strCache>
                <c:ptCount val="1"/>
                <c:pt idx="0">
                  <c:v>Dr. Reddy</c:v>
                </c:pt>
              </c:strCache>
            </c:strRef>
          </c:tx>
          <c:spPr>
            <a:ln w="28575" cap="rnd">
              <a:solidFill>
                <a:schemeClr val="accent1"/>
              </a:solidFill>
              <a:round/>
            </a:ln>
            <a:effectLst/>
          </c:spPr>
          <c:marker>
            <c:symbol val="none"/>
          </c:marker>
          <c:cat>
            <c:strRef>
              <c:f>'Dashboard Peer Comparison'!$R$18:$R$25</c:f>
              <c:strCache>
                <c:ptCount val="7"/>
                <c:pt idx="0">
                  <c:v>2019</c:v>
                </c:pt>
                <c:pt idx="1">
                  <c:v>2020</c:v>
                </c:pt>
                <c:pt idx="2">
                  <c:v>2021</c:v>
                </c:pt>
                <c:pt idx="3">
                  <c:v>2022</c:v>
                </c:pt>
                <c:pt idx="4">
                  <c:v>2023</c:v>
                </c:pt>
                <c:pt idx="5">
                  <c:v>2024</c:v>
                </c:pt>
                <c:pt idx="6">
                  <c:v>2025</c:v>
                </c:pt>
              </c:strCache>
            </c:strRef>
          </c:cat>
          <c:val>
            <c:numRef>
              <c:f>'Dashboard Peer Comparison'!$S$18:$S$25</c:f>
              <c:numCache>
                <c:formatCode>0.00</c:formatCode>
                <c:ptCount val="7"/>
                <c:pt idx="0">
                  <c:v>0.28000000000000003</c:v>
                </c:pt>
                <c:pt idx="1">
                  <c:v>0.22</c:v>
                </c:pt>
                <c:pt idx="2">
                  <c:v>0.16</c:v>
                </c:pt>
                <c:pt idx="3">
                  <c:v>0.12</c:v>
                </c:pt>
                <c:pt idx="4">
                  <c:v>0.08</c:v>
                </c:pt>
                <c:pt idx="5">
                  <c:v>0.05</c:v>
                </c:pt>
                <c:pt idx="6">
                  <c:v>0.04</c:v>
                </c:pt>
              </c:numCache>
            </c:numRef>
          </c:val>
          <c:smooth val="0"/>
          <c:extLst>
            <c:ext xmlns:c16="http://schemas.microsoft.com/office/drawing/2014/chart" uri="{C3380CC4-5D6E-409C-BE32-E72D297353CC}">
              <c16:uniqueId val="{00000000-36A1-4A3F-B723-AC2FAFFAA4D6}"/>
            </c:ext>
          </c:extLst>
        </c:ser>
        <c:ser>
          <c:idx val="1"/>
          <c:order val="1"/>
          <c:tx>
            <c:strRef>
              <c:f>'Dashboard Peer Comparison'!$T$16:$T$17</c:f>
              <c:strCache>
                <c:ptCount val="1"/>
                <c:pt idx="0">
                  <c:v>Lupin</c:v>
                </c:pt>
              </c:strCache>
            </c:strRef>
          </c:tx>
          <c:spPr>
            <a:ln w="28575" cap="rnd">
              <a:solidFill>
                <a:schemeClr val="accent2"/>
              </a:solidFill>
              <a:round/>
            </a:ln>
            <a:effectLst/>
          </c:spPr>
          <c:marker>
            <c:symbol val="none"/>
          </c:marker>
          <c:cat>
            <c:strRef>
              <c:f>'Dashboard Peer Comparison'!$R$18:$R$25</c:f>
              <c:strCache>
                <c:ptCount val="7"/>
                <c:pt idx="0">
                  <c:v>2019</c:v>
                </c:pt>
                <c:pt idx="1">
                  <c:v>2020</c:v>
                </c:pt>
                <c:pt idx="2">
                  <c:v>2021</c:v>
                </c:pt>
                <c:pt idx="3">
                  <c:v>2022</c:v>
                </c:pt>
                <c:pt idx="4">
                  <c:v>2023</c:v>
                </c:pt>
                <c:pt idx="5">
                  <c:v>2024</c:v>
                </c:pt>
                <c:pt idx="6">
                  <c:v>2025</c:v>
                </c:pt>
              </c:strCache>
            </c:strRef>
          </c:cat>
          <c:val>
            <c:numRef>
              <c:f>'Dashboard Peer Comparison'!$T$18:$T$25</c:f>
              <c:numCache>
                <c:formatCode>0.00</c:formatCode>
                <c:ptCount val="7"/>
                <c:pt idx="0">
                  <c:v>0.41</c:v>
                </c:pt>
                <c:pt idx="1">
                  <c:v>0.38</c:v>
                </c:pt>
                <c:pt idx="2">
                  <c:v>0.32</c:v>
                </c:pt>
                <c:pt idx="3">
                  <c:v>0.26</c:v>
                </c:pt>
                <c:pt idx="4">
                  <c:v>0.18</c:v>
                </c:pt>
                <c:pt idx="5">
                  <c:v>0.12</c:v>
                </c:pt>
                <c:pt idx="6">
                  <c:v>0.06</c:v>
                </c:pt>
              </c:numCache>
            </c:numRef>
          </c:val>
          <c:smooth val="0"/>
          <c:extLst>
            <c:ext xmlns:c16="http://schemas.microsoft.com/office/drawing/2014/chart" uri="{C3380CC4-5D6E-409C-BE32-E72D297353CC}">
              <c16:uniqueId val="{00000001-36A1-4A3F-B723-AC2FAFFAA4D6}"/>
            </c:ext>
          </c:extLst>
        </c:ser>
        <c:ser>
          <c:idx val="2"/>
          <c:order val="2"/>
          <c:tx>
            <c:strRef>
              <c:f>'Dashboard Peer Comparison'!$U$16:$U$17</c:f>
              <c:strCache>
                <c:ptCount val="1"/>
                <c:pt idx="0">
                  <c:v>Sun pharma</c:v>
                </c:pt>
              </c:strCache>
            </c:strRef>
          </c:tx>
          <c:spPr>
            <a:ln w="28575" cap="rnd">
              <a:solidFill>
                <a:schemeClr val="accent3"/>
              </a:solidFill>
              <a:round/>
            </a:ln>
            <a:effectLst/>
          </c:spPr>
          <c:marker>
            <c:symbol val="none"/>
          </c:marker>
          <c:cat>
            <c:strRef>
              <c:f>'Dashboard Peer Comparison'!$R$18:$R$25</c:f>
              <c:strCache>
                <c:ptCount val="7"/>
                <c:pt idx="0">
                  <c:v>2019</c:v>
                </c:pt>
                <c:pt idx="1">
                  <c:v>2020</c:v>
                </c:pt>
                <c:pt idx="2">
                  <c:v>2021</c:v>
                </c:pt>
                <c:pt idx="3">
                  <c:v>2022</c:v>
                </c:pt>
                <c:pt idx="4">
                  <c:v>2023</c:v>
                </c:pt>
                <c:pt idx="5">
                  <c:v>2024</c:v>
                </c:pt>
                <c:pt idx="6">
                  <c:v>2025</c:v>
                </c:pt>
              </c:strCache>
            </c:strRef>
          </c:cat>
          <c:val>
            <c:numRef>
              <c:f>'Dashboard Peer Comparison'!$U$18:$U$25</c:f>
              <c:numCache>
                <c:formatCode>0.00</c:formatCode>
                <c:ptCount val="7"/>
                <c:pt idx="0">
                  <c:v>0.06</c:v>
                </c:pt>
                <c:pt idx="1">
                  <c:v>0.05</c:v>
                </c:pt>
                <c:pt idx="2">
                  <c:v>0.04</c:v>
                </c:pt>
                <c:pt idx="3">
                  <c:v>0.03</c:v>
                </c:pt>
                <c:pt idx="4">
                  <c:v>0.02</c:v>
                </c:pt>
                <c:pt idx="5">
                  <c:v>0.01</c:v>
                </c:pt>
                <c:pt idx="6">
                  <c:v>0</c:v>
                </c:pt>
              </c:numCache>
            </c:numRef>
          </c:val>
          <c:smooth val="0"/>
          <c:extLst>
            <c:ext xmlns:c16="http://schemas.microsoft.com/office/drawing/2014/chart" uri="{C3380CC4-5D6E-409C-BE32-E72D297353CC}">
              <c16:uniqueId val="{00000002-36A1-4A3F-B723-AC2FAFFAA4D6}"/>
            </c:ext>
          </c:extLst>
        </c:ser>
        <c:ser>
          <c:idx val="3"/>
          <c:order val="3"/>
          <c:tx>
            <c:strRef>
              <c:f>'Dashboard Peer Comparison'!$V$16:$V$17</c:f>
              <c:strCache>
                <c:ptCount val="1"/>
                <c:pt idx="0">
                  <c:v>Zydus </c:v>
                </c:pt>
              </c:strCache>
            </c:strRef>
          </c:tx>
          <c:spPr>
            <a:ln w="28575" cap="rnd">
              <a:solidFill>
                <a:schemeClr val="accent4"/>
              </a:solidFill>
              <a:round/>
            </a:ln>
            <a:effectLst/>
          </c:spPr>
          <c:marker>
            <c:symbol val="none"/>
          </c:marker>
          <c:cat>
            <c:strRef>
              <c:f>'Dashboard Peer Comparison'!$R$18:$R$25</c:f>
              <c:strCache>
                <c:ptCount val="7"/>
                <c:pt idx="0">
                  <c:v>2019</c:v>
                </c:pt>
                <c:pt idx="1">
                  <c:v>2020</c:v>
                </c:pt>
                <c:pt idx="2">
                  <c:v>2021</c:v>
                </c:pt>
                <c:pt idx="3">
                  <c:v>2022</c:v>
                </c:pt>
                <c:pt idx="4">
                  <c:v>2023</c:v>
                </c:pt>
                <c:pt idx="5">
                  <c:v>2024</c:v>
                </c:pt>
                <c:pt idx="6">
                  <c:v>2025</c:v>
                </c:pt>
              </c:strCache>
            </c:strRef>
          </c:cat>
          <c:val>
            <c:numRef>
              <c:f>'Dashboard Peer Comparison'!$V$18:$V$25</c:f>
              <c:numCache>
                <c:formatCode>0.00</c:formatCode>
                <c:ptCount val="7"/>
                <c:pt idx="0">
                  <c:v>0.22</c:v>
                </c:pt>
                <c:pt idx="1">
                  <c:v>0.2</c:v>
                </c:pt>
                <c:pt idx="2">
                  <c:v>0.17</c:v>
                </c:pt>
                <c:pt idx="3">
                  <c:v>0.14000000000000001</c:v>
                </c:pt>
                <c:pt idx="4">
                  <c:v>0.09</c:v>
                </c:pt>
                <c:pt idx="5">
                  <c:v>0.06</c:v>
                </c:pt>
                <c:pt idx="6">
                  <c:v>0.04</c:v>
                </c:pt>
              </c:numCache>
            </c:numRef>
          </c:val>
          <c:smooth val="0"/>
          <c:extLst>
            <c:ext xmlns:c16="http://schemas.microsoft.com/office/drawing/2014/chart" uri="{C3380CC4-5D6E-409C-BE32-E72D297353CC}">
              <c16:uniqueId val="{00000003-36A1-4A3F-B723-AC2FAFFAA4D6}"/>
            </c:ext>
          </c:extLst>
        </c:ser>
        <c:dLbls>
          <c:showLegendKey val="0"/>
          <c:showVal val="0"/>
          <c:showCatName val="0"/>
          <c:showSerName val="0"/>
          <c:showPercent val="0"/>
          <c:showBubbleSize val="0"/>
        </c:dLbls>
        <c:smooth val="0"/>
        <c:axId val="483022191"/>
        <c:axId val="483025551"/>
      </c:lineChart>
      <c:catAx>
        <c:axId val="48302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25551"/>
        <c:crosses val="autoZero"/>
        <c:auto val="1"/>
        <c:lblAlgn val="ctr"/>
        <c:lblOffset val="100"/>
        <c:noMultiLvlLbl val="0"/>
      </c:catAx>
      <c:valAx>
        <c:axId val="483025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2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[ADITI EABV CIPLA 25PGDMFM047.xlsx]Dashboard Peer Comparison!PivotTable11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ICR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Peer Comparison'!$B$28:$B$29</c:f>
              <c:strCache>
                <c:ptCount val="1"/>
                <c:pt idx="0">
                  <c:v>Dr. Reddy</c:v>
                </c:pt>
              </c:strCache>
            </c:strRef>
          </c:tx>
          <c:spPr>
            <a:ln w="28575" cap="rnd">
              <a:solidFill>
                <a:schemeClr val="accent1"/>
              </a:solidFill>
              <a:round/>
            </a:ln>
            <a:effectLst/>
          </c:spPr>
          <c:marker>
            <c:symbol val="none"/>
          </c:marker>
          <c:cat>
            <c:strRef>
              <c:f>'Dashboard Peer Comparison'!$A$30:$A$37</c:f>
              <c:strCache>
                <c:ptCount val="7"/>
                <c:pt idx="0">
                  <c:v>2019</c:v>
                </c:pt>
                <c:pt idx="1">
                  <c:v>2020</c:v>
                </c:pt>
                <c:pt idx="2">
                  <c:v>2021</c:v>
                </c:pt>
                <c:pt idx="3">
                  <c:v>2022</c:v>
                </c:pt>
                <c:pt idx="4">
                  <c:v>2023</c:v>
                </c:pt>
                <c:pt idx="5">
                  <c:v>2024</c:v>
                </c:pt>
                <c:pt idx="6">
                  <c:v>2025</c:v>
                </c:pt>
              </c:strCache>
            </c:strRef>
          </c:cat>
          <c:val>
            <c:numRef>
              <c:f>'Dashboard Peer Comparison'!$B$30:$B$37</c:f>
              <c:numCache>
                <c:formatCode>0.00</c:formatCode>
                <c:ptCount val="7"/>
                <c:pt idx="0">
                  <c:v>7.8</c:v>
                </c:pt>
                <c:pt idx="1">
                  <c:v>9.6</c:v>
                </c:pt>
                <c:pt idx="2">
                  <c:v>11.4</c:v>
                </c:pt>
                <c:pt idx="3">
                  <c:v>14.2</c:v>
                </c:pt>
                <c:pt idx="4">
                  <c:v>18.5</c:v>
                </c:pt>
                <c:pt idx="5">
                  <c:v>25.1</c:v>
                </c:pt>
                <c:pt idx="6">
                  <c:v>31.4</c:v>
                </c:pt>
              </c:numCache>
            </c:numRef>
          </c:val>
          <c:smooth val="0"/>
          <c:extLst>
            <c:ext xmlns:c16="http://schemas.microsoft.com/office/drawing/2014/chart" uri="{C3380CC4-5D6E-409C-BE32-E72D297353CC}">
              <c16:uniqueId val="{00000000-39CF-451A-AE1C-2D742B8CDEC1}"/>
            </c:ext>
          </c:extLst>
        </c:ser>
        <c:ser>
          <c:idx val="1"/>
          <c:order val="1"/>
          <c:tx>
            <c:strRef>
              <c:f>'Dashboard Peer Comparison'!$C$28:$C$29</c:f>
              <c:strCache>
                <c:ptCount val="1"/>
                <c:pt idx="0">
                  <c:v>Lupin</c:v>
                </c:pt>
              </c:strCache>
            </c:strRef>
          </c:tx>
          <c:spPr>
            <a:ln w="28575" cap="rnd">
              <a:solidFill>
                <a:schemeClr val="accent2"/>
              </a:solidFill>
              <a:round/>
            </a:ln>
            <a:effectLst/>
          </c:spPr>
          <c:marker>
            <c:symbol val="none"/>
          </c:marker>
          <c:cat>
            <c:strRef>
              <c:f>'Dashboard Peer Comparison'!$A$30:$A$37</c:f>
              <c:strCache>
                <c:ptCount val="7"/>
                <c:pt idx="0">
                  <c:v>2019</c:v>
                </c:pt>
                <c:pt idx="1">
                  <c:v>2020</c:v>
                </c:pt>
                <c:pt idx="2">
                  <c:v>2021</c:v>
                </c:pt>
                <c:pt idx="3">
                  <c:v>2022</c:v>
                </c:pt>
                <c:pt idx="4">
                  <c:v>2023</c:v>
                </c:pt>
                <c:pt idx="5">
                  <c:v>2024</c:v>
                </c:pt>
                <c:pt idx="6">
                  <c:v>2025</c:v>
                </c:pt>
              </c:strCache>
            </c:strRef>
          </c:cat>
          <c:val>
            <c:numRef>
              <c:f>'Dashboard Peer Comparison'!$C$30:$C$37</c:f>
              <c:numCache>
                <c:formatCode>0.00</c:formatCode>
                <c:ptCount val="7"/>
                <c:pt idx="0">
                  <c:v>5.8</c:v>
                </c:pt>
                <c:pt idx="1">
                  <c:v>6.2</c:v>
                </c:pt>
                <c:pt idx="2">
                  <c:v>7.4</c:v>
                </c:pt>
                <c:pt idx="3">
                  <c:v>8.8000000000000007</c:v>
                </c:pt>
                <c:pt idx="4">
                  <c:v>12.5</c:v>
                </c:pt>
                <c:pt idx="5">
                  <c:v>17.8</c:v>
                </c:pt>
                <c:pt idx="6">
                  <c:v>24.3</c:v>
                </c:pt>
              </c:numCache>
            </c:numRef>
          </c:val>
          <c:smooth val="0"/>
          <c:extLst>
            <c:ext xmlns:c16="http://schemas.microsoft.com/office/drawing/2014/chart" uri="{C3380CC4-5D6E-409C-BE32-E72D297353CC}">
              <c16:uniqueId val="{00000001-39CF-451A-AE1C-2D742B8CDEC1}"/>
            </c:ext>
          </c:extLst>
        </c:ser>
        <c:ser>
          <c:idx val="2"/>
          <c:order val="2"/>
          <c:tx>
            <c:strRef>
              <c:f>'Dashboard Peer Comparison'!$D$28:$D$29</c:f>
              <c:strCache>
                <c:ptCount val="1"/>
                <c:pt idx="0">
                  <c:v>Sun pharma</c:v>
                </c:pt>
              </c:strCache>
            </c:strRef>
          </c:tx>
          <c:spPr>
            <a:ln w="28575" cap="rnd">
              <a:solidFill>
                <a:schemeClr val="accent3"/>
              </a:solidFill>
              <a:round/>
            </a:ln>
            <a:effectLst/>
          </c:spPr>
          <c:marker>
            <c:symbol val="none"/>
          </c:marker>
          <c:cat>
            <c:strRef>
              <c:f>'Dashboard Peer Comparison'!$A$30:$A$37</c:f>
              <c:strCache>
                <c:ptCount val="7"/>
                <c:pt idx="0">
                  <c:v>2019</c:v>
                </c:pt>
                <c:pt idx="1">
                  <c:v>2020</c:v>
                </c:pt>
                <c:pt idx="2">
                  <c:v>2021</c:v>
                </c:pt>
                <c:pt idx="3">
                  <c:v>2022</c:v>
                </c:pt>
                <c:pt idx="4">
                  <c:v>2023</c:v>
                </c:pt>
                <c:pt idx="5">
                  <c:v>2024</c:v>
                </c:pt>
                <c:pt idx="6">
                  <c:v>2025</c:v>
                </c:pt>
              </c:strCache>
            </c:strRef>
          </c:cat>
          <c:val>
            <c:numRef>
              <c:f>'Dashboard Peer Comparison'!$D$30:$D$37</c:f>
              <c:numCache>
                <c:formatCode>0.00</c:formatCode>
                <c:ptCount val="7"/>
                <c:pt idx="0">
                  <c:v>10.1</c:v>
                </c:pt>
                <c:pt idx="1">
                  <c:v>11.4</c:v>
                </c:pt>
                <c:pt idx="2">
                  <c:v>12.8</c:v>
                </c:pt>
                <c:pt idx="3">
                  <c:v>16.2</c:v>
                </c:pt>
                <c:pt idx="4">
                  <c:v>21.3</c:v>
                </c:pt>
                <c:pt idx="5">
                  <c:v>28.4</c:v>
                </c:pt>
                <c:pt idx="6">
                  <c:v>35.1</c:v>
                </c:pt>
              </c:numCache>
            </c:numRef>
          </c:val>
          <c:smooth val="0"/>
          <c:extLst>
            <c:ext xmlns:c16="http://schemas.microsoft.com/office/drawing/2014/chart" uri="{C3380CC4-5D6E-409C-BE32-E72D297353CC}">
              <c16:uniqueId val="{00000002-39CF-451A-AE1C-2D742B8CDEC1}"/>
            </c:ext>
          </c:extLst>
        </c:ser>
        <c:ser>
          <c:idx val="3"/>
          <c:order val="3"/>
          <c:tx>
            <c:strRef>
              <c:f>'Dashboard Peer Comparison'!$E$28:$E$29</c:f>
              <c:strCache>
                <c:ptCount val="1"/>
                <c:pt idx="0">
                  <c:v>Zydus </c:v>
                </c:pt>
              </c:strCache>
            </c:strRef>
          </c:tx>
          <c:spPr>
            <a:ln w="28575" cap="rnd">
              <a:solidFill>
                <a:schemeClr val="accent4"/>
              </a:solidFill>
              <a:round/>
            </a:ln>
            <a:effectLst/>
          </c:spPr>
          <c:marker>
            <c:symbol val="none"/>
          </c:marker>
          <c:cat>
            <c:strRef>
              <c:f>'Dashboard Peer Comparison'!$A$30:$A$37</c:f>
              <c:strCache>
                <c:ptCount val="7"/>
                <c:pt idx="0">
                  <c:v>2019</c:v>
                </c:pt>
                <c:pt idx="1">
                  <c:v>2020</c:v>
                </c:pt>
                <c:pt idx="2">
                  <c:v>2021</c:v>
                </c:pt>
                <c:pt idx="3">
                  <c:v>2022</c:v>
                </c:pt>
                <c:pt idx="4">
                  <c:v>2023</c:v>
                </c:pt>
                <c:pt idx="5">
                  <c:v>2024</c:v>
                </c:pt>
                <c:pt idx="6">
                  <c:v>2025</c:v>
                </c:pt>
              </c:strCache>
            </c:strRef>
          </c:cat>
          <c:val>
            <c:numRef>
              <c:f>'Dashboard Peer Comparison'!$E$30:$E$37</c:f>
              <c:numCache>
                <c:formatCode>0.00</c:formatCode>
                <c:ptCount val="7"/>
                <c:pt idx="0">
                  <c:v>8.4</c:v>
                </c:pt>
                <c:pt idx="1">
                  <c:v>9.1</c:v>
                </c:pt>
                <c:pt idx="2">
                  <c:v>10.199999999999999</c:v>
                </c:pt>
                <c:pt idx="3">
                  <c:v>12.5</c:v>
                </c:pt>
                <c:pt idx="4">
                  <c:v>17.8</c:v>
                </c:pt>
                <c:pt idx="5">
                  <c:v>22.4</c:v>
                </c:pt>
                <c:pt idx="6">
                  <c:v>28.6</c:v>
                </c:pt>
              </c:numCache>
            </c:numRef>
          </c:val>
          <c:smooth val="0"/>
          <c:extLst>
            <c:ext xmlns:c16="http://schemas.microsoft.com/office/drawing/2014/chart" uri="{C3380CC4-5D6E-409C-BE32-E72D297353CC}">
              <c16:uniqueId val="{00000003-39CF-451A-AE1C-2D742B8CDEC1}"/>
            </c:ext>
          </c:extLst>
        </c:ser>
        <c:dLbls>
          <c:showLegendKey val="0"/>
          <c:showVal val="0"/>
          <c:showCatName val="0"/>
          <c:showSerName val="0"/>
          <c:showPercent val="0"/>
          <c:showBubbleSize val="0"/>
        </c:dLbls>
        <c:smooth val="0"/>
        <c:axId val="483048591"/>
        <c:axId val="483040431"/>
      </c:lineChart>
      <c:catAx>
        <c:axId val="48304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40431"/>
        <c:crosses val="autoZero"/>
        <c:auto val="1"/>
        <c:lblAlgn val="ctr"/>
        <c:lblOffset val="100"/>
        <c:noMultiLvlLbl val="0"/>
      </c:catAx>
      <c:valAx>
        <c:axId val="483040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4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[ADITI EABV CIPLA 25PGDMFM047.xlsx]Dashboard Peer Comparison!PivotTable12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Asset</a:t>
            </a:r>
            <a:r>
              <a:rPr lang="en-IN" baseline="0"/>
              <a:t> Turnover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Peer Comparison'!$I$29:$I$30</c:f>
              <c:strCache>
                <c:ptCount val="1"/>
                <c:pt idx="0">
                  <c:v>Dr. Reddy</c:v>
                </c:pt>
              </c:strCache>
            </c:strRef>
          </c:tx>
          <c:spPr>
            <a:ln w="28575" cap="rnd">
              <a:solidFill>
                <a:schemeClr val="accent1"/>
              </a:solidFill>
              <a:round/>
            </a:ln>
            <a:effectLst/>
          </c:spPr>
          <c:marker>
            <c:symbol val="none"/>
          </c:marker>
          <c:cat>
            <c:strRef>
              <c:f>'Dashboard Peer Comparison'!$H$31:$H$38</c:f>
              <c:strCache>
                <c:ptCount val="7"/>
                <c:pt idx="0">
                  <c:v>2019</c:v>
                </c:pt>
                <c:pt idx="1">
                  <c:v>2020</c:v>
                </c:pt>
                <c:pt idx="2">
                  <c:v>2021</c:v>
                </c:pt>
                <c:pt idx="3">
                  <c:v>2022</c:v>
                </c:pt>
                <c:pt idx="4">
                  <c:v>2023</c:v>
                </c:pt>
                <c:pt idx="5">
                  <c:v>2024</c:v>
                </c:pt>
                <c:pt idx="6">
                  <c:v>2025</c:v>
                </c:pt>
              </c:strCache>
            </c:strRef>
          </c:cat>
          <c:val>
            <c:numRef>
              <c:f>'Dashboard Peer Comparison'!$I$31:$I$38</c:f>
              <c:numCache>
                <c:formatCode>0.00</c:formatCode>
                <c:ptCount val="7"/>
                <c:pt idx="0">
                  <c:v>0.56000000000000005</c:v>
                </c:pt>
                <c:pt idx="1">
                  <c:v>0.6</c:v>
                </c:pt>
                <c:pt idx="2">
                  <c:v>0.62</c:v>
                </c:pt>
                <c:pt idx="3">
                  <c:v>0.65</c:v>
                </c:pt>
                <c:pt idx="4">
                  <c:v>0.7</c:v>
                </c:pt>
                <c:pt idx="5">
                  <c:v>0.74</c:v>
                </c:pt>
                <c:pt idx="6">
                  <c:v>0.77</c:v>
                </c:pt>
              </c:numCache>
            </c:numRef>
          </c:val>
          <c:smooth val="0"/>
          <c:extLst>
            <c:ext xmlns:c16="http://schemas.microsoft.com/office/drawing/2014/chart" uri="{C3380CC4-5D6E-409C-BE32-E72D297353CC}">
              <c16:uniqueId val="{00000000-05A6-48E8-816A-73D5F98D3F05}"/>
            </c:ext>
          </c:extLst>
        </c:ser>
        <c:ser>
          <c:idx val="1"/>
          <c:order val="1"/>
          <c:tx>
            <c:strRef>
              <c:f>'Dashboard Peer Comparison'!$J$29:$J$30</c:f>
              <c:strCache>
                <c:ptCount val="1"/>
                <c:pt idx="0">
                  <c:v>Lupin</c:v>
                </c:pt>
              </c:strCache>
            </c:strRef>
          </c:tx>
          <c:spPr>
            <a:ln w="28575" cap="rnd">
              <a:solidFill>
                <a:schemeClr val="accent2"/>
              </a:solidFill>
              <a:round/>
            </a:ln>
            <a:effectLst/>
          </c:spPr>
          <c:marker>
            <c:symbol val="none"/>
          </c:marker>
          <c:cat>
            <c:strRef>
              <c:f>'Dashboard Peer Comparison'!$H$31:$H$38</c:f>
              <c:strCache>
                <c:ptCount val="7"/>
                <c:pt idx="0">
                  <c:v>2019</c:v>
                </c:pt>
                <c:pt idx="1">
                  <c:v>2020</c:v>
                </c:pt>
                <c:pt idx="2">
                  <c:v>2021</c:v>
                </c:pt>
                <c:pt idx="3">
                  <c:v>2022</c:v>
                </c:pt>
                <c:pt idx="4">
                  <c:v>2023</c:v>
                </c:pt>
                <c:pt idx="5">
                  <c:v>2024</c:v>
                </c:pt>
                <c:pt idx="6">
                  <c:v>2025</c:v>
                </c:pt>
              </c:strCache>
            </c:strRef>
          </c:cat>
          <c:val>
            <c:numRef>
              <c:f>'Dashboard Peer Comparison'!$J$31:$J$38</c:f>
              <c:numCache>
                <c:formatCode>0.00</c:formatCode>
                <c:ptCount val="7"/>
                <c:pt idx="0">
                  <c:v>0.57999999999999996</c:v>
                </c:pt>
                <c:pt idx="1">
                  <c:v>0.56999999999999995</c:v>
                </c:pt>
                <c:pt idx="2">
                  <c:v>0.52</c:v>
                </c:pt>
                <c:pt idx="3">
                  <c:v>0.55000000000000004</c:v>
                </c:pt>
                <c:pt idx="4">
                  <c:v>0.59</c:v>
                </c:pt>
                <c:pt idx="5">
                  <c:v>0.64</c:v>
                </c:pt>
                <c:pt idx="6">
                  <c:v>0.7</c:v>
                </c:pt>
              </c:numCache>
            </c:numRef>
          </c:val>
          <c:smooth val="0"/>
          <c:extLst>
            <c:ext xmlns:c16="http://schemas.microsoft.com/office/drawing/2014/chart" uri="{C3380CC4-5D6E-409C-BE32-E72D297353CC}">
              <c16:uniqueId val="{00000001-05A6-48E8-816A-73D5F98D3F05}"/>
            </c:ext>
          </c:extLst>
        </c:ser>
        <c:ser>
          <c:idx val="2"/>
          <c:order val="2"/>
          <c:tx>
            <c:strRef>
              <c:f>'Dashboard Peer Comparison'!$K$29:$K$30</c:f>
              <c:strCache>
                <c:ptCount val="1"/>
                <c:pt idx="0">
                  <c:v>Sun pharma</c:v>
                </c:pt>
              </c:strCache>
            </c:strRef>
          </c:tx>
          <c:spPr>
            <a:ln w="28575" cap="rnd">
              <a:solidFill>
                <a:schemeClr val="accent3"/>
              </a:solidFill>
              <a:round/>
            </a:ln>
            <a:effectLst/>
          </c:spPr>
          <c:marker>
            <c:symbol val="none"/>
          </c:marker>
          <c:cat>
            <c:strRef>
              <c:f>'Dashboard Peer Comparison'!$H$31:$H$38</c:f>
              <c:strCache>
                <c:ptCount val="7"/>
                <c:pt idx="0">
                  <c:v>2019</c:v>
                </c:pt>
                <c:pt idx="1">
                  <c:v>2020</c:v>
                </c:pt>
                <c:pt idx="2">
                  <c:v>2021</c:v>
                </c:pt>
                <c:pt idx="3">
                  <c:v>2022</c:v>
                </c:pt>
                <c:pt idx="4">
                  <c:v>2023</c:v>
                </c:pt>
                <c:pt idx="5">
                  <c:v>2024</c:v>
                </c:pt>
                <c:pt idx="6">
                  <c:v>2025</c:v>
                </c:pt>
              </c:strCache>
            </c:strRef>
          </c:cat>
          <c:val>
            <c:numRef>
              <c:f>'Dashboard Peer Comparison'!$K$31:$K$38</c:f>
              <c:numCache>
                <c:formatCode>0.00</c:formatCode>
                <c:ptCount val="7"/>
                <c:pt idx="0">
                  <c:v>0.38</c:v>
                </c:pt>
                <c:pt idx="1">
                  <c:v>0.4</c:v>
                </c:pt>
                <c:pt idx="2">
                  <c:v>0.38</c:v>
                </c:pt>
                <c:pt idx="3">
                  <c:v>0.42</c:v>
                </c:pt>
                <c:pt idx="4">
                  <c:v>0.44</c:v>
                </c:pt>
                <c:pt idx="5">
                  <c:v>0.46</c:v>
                </c:pt>
                <c:pt idx="6">
                  <c:v>0.48</c:v>
                </c:pt>
              </c:numCache>
            </c:numRef>
          </c:val>
          <c:smooth val="0"/>
          <c:extLst>
            <c:ext xmlns:c16="http://schemas.microsoft.com/office/drawing/2014/chart" uri="{C3380CC4-5D6E-409C-BE32-E72D297353CC}">
              <c16:uniqueId val="{00000002-05A6-48E8-816A-73D5F98D3F05}"/>
            </c:ext>
          </c:extLst>
        </c:ser>
        <c:ser>
          <c:idx val="3"/>
          <c:order val="3"/>
          <c:tx>
            <c:strRef>
              <c:f>'Dashboard Peer Comparison'!$L$29:$L$30</c:f>
              <c:strCache>
                <c:ptCount val="1"/>
                <c:pt idx="0">
                  <c:v>Zydus </c:v>
                </c:pt>
              </c:strCache>
            </c:strRef>
          </c:tx>
          <c:spPr>
            <a:ln w="28575" cap="rnd">
              <a:solidFill>
                <a:schemeClr val="accent4"/>
              </a:solidFill>
              <a:round/>
            </a:ln>
            <a:effectLst/>
          </c:spPr>
          <c:marker>
            <c:symbol val="none"/>
          </c:marker>
          <c:cat>
            <c:strRef>
              <c:f>'Dashboard Peer Comparison'!$H$31:$H$38</c:f>
              <c:strCache>
                <c:ptCount val="7"/>
                <c:pt idx="0">
                  <c:v>2019</c:v>
                </c:pt>
                <c:pt idx="1">
                  <c:v>2020</c:v>
                </c:pt>
                <c:pt idx="2">
                  <c:v>2021</c:v>
                </c:pt>
                <c:pt idx="3">
                  <c:v>2022</c:v>
                </c:pt>
                <c:pt idx="4">
                  <c:v>2023</c:v>
                </c:pt>
                <c:pt idx="5">
                  <c:v>2024</c:v>
                </c:pt>
                <c:pt idx="6">
                  <c:v>2025</c:v>
                </c:pt>
              </c:strCache>
            </c:strRef>
          </c:cat>
          <c:val>
            <c:numRef>
              <c:f>'Dashboard Peer Comparison'!$L$31:$L$38</c:f>
              <c:numCache>
                <c:formatCode>0.00</c:formatCode>
                <c:ptCount val="7"/>
                <c:pt idx="0">
                  <c:v>0.68</c:v>
                </c:pt>
                <c:pt idx="1">
                  <c:v>0.65</c:v>
                </c:pt>
                <c:pt idx="2">
                  <c:v>0.62</c:v>
                </c:pt>
                <c:pt idx="3">
                  <c:v>0.64</c:v>
                </c:pt>
                <c:pt idx="4">
                  <c:v>0.72</c:v>
                </c:pt>
                <c:pt idx="5">
                  <c:v>0.78</c:v>
                </c:pt>
                <c:pt idx="6">
                  <c:v>0.82</c:v>
                </c:pt>
              </c:numCache>
            </c:numRef>
          </c:val>
          <c:smooth val="0"/>
          <c:extLst>
            <c:ext xmlns:c16="http://schemas.microsoft.com/office/drawing/2014/chart" uri="{C3380CC4-5D6E-409C-BE32-E72D297353CC}">
              <c16:uniqueId val="{00000003-05A6-48E8-816A-73D5F98D3F05}"/>
            </c:ext>
          </c:extLst>
        </c:ser>
        <c:dLbls>
          <c:showLegendKey val="0"/>
          <c:showVal val="0"/>
          <c:showCatName val="0"/>
          <c:showSerName val="0"/>
          <c:showPercent val="0"/>
          <c:showBubbleSize val="0"/>
        </c:dLbls>
        <c:smooth val="0"/>
        <c:axId val="483061551"/>
        <c:axId val="483062511"/>
      </c:lineChart>
      <c:catAx>
        <c:axId val="4830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62511"/>
        <c:crosses val="autoZero"/>
        <c:auto val="1"/>
        <c:lblAlgn val="ctr"/>
        <c:lblOffset val="100"/>
        <c:noMultiLvlLbl val="0"/>
      </c:catAx>
      <c:valAx>
        <c:axId val="4830625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6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0</xdr:colOff>
      <xdr:row>16</xdr:row>
      <xdr:rowOff>0</xdr:rowOff>
    </xdr:from>
    <xdr:to>
      <xdr:col>12</xdr:col>
      <xdr:colOff>575310</xdr:colOff>
      <xdr:row>30</xdr:row>
      <xdr:rowOff>34290</xdr:rowOff>
    </xdr:to>
    <xdr:graphicFrame macro="">
      <xdr:nvGraphicFramePr>
        <xdr:cNvPr id="2" name="Chart 1">
          <a:extLst>
            <a:ext uri="{FF2B5EF4-FFF2-40B4-BE49-F238E27FC236}">
              <a16:creationId xmlns:a16="http://schemas.microsoft.com/office/drawing/2014/main" id="{F4D6335B-2E69-4A32-91DA-496F798FD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5080</xdr:colOff>
      <xdr:row>2</xdr:row>
      <xdr:rowOff>186073</xdr:rowOff>
    </xdr:from>
    <xdr:to>
      <xdr:col>9</xdr:col>
      <xdr:colOff>604109</xdr:colOff>
      <xdr:row>16</xdr:row>
      <xdr:rowOff>178487</xdr:rowOff>
    </xdr:to>
    <xdr:graphicFrame macro="">
      <xdr:nvGraphicFramePr>
        <xdr:cNvPr id="2" name="Chart 1">
          <a:extLst>
            <a:ext uri="{FF2B5EF4-FFF2-40B4-BE49-F238E27FC236}">
              <a16:creationId xmlns:a16="http://schemas.microsoft.com/office/drawing/2014/main" id="{55510F05-D9EB-4A1E-A384-F98198099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10160</xdr:colOff>
      <xdr:row>1</xdr:row>
      <xdr:rowOff>162560</xdr:rowOff>
    </xdr:from>
    <xdr:to>
      <xdr:col>14</xdr:col>
      <xdr:colOff>142240</xdr:colOff>
      <xdr:row>16</xdr:row>
      <xdr:rowOff>101600</xdr:rowOff>
    </xdr:to>
    <xdr:graphicFrame macro="">
      <xdr:nvGraphicFramePr>
        <xdr:cNvPr id="2" name="Chart 1">
          <a:extLst>
            <a:ext uri="{FF2B5EF4-FFF2-40B4-BE49-F238E27FC236}">
              <a16:creationId xmlns:a16="http://schemas.microsoft.com/office/drawing/2014/main" id="{E35B6FF8-C75B-3BFD-A475-C37F1D3D2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7620</xdr:colOff>
      <xdr:row>0</xdr:row>
      <xdr:rowOff>163830</xdr:rowOff>
    </xdr:from>
    <xdr:to>
      <xdr:col>14</xdr:col>
      <xdr:colOff>251460</xdr:colOff>
      <xdr:row>13</xdr:row>
      <xdr:rowOff>7620</xdr:rowOff>
    </xdr:to>
    <xdr:graphicFrame macro="">
      <xdr:nvGraphicFramePr>
        <xdr:cNvPr id="2" name="Chart 1">
          <a:extLst>
            <a:ext uri="{FF2B5EF4-FFF2-40B4-BE49-F238E27FC236}">
              <a16:creationId xmlns:a16="http://schemas.microsoft.com/office/drawing/2014/main" id="{58A126ED-0D6C-01D4-C5A3-0D6209931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14</xdr:row>
      <xdr:rowOff>156210</xdr:rowOff>
    </xdr:from>
    <xdr:to>
      <xdr:col>6</xdr:col>
      <xdr:colOff>381000</xdr:colOff>
      <xdr:row>29</xdr:row>
      <xdr:rowOff>156210</xdr:rowOff>
    </xdr:to>
    <xdr:graphicFrame macro="">
      <xdr:nvGraphicFramePr>
        <xdr:cNvPr id="3" name="Chart 2">
          <a:extLst>
            <a:ext uri="{FF2B5EF4-FFF2-40B4-BE49-F238E27FC236}">
              <a16:creationId xmlns:a16="http://schemas.microsoft.com/office/drawing/2014/main" id="{93F483A8-50A9-4DC6-CD26-D13C42537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14</xdr:row>
      <xdr:rowOff>163830</xdr:rowOff>
    </xdr:from>
    <xdr:to>
      <xdr:col>15</xdr:col>
      <xdr:colOff>304800</xdr:colOff>
      <xdr:row>29</xdr:row>
      <xdr:rowOff>163830</xdr:rowOff>
    </xdr:to>
    <xdr:graphicFrame macro="">
      <xdr:nvGraphicFramePr>
        <xdr:cNvPr id="4" name="Chart 3">
          <a:extLst>
            <a:ext uri="{FF2B5EF4-FFF2-40B4-BE49-F238E27FC236}">
              <a16:creationId xmlns:a16="http://schemas.microsoft.com/office/drawing/2014/main" id="{8E72D8DC-05DB-9DD3-EE6C-2C4C9B8EF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121920</xdr:colOff>
      <xdr:row>17</xdr:row>
      <xdr:rowOff>0</xdr:rowOff>
    </xdr:from>
    <xdr:to>
      <xdr:col>8</xdr:col>
      <xdr:colOff>396240</xdr:colOff>
      <xdr:row>28</xdr:row>
      <xdr:rowOff>152400</xdr:rowOff>
    </xdr:to>
    <xdr:graphicFrame macro="">
      <xdr:nvGraphicFramePr>
        <xdr:cNvPr id="2" name="Chart 1">
          <a:extLst>
            <a:ext uri="{FF2B5EF4-FFF2-40B4-BE49-F238E27FC236}">
              <a16:creationId xmlns:a16="http://schemas.microsoft.com/office/drawing/2014/main" id="{6CF2D68D-B4F1-42D4-830A-CC7A3BDD7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137160</xdr:colOff>
      <xdr:row>2</xdr:row>
      <xdr:rowOff>30480</xdr:rowOff>
    </xdr:from>
    <xdr:to>
      <xdr:col>8</xdr:col>
      <xdr:colOff>335280</xdr:colOff>
      <xdr:row>16</xdr:row>
      <xdr:rowOff>83820</xdr:rowOff>
    </xdr:to>
    <xdr:graphicFrame macro="">
      <xdr:nvGraphicFramePr>
        <xdr:cNvPr id="3" name="Chart 2">
          <a:extLst>
            <a:ext uri="{FF2B5EF4-FFF2-40B4-BE49-F238E27FC236}">
              <a16:creationId xmlns:a16="http://schemas.microsoft.com/office/drawing/2014/main" id="{484940C0-CAC4-4B42-86AD-6AEB44809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396240</xdr:colOff>
      <xdr:row>2</xdr:row>
      <xdr:rowOff>7620</xdr:rowOff>
    </xdr:from>
    <xdr:to>
      <xdr:col>15</xdr:col>
      <xdr:colOff>137160</xdr:colOff>
      <xdr:row>16</xdr:row>
      <xdr:rowOff>106680</xdr:rowOff>
    </xdr:to>
    <xdr:graphicFrame macro="">
      <xdr:nvGraphicFramePr>
        <xdr:cNvPr id="4" name="Chart 3">
          <a:extLst>
            <a:ext uri="{FF2B5EF4-FFF2-40B4-BE49-F238E27FC236}">
              <a16:creationId xmlns:a16="http://schemas.microsoft.com/office/drawing/2014/main" id="{15127791-55DD-4F64-B62A-BCB79B90A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175260</xdr:colOff>
      <xdr:row>2</xdr:row>
      <xdr:rowOff>7620</xdr:rowOff>
    </xdr:from>
    <xdr:to>
      <xdr:col>20</xdr:col>
      <xdr:colOff>586740</xdr:colOff>
      <xdr:row>16</xdr:row>
      <xdr:rowOff>106680</xdr:rowOff>
    </xdr:to>
    <xdr:graphicFrame macro="">
      <xdr:nvGraphicFramePr>
        <xdr:cNvPr id="5" name="Chart 4">
          <a:extLst>
            <a:ext uri="{FF2B5EF4-FFF2-40B4-BE49-F238E27FC236}">
              <a16:creationId xmlns:a16="http://schemas.microsoft.com/office/drawing/2014/main" id="{7B4E4098-66BE-4DFF-BE8D-8B1EA3D0C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213360</xdr:colOff>
      <xdr:row>16</xdr:row>
      <xdr:rowOff>175260</xdr:rowOff>
    </xdr:from>
    <xdr:to>
      <xdr:col>20</xdr:col>
      <xdr:colOff>548640</xdr:colOff>
      <xdr:row>28</xdr:row>
      <xdr:rowOff>121920</xdr:rowOff>
    </xdr:to>
    <xdr:graphicFrame macro="">
      <xdr:nvGraphicFramePr>
        <xdr:cNvPr id="6" name="Chart 5">
          <a:extLst>
            <a:ext uri="{FF2B5EF4-FFF2-40B4-BE49-F238E27FC236}">
              <a16:creationId xmlns:a16="http://schemas.microsoft.com/office/drawing/2014/main" id="{EA7B0C28-60CA-41BA-8D8C-2421A02C3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480060</xdr:colOff>
      <xdr:row>16</xdr:row>
      <xdr:rowOff>167640</xdr:rowOff>
    </xdr:from>
    <xdr:to>
      <xdr:col>15</xdr:col>
      <xdr:colOff>99060</xdr:colOff>
      <xdr:row>28</xdr:row>
      <xdr:rowOff>121920</xdr:rowOff>
    </xdr:to>
    <xdr:graphicFrame macro="">
      <xdr:nvGraphicFramePr>
        <xdr:cNvPr id="7" name="Chart 6">
          <a:extLst>
            <a:ext uri="{FF2B5EF4-FFF2-40B4-BE49-F238E27FC236}">
              <a16:creationId xmlns:a16="http://schemas.microsoft.com/office/drawing/2014/main" id="{E353BA6B-7AB5-4E7D-BDD3-1D7E0532B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17145</xdr:colOff>
      <xdr:row>1</xdr:row>
      <xdr:rowOff>169545</xdr:rowOff>
    </xdr:from>
    <xdr:to>
      <xdr:col>27</xdr:col>
      <xdr:colOff>76200</xdr:colOff>
      <xdr:row>16</xdr:row>
      <xdr:rowOff>104775</xdr:rowOff>
    </xdr:to>
    <xdr:graphicFrame macro="">
      <xdr:nvGraphicFramePr>
        <xdr:cNvPr id="8" name="Chart 7">
          <a:extLst>
            <a:ext uri="{FF2B5EF4-FFF2-40B4-BE49-F238E27FC236}">
              <a16:creationId xmlns:a16="http://schemas.microsoft.com/office/drawing/2014/main" id="{20BA6269-9FC1-4F48-BB68-809541B0A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605790</xdr:colOff>
      <xdr:row>16</xdr:row>
      <xdr:rowOff>137160</xdr:rowOff>
    </xdr:from>
    <xdr:to>
      <xdr:col>26</xdr:col>
      <xdr:colOff>504825</xdr:colOff>
      <xdr:row>29</xdr:row>
      <xdr:rowOff>9525</xdr:rowOff>
    </xdr:to>
    <xdr:graphicFrame macro="">
      <xdr:nvGraphicFramePr>
        <xdr:cNvPr id="9" name="Chart 8">
          <a:extLst>
            <a:ext uri="{FF2B5EF4-FFF2-40B4-BE49-F238E27FC236}">
              <a16:creationId xmlns:a16="http://schemas.microsoft.com/office/drawing/2014/main" id="{CA180B05-F343-42C3-96B5-98A35F17D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14</xdr:row>
      <xdr:rowOff>158116</xdr:rowOff>
    </xdr:from>
    <xdr:to>
      <xdr:col>2</xdr:col>
      <xdr:colOff>53340</xdr:colOff>
      <xdr:row>27</xdr:row>
      <xdr:rowOff>45721</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A05FEAA6-1E89-4B95-AFE0-A659F856921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691766"/>
              <a:ext cx="1272540" cy="2240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7621</xdr:rowOff>
    </xdr:from>
    <xdr:to>
      <xdr:col>2</xdr:col>
      <xdr:colOff>76200</xdr:colOff>
      <xdr:row>14</xdr:row>
      <xdr:rowOff>47625</xdr:rowOff>
    </xdr:to>
    <mc:AlternateContent xmlns:mc="http://schemas.openxmlformats.org/markup-compatibility/2006" xmlns:a14="http://schemas.microsoft.com/office/drawing/2010/main">
      <mc:Choice Requires="a14">
        <xdr:graphicFrame macro="">
          <xdr:nvGraphicFramePr>
            <xdr:cNvPr id="11" name="Company Name">
              <a:extLst>
                <a:ext uri="{FF2B5EF4-FFF2-40B4-BE49-F238E27FC236}">
                  <a16:creationId xmlns:a16="http://schemas.microsoft.com/office/drawing/2014/main" id="{839EB78C-6D88-4D24-97D8-6F4D86989B22}"/>
                </a:ext>
              </a:extLst>
            </xdr:cNvPr>
            <xdr:cNvGraphicFramePr/>
          </xdr:nvGraphicFramePr>
          <xdr:xfrm>
            <a:off x="0" y="0"/>
            <a:ext cx="0" cy="0"/>
          </xdr:xfrm>
          <a:graphic>
            <a:graphicData uri="http://schemas.microsoft.com/office/drawing/2010/slicer">
              <sle:slicer xmlns:sle="http://schemas.microsoft.com/office/drawing/2010/slicer" name="Company Name"/>
            </a:graphicData>
          </a:graphic>
        </xdr:graphicFrame>
      </mc:Choice>
      <mc:Fallback xmlns="">
        <xdr:sp macro="" textlink="">
          <xdr:nvSpPr>
            <xdr:cNvPr id="0" name=""/>
            <xdr:cNvSpPr>
              <a:spLocks noTextEdit="1"/>
            </xdr:cNvSpPr>
          </xdr:nvSpPr>
          <xdr:spPr>
            <a:xfrm>
              <a:off x="0" y="369571"/>
              <a:ext cx="1295400" cy="2211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6.403128356484" createdVersion="8" refreshedVersion="8" minRefreshableVersion="3" recordCount="28" xr:uid="{1B251EFC-66F1-4D67-A6E7-9DCB795134E1}">
  <cacheSource type="worksheet">
    <worksheetSource name="Table2"/>
  </cacheSource>
  <cacheFields count="10">
    <cacheField name="Company Name" numFmtId="0">
      <sharedItems count="4">
        <s v="Sun pharma"/>
        <s v="Zydus "/>
        <s v="Dr. Reddy"/>
        <s v="Lupin"/>
      </sharedItems>
    </cacheField>
    <cacheField name="Year" numFmtId="0">
      <sharedItems containsSemiMixedTypes="0" containsString="0" containsNumber="1" containsInteger="1" minValue="2019" maxValue="2025" count="7">
        <n v="2019"/>
        <n v="2020"/>
        <n v="2021"/>
        <n v="2022"/>
        <n v="2023"/>
        <n v="2024"/>
        <n v="2025"/>
      </sharedItems>
    </cacheField>
    <cacheField name="Revenue Growth" numFmtId="0">
      <sharedItems containsMixedTypes="1" containsNumber="1" minValue="-9.7000000000000003E-2" maxValue="0.193"/>
    </cacheField>
    <cacheField name="EBITDA Margin" numFmtId="166">
      <sharedItems containsSemiMixedTypes="0" containsString="0" containsNumber="1" minValue="0.17399999999999999" maxValue="0.309"/>
    </cacheField>
    <cacheField name="Return on Assets" numFmtId="166">
      <sharedItems containsSemiMixedTypes="0" containsString="0" containsNumber="1" minValue="4.8000000000000001E-2" maxValue="0.188"/>
    </cacheField>
    <cacheField name="Return on Equity" numFmtId="166">
      <sharedItems containsSemiMixedTypes="0" containsString="0" containsNumber="1" minValue="7.1999999999999995E-2" maxValue="0.22500000000000001"/>
    </cacheField>
    <cacheField name="Current Ratio" numFmtId="2">
      <sharedItems containsSemiMixedTypes="0" containsString="0" containsNumber="1" minValue="1.65" maxValue="2.62"/>
    </cacheField>
    <cacheField name="Debt/Equity Ratio" numFmtId="2">
      <sharedItems containsSemiMixedTypes="0" containsString="0" containsNumber="1" minValue="0" maxValue="0.41"/>
    </cacheField>
    <cacheField name="Interest Coverage Ratio" numFmtId="2">
      <sharedItems containsSemiMixedTypes="0" containsString="0" containsNumber="1" minValue="5.8" maxValue="35.1"/>
    </cacheField>
    <cacheField name="Asset Turnover" numFmtId="2">
      <sharedItems containsSemiMixedTypes="0" containsString="0" containsNumber="1" minValue="0.38" maxValue="0.82"/>
    </cacheField>
  </cacheFields>
  <extLst>
    <ext xmlns:x14="http://schemas.microsoft.com/office/spreadsheetml/2009/9/main" uri="{725AE2AE-9491-48be-B2B4-4EB974FC3084}">
      <x14:pivotCacheDefinition pivotCacheId="1521589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s v="N/A"/>
    <n v="0.28000000000000003"/>
    <n v="8.5999999999999993E-2"/>
    <n v="9.5000000000000001E-2"/>
    <n v="1.71"/>
    <n v="0.06"/>
    <n v="10.1"/>
    <n v="0.38"/>
  </r>
  <r>
    <x v="0"/>
    <x v="1"/>
    <n v="9.7000000000000003E-2"/>
    <n v="0.27300000000000002"/>
    <n v="6.4000000000000001E-2"/>
    <n v="7.1999999999999995E-2"/>
    <n v="1.65"/>
    <n v="0.05"/>
    <n v="11.4"/>
    <n v="0.4"/>
  </r>
  <r>
    <x v="0"/>
    <x v="2"/>
    <n v="2.5000000000000001E-2"/>
    <n v="0.27"/>
    <n v="6.9000000000000006E-2"/>
    <n v="7.8E-2"/>
    <n v="1.72"/>
    <n v="0.04"/>
    <n v="12.8"/>
    <n v="0.38"/>
  </r>
  <r>
    <x v="0"/>
    <x v="3"/>
    <n v="0.16800000000000001"/>
    <n v="0.28100000000000003"/>
    <n v="9.1999999999999998E-2"/>
    <n v="0.104"/>
    <n v="1.88"/>
    <n v="0.03"/>
    <n v="16.2"/>
    <n v="0.42"/>
  </r>
  <r>
    <x v="0"/>
    <x v="4"/>
    <n v="0.11799999999999999"/>
    <n v="0.28499999999999998"/>
    <n v="0.107"/>
    <n v="0.11799999999999999"/>
    <n v="1.96"/>
    <n v="0.02"/>
    <n v="21.3"/>
    <n v="0.44"/>
  </r>
  <r>
    <x v="0"/>
    <x v="5"/>
    <n v="0.13500000000000001"/>
    <n v="0.29799999999999999"/>
    <n v="0.121"/>
    <n v="0.152"/>
    <n v="2.1"/>
    <n v="0.01"/>
    <n v="28.4"/>
    <n v="0.46"/>
  </r>
  <r>
    <x v="0"/>
    <x v="6"/>
    <n v="0.13200000000000001"/>
    <n v="0.309"/>
    <n v="0.128"/>
    <n v="0.152"/>
    <n v="2.1800000000000002"/>
    <n v="0"/>
    <n v="35.1"/>
    <n v="0.48"/>
  </r>
  <r>
    <x v="1"/>
    <x v="0"/>
    <s v="N/A"/>
    <n v="0.21099999999999999"/>
    <n v="9.0999999999999998E-2"/>
    <n v="0.14899999999999999"/>
    <n v="2.1"/>
    <n v="0.22"/>
    <n v="8.4"/>
    <n v="0.68"/>
  </r>
  <r>
    <x v="1"/>
    <x v="1"/>
    <n v="7.2999999999999995E-2"/>
    <n v="0.20200000000000001"/>
    <n v="8.5999999999999993E-2"/>
    <n v="0.14000000000000001"/>
    <n v="2.0499999999999998"/>
    <n v="0.2"/>
    <n v="9.1"/>
    <n v="0.65"/>
  </r>
  <r>
    <x v="1"/>
    <x v="2"/>
    <n v="1.4E-2"/>
    <n v="0.22800000000000001"/>
    <n v="8.7999999999999995E-2"/>
    <n v="0.14000000000000001"/>
    <n v="2.1800000000000002"/>
    <n v="0.17"/>
    <n v="10.199999999999999"/>
    <n v="0.62"/>
  </r>
  <r>
    <x v="1"/>
    <x v="3"/>
    <n v="4.8000000000000001E-2"/>
    <n v="0.221"/>
    <n v="9.5000000000000001E-2"/>
    <n v="0.15"/>
    <n v="2.2599999999999998"/>
    <n v="0.14000000000000001"/>
    <n v="12.5"/>
    <n v="0.64"/>
  </r>
  <r>
    <x v="1"/>
    <x v="4"/>
    <n v="0.17599999999999999"/>
    <n v="0.245"/>
    <n v="0.11799999999999999"/>
    <n v="0.17799999999999999"/>
    <n v="2.33"/>
    <n v="0.09"/>
    <n v="17.8"/>
    <n v="0.72"/>
  </r>
  <r>
    <x v="1"/>
    <x v="5"/>
    <n v="0.193"/>
    <n v="0.26100000000000001"/>
    <n v="0.14699999999999999"/>
    <n v="0.20899999999999999"/>
    <n v="2.5099999999999998"/>
    <n v="0.06"/>
    <n v="22.4"/>
    <n v="0.78"/>
  </r>
  <r>
    <x v="1"/>
    <x v="6"/>
    <n v="0.11799999999999999"/>
    <n v="0.27500000000000002"/>
    <n v="0.161"/>
    <n v="0.22500000000000001"/>
    <n v="2.62"/>
    <n v="0.04"/>
    <n v="28.6"/>
    <n v="0.82"/>
  </r>
  <r>
    <x v="2"/>
    <x v="0"/>
    <s v="N/A"/>
    <n v="0.185"/>
    <n v="7.3999999999999996E-2"/>
    <n v="0.112"/>
    <n v="2.08"/>
    <n v="0.28000000000000003"/>
    <n v="7.8"/>
    <n v="0.56000000000000005"/>
  </r>
  <r>
    <x v="2"/>
    <x v="1"/>
    <n v="0.151"/>
    <n v="0.22600000000000001"/>
    <n v="8.7999999999999995E-2"/>
    <n v="0.13200000000000001"/>
    <n v="2.15"/>
    <n v="0.22"/>
    <n v="9.6"/>
    <n v="0.6"/>
  </r>
  <r>
    <x v="2"/>
    <x v="2"/>
    <n v="0.11"/>
    <n v="0.23799999999999999"/>
    <n v="0.10100000000000001"/>
    <n v="0.14799999999999999"/>
    <n v="2.2200000000000002"/>
    <n v="0.16"/>
    <n v="11.4"/>
    <n v="0.62"/>
  </r>
  <r>
    <x v="2"/>
    <x v="3"/>
    <n v="0.159"/>
    <n v="0.249"/>
    <n v="0.11799999999999999"/>
    <n v="0.16600000000000001"/>
    <n v="2.38"/>
    <n v="0.12"/>
    <n v="14.2"/>
    <n v="0.65"/>
  </r>
  <r>
    <x v="2"/>
    <x v="4"/>
    <n v="0.126"/>
    <n v="0.26100000000000001"/>
    <n v="0.14799999999999999"/>
    <n v="0.19500000000000001"/>
    <n v="2.44"/>
    <n v="0.08"/>
    <n v="18.5"/>
    <n v="0.7"/>
  </r>
  <r>
    <x v="2"/>
    <x v="5"/>
    <n v="0.16800000000000001"/>
    <n v="0.27100000000000002"/>
    <n v="0.17199999999999999"/>
    <n v="0.214"/>
    <n v="2.52"/>
    <n v="0.05"/>
    <n v="25.1"/>
    <n v="0.74"/>
  </r>
  <r>
    <x v="2"/>
    <x v="6"/>
    <n v="0.12"/>
    <n v="0.28199999999999997"/>
    <n v="0.188"/>
    <n v="0.214"/>
    <n v="2.61"/>
    <n v="0.04"/>
    <n v="31.4"/>
    <n v="0.77"/>
  </r>
  <r>
    <x v="3"/>
    <x v="0"/>
    <s v="N/A"/>
    <n v="0.17399999999999999"/>
    <n v="6.9000000000000006E-2"/>
    <n v="0.125"/>
    <n v="2.02"/>
    <n v="0.41"/>
    <n v="5.8"/>
    <n v="0.57999999999999996"/>
  </r>
  <r>
    <x v="3"/>
    <x v="1"/>
    <n v="4.7E-2"/>
    <n v="0.187"/>
    <n v="5.1999999999999998E-2"/>
    <n v="9.1999999999999998E-2"/>
    <n v="1.95"/>
    <n v="0.38"/>
    <n v="6.2"/>
    <n v="0.56999999999999995"/>
  </r>
  <r>
    <x v="3"/>
    <x v="2"/>
    <n v="-9.7000000000000003E-2"/>
    <n v="0.192"/>
    <n v="4.8000000000000001E-2"/>
    <n v="8.5999999999999993E-2"/>
    <n v="2.0499999999999998"/>
    <n v="0.32"/>
    <n v="7.4"/>
    <n v="0.52"/>
  </r>
  <r>
    <x v="3"/>
    <x v="3"/>
    <n v="2.5000000000000001E-2"/>
    <n v="0.18099999999999999"/>
    <n v="5.8000000000000003E-2"/>
    <n v="0.10100000000000001"/>
    <n v="2.1"/>
    <n v="0.26"/>
    <n v="8.8000000000000007"/>
    <n v="0.55000000000000004"/>
  </r>
  <r>
    <x v="3"/>
    <x v="4"/>
    <n v="0.14399999999999999"/>
    <n v="0.19600000000000001"/>
    <n v="7.8E-2"/>
    <n v="0.13500000000000001"/>
    <n v="2.25"/>
    <n v="0.18"/>
    <n v="12.5"/>
    <n v="0.59"/>
  </r>
  <r>
    <x v="3"/>
    <x v="5"/>
    <n v="0.17499999999999999"/>
    <n v="0.218"/>
    <n v="9.8000000000000004E-2"/>
    <n v="0.16800000000000001"/>
    <n v="2.38"/>
    <n v="0.12"/>
    <n v="17.8"/>
    <n v="0.64"/>
  </r>
  <r>
    <x v="3"/>
    <x v="6"/>
    <n v="0.13600000000000001"/>
    <n v="0.247"/>
    <n v="0.13200000000000001"/>
    <n v="0.20899999999999999"/>
    <n v="2.52"/>
    <n v="0.06"/>
    <n v="24.3"/>
    <n v="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028F01-9A0A-458D-AD7F-8B46EBC5380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6:F25" firstHeaderRow="1" firstDataRow="2" firstDataCol="1"/>
  <pivotFields count="10">
    <pivotField axis="axisCol" showAll="0">
      <items count="5">
        <item x="2"/>
        <item x="3"/>
        <item x="0"/>
        <item x="1"/>
        <item t="default"/>
      </items>
    </pivotField>
    <pivotField axis="axisRow" showAll="0">
      <items count="8">
        <item x="0"/>
        <item x="1"/>
        <item x="2"/>
        <item x="3"/>
        <item x="4"/>
        <item x="5"/>
        <item x="6"/>
        <item t="default"/>
      </items>
    </pivotField>
    <pivotField showAll="0"/>
    <pivotField numFmtId="166" showAll="0"/>
    <pivotField numFmtId="166" showAll="0"/>
    <pivotField dataField="1" numFmtId="166" showAll="0"/>
    <pivotField numFmtId="2" showAll="0"/>
    <pivotField numFmtId="2" showAll="0"/>
    <pivotField numFmtId="2"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Return on Equity" fld="5" baseField="0" baseItem="0" numFmtId="166"/>
  </dataFields>
  <chartFormats count="4">
    <chartFormat chart="9" format="8" series="1">
      <pivotArea type="data" outline="0" fieldPosition="0">
        <references count="2">
          <reference field="4294967294" count="1" selected="0">
            <x v="0"/>
          </reference>
          <reference field="0" count="1" selected="0">
            <x v="0"/>
          </reference>
        </references>
      </pivotArea>
    </chartFormat>
    <chartFormat chart="9" format="9" series="1">
      <pivotArea type="data" outline="0" fieldPosition="0">
        <references count="2">
          <reference field="4294967294" count="1" selected="0">
            <x v="0"/>
          </reference>
          <reference field="0" count="1" selected="0">
            <x v="1"/>
          </reference>
        </references>
      </pivotArea>
    </chartFormat>
    <chartFormat chart="9" format="10" series="1">
      <pivotArea type="data" outline="0" fieldPosition="0">
        <references count="2">
          <reference field="4294967294" count="1" selected="0">
            <x v="0"/>
          </reference>
          <reference field="0" count="1" selected="0">
            <x v="2"/>
          </reference>
        </references>
      </pivotArea>
    </chartFormat>
    <chartFormat chart="9"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D9A2C0-3C55-4A05-9735-4DF2AC49B7C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6:M25" firstHeaderRow="1" firstDataRow="2" firstDataCol="1"/>
  <pivotFields count="10">
    <pivotField axis="axisCol" showAll="0">
      <items count="5">
        <item x="2"/>
        <item x="3"/>
        <item x="0"/>
        <item x="1"/>
        <item t="default"/>
      </items>
    </pivotField>
    <pivotField axis="axisRow" showAll="0">
      <items count="8">
        <item x="0"/>
        <item x="1"/>
        <item x="2"/>
        <item x="3"/>
        <item x="4"/>
        <item x="5"/>
        <item x="6"/>
        <item t="default"/>
      </items>
    </pivotField>
    <pivotField showAll="0"/>
    <pivotField numFmtId="166" showAll="0"/>
    <pivotField numFmtId="166" showAll="0"/>
    <pivotField numFmtId="166" showAll="0"/>
    <pivotField dataField="1" numFmtId="2" showAll="0"/>
    <pivotField numFmtId="2" showAll="0"/>
    <pivotField numFmtId="2"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Current Ratio" fld="6" baseField="0" baseItem="0" numFmtId="2"/>
  </dataFields>
  <chartFormats count="4">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1F2603-7EC4-4146-91B3-E60C9C657FE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29:M38" firstHeaderRow="1" firstDataRow="2" firstDataCol="1"/>
  <pivotFields count="10">
    <pivotField axis="axisCol" showAll="0">
      <items count="5">
        <item x="2"/>
        <item x="3"/>
        <item x="0"/>
        <item x="1"/>
        <item t="default"/>
      </items>
    </pivotField>
    <pivotField axis="axisRow" showAll="0">
      <items count="8">
        <item x="0"/>
        <item x="1"/>
        <item x="2"/>
        <item x="3"/>
        <item x="4"/>
        <item x="5"/>
        <item x="6"/>
        <item t="default"/>
      </items>
    </pivotField>
    <pivotField showAll="0"/>
    <pivotField numFmtId="166" showAll="0"/>
    <pivotField numFmtId="166" showAll="0"/>
    <pivotField numFmtId="166" showAll="0"/>
    <pivotField numFmtId="2" showAll="0"/>
    <pivotField numFmtId="2" showAll="0"/>
    <pivotField numFmtId="2" showAll="0"/>
    <pivotField dataField="1"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Asset Turnover" fld="9" baseField="0" baseItem="0" numFmtId="2"/>
  </dataFields>
  <chartFormats count="4">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071167-B7C7-4624-A051-AE925324A46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4:M13" firstHeaderRow="1" firstDataRow="2" firstDataCol="1"/>
  <pivotFields count="10">
    <pivotField axis="axisCol" showAll="0">
      <items count="5">
        <item x="2"/>
        <item x="3"/>
        <item x="0"/>
        <item x="1"/>
        <item t="default"/>
      </items>
    </pivotField>
    <pivotField axis="axisRow" showAll="0">
      <items count="8">
        <item x="0"/>
        <item x="1"/>
        <item x="2"/>
        <item x="3"/>
        <item x="4"/>
        <item x="5"/>
        <item x="6"/>
        <item t="default"/>
      </items>
    </pivotField>
    <pivotField showAll="0"/>
    <pivotField dataField="1" numFmtId="166" showAll="0"/>
    <pivotField numFmtId="166" showAll="0"/>
    <pivotField numFmtId="166" showAll="0"/>
    <pivotField numFmtId="2" showAll="0"/>
    <pivotField numFmtId="2" showAll="0"/>
    <pivotField numFmtId="2"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EBITDA Margin" fld="3" baseField="0" baseItem="0" numFmtId="166"/>
  </dataFields>
  <chartFormats count="4">
    <chartFormat chart="6" format="8" series="1">
      <pivotArea type="data" outline="0" fieldPosition="0">
        <references count="2">
          <reference field="4294967294" count="1" selected="0">
            <x v="0"/>
          </reference>
          <reference field="0" count="1" selected="0">
            <x v="0"/>
          </reference>
        </references>
      </pivotArea>
    </chartFormat>
    <chartFormat chart="6" format="9" series="1">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2">
          <reference field="4294967294" count="1" selected="0">
            <x v="0"/>
          </reference>
          <reference field="0" count="1" selected="0">
            <x v="2"/>
          </reference>
        </references>
      </pivotArea>
    </chartFormat>
    <chartFormat chart="6"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F0BC78-EF23-4A8C-B209-F388F90C2F6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F13" firstHeaderRow="1" firstDataRow="2" firstDataCol="1"/>
  <pivotFields count="10">
    <pivotField axis="axisCol" showAll="0">
      <items count="5">
        <item x="2"/>
        <item x="3"/>
        <item x="0"/>
        <item x="1"/>
        <item t="default"/>
      </items>
    </pivotField>
    <pivotField axis="axisRow" showAll="0">
      <items count="8">
        <item x="0"/>
        <item x="1"/>
        <item x="2"/>
        <item x="3"/>
        <item x="4"/>
        <item x="5"/>
        <item x="6"/>
        <item t="default"/>
      </items>
    </pivotField>
    <pivotField dataField="1" showAll="0"/>
    <pivotField numFmtId="166" showAll="0"/>
    <pivotField numFmtId="166" showAll="0"/>
    <pivotField numFmtId="166" showAll="0"/>
    <pivotField numFmtId="2" showAll="0"/>
    <pivotField numFmtId="2" showAll="0"/>
    <pivotField numFmtId="2"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Average of Revenue Growth" fld="2" subtotal="average" baseField="1" baseItem="0"/>
  </dataFields>
  <chartFormats count="4">
    <chartFormat chart="8" format="8" series="1">
      <pivotArea type="data" outline="0" fieldPosition="0">
        <references count="2">
          <reference field="4294967294" count="1" selected="0">
            <x v="0"/>
          </reference>
          <reference field="0" count="1" selected="0">
            <x v="0"/>
          </reference>
        </references>
      </pivotArea>
    </chartFormat>
    <chartFormat chart="8" format="9" series="1">
      <pivotArea type="data" outline="0" fieldPosition="0">
        <references count="2">
          <reference field="4294967294" count="1" selected="0">
            <x v="0"/>
          </reference>
          <reference field="0" count="1" selected="0">
            <x v="1"/>
          </reference>
        </references>
      </pivotArea>
    </chartFormat>
    <chartFormat chart="8" format="10" series="1">
      <pivotArea type="data" outline="0" fieldPosition="0">
        <references count="2">
          <reference field="4294967294" count="1" selected="0">
            <x v="0"/>
          </reference>
          <reference field="0" count="1" selected="0">
            <x v="2"/>
          </reference>
        </references>
      </pivotArea>
    </chartFormat>
    <chartFormat chart="8"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B16BC0-FCEB-499C-942C-7AFD2832D0C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16:W25" firstHeaderRow="1" firstDataRow="2" firstDataCol="1"/>
  <pivotFields count="10">
    <pivotField axis="axisCol" showAll="0">
      <items count="5">
        <item x="2"/>
        <item x="3"/>
        <item x="0"/>
        <item x="1"/>
        <item t="default"/>
      </items>
    </pivotField>
    <pivotField axis="axisRow" showAll="0">
      <items count="8">
        <item x="0"/>
        <item x="1"/>
        <item x="2"/>
        <item x="3"/>
        <item x="4"/>
        <item x="5"/>
        <item x="6"/>
        <item t="default"/>
      </items>
    </pivotField>
    <pivotField showAll="0"/>
    <pivotField numFmtId="166" showAll="0"/>
    <pivotField numFmtId="166" showAll="0"/>
    <pivotField numFmtId="166" showAll="0"/>
    <pivotField numFmtId="2" showAll="0"/>
    <pivotField dataField="1" numFmtId="2" showAll="0"/>
    <pivotField numFmtId="2"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Debt/Equity Ratio" fld="7" baseField="0" baseItem="0" numFmtId="2"/>
  </dataFields>
  <chartFormats count="4">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5124BB-0CB1-4961-837F-446E14B7EC9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4:W13" firstHeaderRow="1" firstDataRow="2" firstDataCol="1"/>
  <pivotFields count="10">
    <pivotField axis="axisCol" showAll="0">
      <items count="5">
        <item x="2"/>
        <item x="3"/>
        <item x="0"/>
        <item x="1"/>
        <item t="default"/>
      </items>
    </pivotField>
    <pivotField axis="axisRow" showAll="0">
      <items count="8">
        <item x="0"/>
        <item x="1"/>
        <item x="2"/>
        <item x="3"/>
        <item x="4"/>
        <item x="5"/>
        <item x="6"/>
        <item t="default"/>
      </items>
    </pivotField>
    <pivotField showAll="0"/>
    <pivotField numFmtId="166" showAll="0"/>
    <pivotField dataField="1" numFmtId="166" showAll="0"/>
    <pivotField numFmtId="166" showAll="0"/>
    <pivotField numFmtId="2" showAll="0"/>
    <pivotField numFmtId="2" showAll="0"/>
    <pivotField numFmtId="2"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Return on Assets" fld="4" baseField="0" baseItem="0" numFmtId="166"/>
  </dataFields>
  <chartFormats count="1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2">
          <reference field="4294967294" count="1" selected="0">
            <x v="0"/>
          </reference>
          <reference field="0" count="1" selected="0">
            <x v="2"/>
          </reference>
        </references>
      </pivotArea>
    </chartFormat>
    <chartFormat chart="3" format="7" series="1">
      <pivotArea type="data" outline="0" fieldPosition="0">
        <references count="2">
          <reference field="4294967294" count="1" selected="0">
            <x v="0"/>
          </reference>
          <reference field="0" count="1" selected="0">
            <x v="3"/>
          </reference>
        </references>
      </pivotArea>
    </chartFormat>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3"/>
          </reference>
        </references>
      </pivotArea>
    </chartFormat>
    <chartFormat chart="5" format="8" series="1">
      <pivotArea type="data" outline="0" fieldPosition="0">
        <references count="2">
          <reference field="4294967294" count="1" selected="0">
            <x v="0"/>
          </reference>
          <reference field="0" count="1" selected="0">
            <x v="0"/>
          </reference>
        </references>
      </pivotArea>
    </chartFormat>
    <chartFormat chart="5" format="9" series="1">
      <pivotArea type="data" outline="0" fieldPosition="0">
        <references count="2">
          <reference field="4294967294" count="1" selected="0">
            <x v="0"/>
          </reference>
          <reference field="0" count="1" selected="0">
            <x v="1"/>
          </reference>
        </references>
      </pivotArea>
    </chartFormat>
    <chartFormat chart="5" format="10" series="1">
      <pivotArea type="data" outline="0" fieldPosition="0">
        <references count="2">
          <reference field="4294967294" count="1" selected="0">
            <x v="0"/>
          </reference>
          <reference field="0" count="1" selected="0">
            <x v="2"/>
          </reference>
        </references>
      </pivotArea>
    </chartFormat>
    <chartFormat chart="5"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A966C6-0266-442C-8847-DC8CA769057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8:F37" firstHeaderRow="1" firstDataRow="2" firstDataCol="1"/>
  <pivotFields count="10">
    <pivotField axis="axisCol" showAll="0">
      <items count="5">
        <item x="2"/>
        <item x="3"/>
        <item x="0"/>
        <item x="1"/>
        <item t="default"/>
      </items>
    </pivotField>
    <pivotField axis="axisRow" showAll="0">
      <items count="8">
        <item x="0"/>
        <item x="1"/>
        <item x="2"/>
        <item x="3"/>
        <item x="4"/>
        <item x="5"/>
        <item x="6"/>
        <item t="default"/>
      </items>
    </pivotField>
    <pivotField showAll="0"/>
    <pivotField numFmtId="166" showAll="0"/>
    <pivotField numFmtId="166" showAll="0"/>
    <pivotField numFmtId="166" showAll="0"/>
    <pivotField numFmtId="2" showAll="0"/>
    <pivotField numFmtId="2" showAll="0"/>
    <pivotField dataField="1" numFmtId="2" showAll="0"/>
    <pivotField numFmtId="2" showAll="0"/>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Interest Coverage Ratio" fld="8" baseField="0" baseItem="0" numFmtId="2"/>
  </dataFields>
  <chartFormats count="4">
    <chartFormat chart="3" format="8" series="1">
      <pivotArea type="data" outline="0" fieldPosition="0">
        <references count="2">
          <reference field="4294967294" count="1" selected="0">
            <x v="0"/>
          </reference>
          <reference field="0" count="1" selected="0">
            <x v="0"/>
          </reference>
        </references>
      </pivotArea>
    </chartFormat>
    <chartFormat chart="3" format="9" series="1">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2">
          <reference field="4294967294" count="1" selected="0">
            <x v="0"/>
          </reference>
          <reference field="0" count="1" selected="0">
            <x v="2"/>
          </reference>
        </references>
      </pivotArea>
    </chartFormat>
    <chartFormat chart="3"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09F1C65-2AA0-4770-88A3-2034136B412E}" sourceName="Year">
  <pivotTables>
    <pivotTable tabId="14" name="PivotTable9"/>
    <pivotTable tabId="14" name="PivotTable10"/>
    <pivotTable tabId="14" name="PivotTable11"/>
    <pivotTable tabId="14" name="PivotTable12"/>
    <pivotTable tabId="14" name="PivotTable5"/>
    <pivotTable tabId="14" name="PivotTable6"/>
    <pivotTable tabId="14" name="PivotTable7"/>
    <pivotTable tabId="14" name="PivotTable8"/>
  </pivotTables>
  <data>
    <tabular pivotCacheId="1521589968">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C58AE9C9-1A04-493A-A439-A2BD051D184F}" sourceName="Company Name">
  <pivotTables>
    <pivotTable tabId="14" name="PivotTable9"/>
    <pivotTable tabId="14" name="PivotTable10"/>
    <pivotTable tabId="14" name="PivotTable11"/>
    <pivotTable tabId="14" name="PivotTable12"/>
    <pivotTable tabId="14" name="PivotTable5"/>
    <pivotTable tabId="14" name="PivotTable6"/>
    <pivotTable tabId="14" name="PivotTable7"/>
    <pivotTable tabId="14" name="PivotTable8"/>
  </pivotTables>
  <data>
    <tabular pivotCacheId="152158996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87260D0-FB7A-43A9-891E-22E237B079E8}" cache="Slicer_Year" caption="Year" rowHeight="234950"/>
  <slicer name="Company Name" xr10:uid="{12C5DE13-C8D6-4F66-80EA-8849B7E93A26}" cache="Slicer_Company_Name" caption="Company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DC5C6B-95E9-427A-B5E7-A543B0483554}" name="Table2" displayName="Table2" ref="A2:J30" totalsRowShown="0" headerRowDxfId="12" dataDxfId="11" tableBorderDxfId="10">
  <autoFilter ref="A2:J30" xr:uid="{0BDC5C6B-95E9-427A-B5E7-A543B0483554}"/>
  <tableColumns count="10">
    <tableColumn id="1" xr3:uid="{35C003B0-46B2-4AE3-BAEC-B96DED00ACF8}" name="Company Name" dataDxfId="9"/>
    <tableColumn id="2" xr3:uid="{073F1188-0F6E-4766-A6FF-8E01662A8651}" name="Year" dataDxfId="8"/>
    <tableColumn id="3" xr3:uid="{953853B6-F622-45CD-90C9-E77694029590}" name="Revenue Growth" dataDxfId="7"/>
    <tableColumn id="4" xr3:uid="{870C9E9F-DD0F-4D81-9057-9113F1B20DFD}" name="EBITDA Margin" dataDxfId="6"/>
    <tableColumn id="5" xr3:uid="{EA400392-24CF-492D-A799-63E4CA808DDD}" name="Return on Assets" dataDxfId="5"/>
    <tableColumn id="6" xr3:uid="{4D7BBAC2-6697-4128-981D-20391C2BF8B3}" name="Return on Equity" dataDxfId="4"/>
    <tableColumn id="7" xr3:uid="{962BA074-C572-45E3-8A70-590ECDA3D38D}" name="Current Ratio" dataDxfId="3"/>
    <tableColumn id="8" xr3:uid="{A5B77E50-2206-4B21-9FCE-8E49C6CB3D67}" name="Debt/Equity Ratio" dataDxfId="2"/>
    <tableColumn id="9" xr3:uid="{59EF5199-AB73-4ADE-A0FC-19C600291FD4}" name="Interest Coverage Ratio" dataDxfId="1"/>
    <tableColumn id="10" xr3:uid="{B52C72F3-8247-4803-BC4D-0AE1D3C14E29}" name="Asset Turnov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worldbank.org/indicator/NY.GDP.MKTP.KD.ZG" TargetMode="External"/><Relationship Id="rId2" Type="http://schemas.openxmlformats.org/officeDocument/2006/relationships/hyperlink" Target="https://in.investing.com/rates-bonds/india-10-year-bond-yield-historical-data?utm_source" TargetMode="External"/><Relationship Id="rId1" Type="http://schemas.openxmlformats.org/officeDocument/2006/relationships/hyperlink" Target="https://awsone.capitaline.com/index.html" TargetMode="External"/><Relationship Id="rId6" Type="http://schemas.openxmlformats.org/officeDocument/2006/relationships/hyperlink" Target="https://awsone.capitaline.com/index.html" TargetMode="External"/><Relationship Id="rId5" Type="http://schemas.openxmlformats.org/officeDocument/2006/relationships/hyperlink" Target="https://www.bseindia.com/" TargetMode="External"/><Relationship Id="rId4" Type="http://schemas.openxmlformats.org/officeDocument/2006/relationships/hyperlink" Target="https://www.bseindia.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7867B-6680-452B-8FF6-CA467F83462F}">
  <dimension ref="A1:I13"/>
  <sheetViews>
    <sheetView zoomScale="80" workbookViewId="0">
      <selection activeCell="B17" sqref="B17"/>
    </sheetView>
  </sheetViews>
  <sheetFormatPr defaultRowHeight="14.4" x14ac:dyDescent="0.3"/>
  <cols>
    <col min="1" max="1" width="21" customWidth="1"/>
    <col min="2" max="2" width="45.77734375" bestFit="1" customWidth="1"/>
    <col min="3" max="3" width="21.88671875" customWidth="1"/>
    <col min="4" max="4" width="43.88671875" customWidth="1"/>
    <col min="5" max="5" width="80.44140625" customWidth="1"/>
  </cols>
  <sheetData>
    <row r="1" spans="1:9" ht="18" x14ac:dyDescent="0.35">
      <c r="A1" s="336" t="s">
        <v>457</v>
      </c>
      <c r="B1" s="336"/>
      <c r="C1" s="336"/>
      <c r="D1" s="336"/>
      <c r="E1" s="336"/>
      <c r="F1" s="336"/>
      <c r="G1" s="336"/>
      <c r="H1" s="336"/>
      <c r="I1" s="336"/>
    </row>
    <row r="2" spans="1:9" ht="15" thickBot="1" x14ac:dyDescent="0.35"/>
    <row r="3" spans="1:9" ht="15.6" x14ac:dyDescent="0.3">
      <c r="A3" s="288" t="s">
        <v>280</v>
      </c>
      <c r="B3" s="289" t="s">
        <v>281</v>
      </c>
      <c r="C3" s="289" t="s">
        <v>282</v>
      </c>
      <c r="D3" s="289" t="s">
        <v>283</v>
      </c>
      <c r="E3" s="290" t="s">
        <v>284</v>
      </c>
    </row>
    <row r="4" spans="1:9" ht="31.2" x14ac:dyDescent="0.3">
      <c r="A4" s="291">
        <v>1</v>
      </c>
      <c r="B4" s="292" t="s">
        <v>285</v>
      </c>
      <c r="C4" s="292"/>
      <c r="D4" s="293" t="s">
        <v>286</v>
      </c>
      <c r="E4" s="294" t="s">
        <v>287</v>
      </c>
    </row>
    <row r="5" spans="1:9" ht="15.6" x14ac:dyDescent="0.3">
      <c r="A5" s="291">
        <v>2</v>
      </c>
      <c r="B5" s="292" t="s">
        <v>288</v>
      </c>
      <c r="C5" s="295">
        <v>0.08</v>
      </c>
      <c r="D5" s="293"/>
      <c r="E5" s="296"/>
    </row>
    <row r="6" spans="1:9" ht="15.6" x14ac:dyDescent="0.3">
      <c r="A6" s="291">
        <v>3</v>
      </c>
      <c r="B6" s="292" t="s">
        <v>193</v>
      </c>
      <c r="C6" s="297">
        <v>0.23619999999999999</v>
      </c>
      <c r="D6" s="293" t="s">
        <v>289</v>
      </c>
      <c r="E6" s="296"/>
    </row>
    <row r="7" spans="1:9" ht="31.2" x14ac:dyDescent="0.3">
      <c r="A7" s="291">
        <v>4</v>
      </c>
      <c r="B7" s="292" t="s">
        <v>290</v>
      </c>
      <c r="C7" s="298">
        <v>6.6699999999999995E-2</v>
      </c>
      <c r="D7" s="293" t="s">
        <v>291</v>
      </c>
      <c r="E7" s="294" t="s">
        <v>292</v>
      </c>
    </row>
    <row r="8" spans="1:9" ht="31.2" x14ac:dyDescent="0.3">
      <c r="A8" s="291">
        <v>5</v>
      </c>
      <c r="B8" s="292" t="s">
        <v>293</v>
      </c>
      <c r="C8" s="299">
        <v>0.12763129702776799</v>
      </c>
      <c r="D8" s="293" t="s">
        <v>294</v>
      </c>
      <c r="E8" s="296"/>
    </row>
    <row r="9" spans="1:9" ht="46.8" x14ac:dyDescent="0.3">
      <c r="A9" s="291"/>
      <c r="B9" s="292" t="s">
        <v>295</v>
      </c>
      <c r="C9" s="299">
        <f>C8-C7</f>
        <v>6.0931297027767992E-2</v>
      </c>
      <c r="D9" s="293" t="s">
        <v>296</v>
      </c>
      <c r="E9" s="296"/>
    </row>
    <row r="10" spans="1:9" ht="46.8" x14ac:dyDescent="0.3">
      <c r="A10" s="291">
        <v>6</v>
      </c>
      <c r="B10" s="292" t="s">
        <v>194</v>
      </c>
      <c r="C10" s="295">
        <v>0.06</v>
      </c>
      <c r="D10" s="293" t="s">
        <v>297</v>
      </c>
      <c r="E10" s="294" t="s">
        <v>298</v>
      </c>
    </row>
    <row r="11" spans="1:9" ht="31.2" x14ac:dyDescent="0.3">
      <c r="A11" s="291">
        <v>7</v>
      </c>
      <c r="B11" s="292" t="s">
        <v>299</v>
      </c>
      <c r="C11" s="295"/>
      <c r="D11" s="300" t="s">
        <v>300</v>
      </c>
      <c r="E11" s="294" t="s">
        <v>301</v>
      </c>
    </row>
    <row r="12" spans="1:9" ht="15.6" x14ac:dyDescent="0.3">
      <c r="A12" s="291">
        <v>8</v>
      </c>
      <c r="B12" s="292" t="s">
        <v>302</v>
      </c>
      <c r="C12" s="292"/>
      <c r="D12" s="292" t="s">
        <v>303</v>
      </c>
      <c r="E12" s="294" t="s">
        <v>301</v>
      </c>
    </row>
    <row r="13" spans="1:9" ht="16.2" thickBot="1" x14ac:dyDescent="0.35">
      <c r="A13" s="301">
        <v>9</v>
      </c>
      <c r="B13" s="302" t="s">
        <v>345</v>
      </c>
      <c r="C13" s="303">
        <v>1242.6500000000001</v>
      </c>
      <c r="D13" s="302" t="s">
        <v>505</v>
      </c>
      <c r="E13" s="304" t="s">
        <v>304</v>
      </c>
    </row>
  </sheetData>
  <mergeCells count="1">
    <mergeCell ref="A1:I1"/>
  </mergeCells>
  <hyperlinks>
    <hyperlink ref="E4" r:id="rId1" location="/Company/Condensed/condensed?section=ProfitLoss" xr:uid="{0AF9DA6E-1283-4D57-A4DF-9A6F3077358D}"/>
    <hyperlink ref="E7" r:id="rId2" xr:uid="{189717C0-2B2D-42D3-9794-247E029E6813}"/>
    <hyperlink ref="E10" r:id="rId3" xr:uid="{915902FC-E4ED-4F6B-86BE-66BD128C3AEC}"/>
    <hyperlink ref="E11" r:id="rId4" xr:uid="{4913878A-DEF3-4E7F-A6FB-74A563886055}"/>
    <hyperlink ref="E12" r:id="rId5" xr:uid="{DC47C16E-3AB1-492F-B6E4-6D748B05FE72}"/>
    <hyperlink ref="E13" r:id="rId6" location="/Company/General/CompanyInfo" xr:uid="{044CDE55-F01D-46C0-B6DE-9E13B2F65A2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C570-9B8F-42E8-BE64-9B0945D165BC}">
  <dimension ref="A1:F40"/>
  <sheetViews>
    <sheetView showGridLines="0" workbookViewId="0">
      <selection activeCell="B6" sqref="B6"/>
    </sheetView>
  </sheetViews>
  <sheetFormatPr defaultRowHeight="14.4" x14ac:dyDescent="0.3"/>
  <cols>
    <col min="1" max="1" width="47.109375" customWidth="1"/>
    <col min="2" max="2" width="44.33203125" customWidth="1"/>
    <col min="3" max="3" width="12.88671875" customWidth="1"/>
    <col min="4" max="4" width="23.21875" bestFit="1" customWidth="1"/>
    <col min="5" max="5" width="61.33203125" bestFit="1" customWidth="1"/>
    <col min="6" max="6" width="91.44140625" customWidth="1"/>
  </cols>
  <sheetData>
    <row r="1" spans="1:6" ht="14.4" customHeight="1" x14ac:dyDescent="0.3">
      <c r="A1" s="341" t="s">
        <v>571</v>
      </c>
      <c r="B1" s="341"/>
      <c r="C1" s="341"/>
      <c r="D1" s="341"/>
      <c r="E1" s="341"/>
    </row>
    <row r="2" spans="1:6" x14ac:dyDescent="0.3">
      <c r="A2" s="341"/>
      <c r="B2" s="341"/>
      <c r="C2" s="341"/>
      <c r="D2" s="341"/>
      <c r="E2" s="341"/>
    </row>
    <row r="3" spans="1:6" x14ac:dyDescent="0.3">
      <c r="A3" s="305"/>
      <c r="B3" s="305"/>
      <c r="C3" s="305"/>
      <c r="D3" s="305"/>
      <c r="E3" s="305"/>
      <c r="F3" s="305"/>
    </row>
    <row r="4" spans="1:6" x14ac:dyDescent="0.3">
      <c r="A4" s="347" t="s">
        <v>506</v>
      </c>
      <c r="B4" s="345"/>
      <c r="C4" s="305"/>
      <c r="D4" s="344" t="s">
        <v>507</v>
      </c>
      <c r="E4" s="345"/>
      <c r="F4" s="345"/>
    </row>
    <row r="5" spans="1:6" x14ac:dyDescent="0.3">
      <c r="A5" s="309" t="s">
        <v>422</v>
      </c>
      <c r="B5" s="310" t="s">
        <v>508</v>
      </c>
      <c r="C5" s="306"/>
      <c r="D5" s="344" t="s">
        <v>507</v>
      </c>
      <c r="E5" s="308" t="s">
        <v>509</v>
      </c>
      <c r="F5" s="308" t="s">
        <v>510</v>
      </c>
    </row>
    <row r="6" spans="1:6" ht="26.4" x14ac:dyDescent="0.3">
      <c r="A6" s="309" t="s">
        <v>511</v>
      </c>
      <c r="B6" s="310" t="s">
        <v>512</v>
      </c>
      <c r="C6" s="306"/>
      <c r="D6" s="309" t="s">
        <v>513</v>
      </c>
      <c r="E6" s="310" t="s">
        <v>514</v>
      </c>
      <c r="F6" s="311" t="s">
        <v>515</v>
      </c>
    </row>
    <row r="7" spans="1:6" ht="26.4" x14ac:dyDescent="0.3">
      <c r="A7" s="309" t="s">
        <v>516</v>
      </c>
      <c r="B7" s="310" t="s">
        <v>517</v>
      </c>
      <c r="C7" s="306"/>
      <c r="D7" s="309" t="s">
        <v>518</v>
      </c>
      <c r="E7" s="310" t="s">
        <v>519</v>
      </c>
      <c r="F7" s="311" t="s">
        <v>570</v>
      </c>
    </row>
    <row r="8" spans="1:6" ht="26.4" x14ac:dyDescent="0.3">
      <c r="A8" s="309" t="s">
        <v>520</v>
      </c>
      <c r="B8" s="310" t="s">
        <v>521</v>
      </c>
      <c r="C8" s="306"/>
      <c r="D8" s="309" t="s">
        <v>522</v>
      </c>
      <c r="E8" s="310" t="s">
        <v>523</v>
      </c>
      <c r="F8" s="311" t="s">
        <v>524</v>
      </c>
    </row>
    <row r="9" spans="1:6" ht="26.4" x14ac:dyDescent="0.3">
      <c r="A9" s="309" t="s">
        <v>525</v>
      </c>
      <c r="B9" s="310" t="s">
        <v>526</v>
      </c>
      <c r="C9" s="306"/>
      <c r="D9" s="309" t="s">
        <v>527</v>
      </c>
      <c r="E9" s="310" t="s">
        <v>528</v>
      </c>
      <c r="F9" s="311" t="s">
        <v>529</v>
      </c>
    </row>
    <row r="10" spans="1:6" ht="26.4" x14ac:dyDescent="0.3">
      <c r="A10" s="309" t="s">
        <v>530</v>
      </c>
      <c r="B10" s="310" t="s">
        <v>531</v>
      </c>
      <c r="C10" s="306"/>
      <c r="D10" s="309" t="s">
        <v>532</v>
      </c>
      <c r="E10" s="310" t="s">
        <v>533</v>
      </c>
      <c r="F10" s="311" t="s">
        <v>534</v>
      </c>
    </row>
    <row r="11" spans="1:6" x14ac:dyDescent="0.3">
      <c r="A11" s="309" t="s">
        <v>535</v>
      </c>
      <c r="B11" s="310" t="s">
        <v>536</v>
      </c>
      <c r="C11" s="306"/>
      <c r="D11" s="305"/>
      <c r="E11" s="305"/>
      <c r="F11" s="305"/>
    </row>
    <row r="12" spans="1:6" x14ac:dyDescent="0.3">
      <c r="A12" s="309" t="s">
        <v>537</v>
      </c>
      <c r="B12" s="310" t="s">
        <v>569</v>
      </c>
      <c r="C12" s="306"/>
      <c r="D12" s="342" t="s">
        <v>538</v>
      </c>
      <c r="E12" s="343"/>
      <c r="F12" s="343"/>
    </row>
    <row r="13" spans="1:6" x14ac:dyDescent="0.3">
      <c r="A13" s="307"/>
      <c r="B13" s="306"/>
      <c r="C13" s="306"/>
      <c r="D13" s="337" t="s">
        <v>540</v>
      </c>
      <c r="E13" s="312" t="s">
        <v>541</v>
      </c>
      <c r="F13" s="312" t="s">
        <v>542</v>
      </c>
    </row>
    <row r="14" spans="1:6" ht="26.4" x14ac:dyDescent="0.3">
      <c r="A14" s="348" t="s">
        <v>539</v>
      </c>
      <c r="B14" s="349"/>
      <c r="C14" s="306"/>
      <c r="D14" s="309" t="s">
        <v>543</v>
      </c>
      <c r="E14" s="311" t="s">
        <v>544</v>
      </c>
      <c r="F14" s="311" t="s">
        <v>545</v>
      </c>
    </row>
    <row r="15" spans="1:6" ht="26.4" x14ac:dyDescent="0.3">
      <c r="A15" s="349"/>
      <c r="B15" s="349"/>
      <c r="C15" s="306"/>
      <c r="D15" s="309" t="s">
        <v>546</v>
      </c>
      <c r="E15" s="311" t="s">
        <v>547</v>
      </c>
      <c r="F15" s="311" t="s">
        <v>548</v>
      </c>
    </row>
    <row r="16" spans="1:6" ht="26.4" x14ac:dyDescent="0.3">
      <c r="A16" s="349"/>
      <c r="B16" s="349"/>
      <c r="C16" s="306"/>
      <c r="D16" s="309" t="s">
        <v>549</v>
      </c>
      <c r="E16" s="311" t="s">
        <v>550</v>
      </c>
      <c r="F16" s="311" t="s">
        <v>551</v>
      </c>
    </row>
    <row r="17" spans="1:6" ht="26.4" x14ac:dyDescent="0.3">
      <c r="A17" s="349"/>
      <c r="B17" s="349"/>
      <c r="C17" s="306"/>
      <c r="D17" s="309" t="s">
        <v>552</v>
      </c>
      <c r="E17" s="311" t="s">
        <v>553</v>
      </c>
      <c r="F17" s="311" t="s">
        <v>554</v>
      </c>
    </row>
    <row r="18" spans="1:6" ht="26.4" x14ac:dyDescent="0.3">
      <c r="A18" s="349"/>
      <c r="B18" s="349"/>
      <c r="C18" s="306"/>
      <c r="D18" s="309" t="s">
        <v>555</v>
      </c>
      <c r="E18" s="311" t="s">
        <v>556</v>
      </c>
      <c r="F18" s="311" t="s">
        <v>557</v>
      </c>
    </row>
    <row r="19" spans="1:6" ht="26.4" x14ac:dyDescent="0.3">
      <c r="A19" s="349"/>
      <c r="B19" s="349"/>
      <c r="C19" s="306"/>
      <c r="D19" s="309" t="s">
        <v>558</v>
      </c>
      <c r="E19" s="311" t="s">
        <v>559</v>
      </c>
      <c r="F19" s="311" t="s">
        <v>560</v>
      </c>
    </row>
    <row r="20" spans="1:6" ht="26.4" x14ac:dyDescent="0.3">
      <c r="A20" s="349"/>
      <c r="B20" s="349"/>
      <c r="C20" s="305"/>
      <c r="D20" s="309" t="s">
        <v>561</v>
      </c>
      <c r="E20" s="311" t="s">
        <v>562</v>
      </c>
      <c r="F20" s="311" t="s">
        <v>563</v>
      </c>
    </row>
    <row r="21" spans="1:6" ht="39.6" x14ac:dyDescent="0.3">
      <c r="A21" s="305"/>
      <c r="B21" s="305"/>
      <c r="C21" s="305"/>
      <c r="D21" s="309" t="s">
        <v>564</v>
      </c>
      <c r="E21" s="311" t="s">
        <v>565</v>
      </c>
      <c r="F21" s="311" t="s">
        <v>566</v>
      </c>
    </row>
    <row r="22" spans="1:6" x14ac:dyDescent="0.3">
      <c r="A22" s="305"/>
      <c r="B22" s="305"/>
      <c r="C22" s="305"/>
      <c r="D22" s="305"/>
      <c r="E22" s="305"/>
      <c r="F22" s="305"/>
    </row>
    <row r="23" spans="1:6" x14ac:dyDescent="0.3">
      <c r="A23" s="305"/>
      <c r="B23" s="305"/>
      <c r="C23" s="305"/>
      <c r="D23" s="338" t="s">
        <v>567</v>
      </c>
      <c r="E23" s="339"/>
      <c r="F23" s="339"/>
    </row>
    <row r="24" spans="1:6" ht="14.4" customHeight="1" x14ac:dyDescent="0.3">
      <c r="A24" s="346" t="s">
        <v>567</v>
      </c>
      <c r="B24" s="345"/>
      <c r="C24" s="305"/>
      <c r="D24" s="305"/>
      <c r="E24" s="305"/>
      <c r="F24" s="305"/>
    </row>
    <row r="25" spans="1:6" ht="14.4" customHeight="1" x14ac:dyDescent="0.3">
      <c r="A25" s="340" t="s">
        <v>568</v>
      </c>
      <c r="B25" s="340"/>
      <c r="C25" s="305"/>
      <c r="D25" s="305"/>
      <c r="E25" s="305"/>
      <c r="F25" s="305"/>
    </row>
    <row r="26" spans="1:6" x14ac:dyDescent="0.3">
      <c r="A26" s="340"/>
      <c r="B26" s="340"/>
      <c r="C26" s="305"/>
      <c r="D26" s="305"/>
      <c r="E26" s="305"/>
      <c r="F26" s="305"/>
    </row>
    <row r="27" spans="1:6" ht="159.6" customHeight="1" x14ac:dyDescent="0.3">
      <c r="A27" s="340"/>
      <c r="B27" s="340"/>
      <c r="C27" s="305"/>
      <c r="D27" s="305"/>
      <c r="E27" s="305"/>
      <c r="F27" s="305"/>
    </row>
    <row r="28" spans="1:6" x14ac:dyDescent="0.3">
      <c r="A28" s="305"/>
      <c r="B28" s="305"/>
      <c r="C28" s="305"/>
      <c r="D28" s="305"/>
      <c r="E28" s="305"/>
      <c r="F28" s="305"/>
    </row>
    <row r="29" spans="1:6" x14ac:dyDescent="0.3">
      <c r="A29" s="305"/>
      <c r="B29" s="305"/>
      <c r="C29" s="305"/>
      <c r="D29" s="305"/>
      <c r="E29" s="305"/>
      <c r="F29" s="305"/>
    </row>
    <row r="30" spans="1:6" x14ac:dyDescent="0.3">
      <c r="A30" s="305"/>
      <c r="B30" s="305"/>
      <c r="C30" s="305"/>
      <c r="D30" s="305"/>
      <c r="E30" s="305"/>
      <c r="F30" s="305"/>
    </row>
    <row r="31" spans="1:6" x14ac:dyDescent="0.3">
      <c r="A31" s="305"/>
      <c r="B31" s="305"/>
      <c r="C31" s="305"/>
      <c r="D31" s="305"/>
      <c r="E31" s="305"/>
      <c r="F31" s="305"/>
    </row>
    <row r="32" spans="1:6" x14ac:dyDescent="0.3">
      <c r="A32" s="305"/>
      <c r="B32" s="305"/>
      <c r="C32" s="305"/>
      <c r="D32" s="305"/>
      <c r="E32" s="305"/>
      <c r="F32" s="305"/>
    </row>
    <row r="33" spans="1:6" x14ac:dyDescent="0.3">
      <c r="A33" s="305"/>
      <c r="B33" s="305"/>
      <c r="C33" s="305"/>
      <c r="D33" s="305"/>
      <c r="E33" s="305"/>
      <c r="F33" s="305"/>
    </row>
    <row r="34" spans="1:6" x14ac:dyDescent="0.3">
      <c r="A34" s="305"/>
      <c r="B34" s="305"/>
      <c r="C34" s="305"/>
    </row>
    <row r="35" spans="1:6" x14ac:dyDescent="0.3">
      <c r="C35" s="305"/>
    </row>
    <row r="36" spans="1:6" x14ac:dyDescent="0.3">
      <c r="C36" s="305"/>
    </row>
    <row r="37" spans="1:6" x14ac:dyDescent="0.3">
      <c r="C37" s="305"/>
    </row>
    <row r="38" spans="1:6" x14ac:dyDescent="0.3">
      <c r="C38" s="305"/>
    </row>
    <row r="39" spans="1:6" x14ac:dyDescent="0.3">
      <c r="C39" s="305"/>
    </row>
    <row r="40" spans="1:6" x14ac:dyDescent="0.3">
      <c r="C40" s="305"/>
    </row>
  </sheetData>
  <mergeCells count="10">
    <mergeCell ref="D13"/>
    <mergeCell ref="D23:F23"/>
    <mergeCell ref="A25:B27"/>
    <mergeCell ref="A1:E2"/>
    <mergeCell ref="D12:F12"/>
    <mergeCell ref="D4:F4"/>
    <mergeCell ref="A24:B24"/>
    <mergeCell ref="A4:B4"/>
    <mergeCell ref="D5"/>
    <mergeCell ref="A14:B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0CBE-EB47-4A26-BD1B-DCAD39F6FB98}">
  <dimension ref="A1:T42"/>
  <sheetViews>
    <sheetView workbookViewId="0">
      <selection activeCell="K32" sqref="K32"/>
    </sheetView>
  </sheetViews>
  <sheetFormatPr defaultRowHeight="14.4" x14ac:dyDescent="0.3"/>
  <cols>
    <col min="2" max="2" width="22.33203125" customWidth="1"/>
  </cols>
  <sheetData>
    <row r="1" spans="2:11" ht="14.4" customHeight="1" x14ac:dyDescent="0.3">
      <c r="B1" s="350" t="s">
        <v>584</v>
      </c>
      <c r="C1" s="351"/>
      <c r="D1" s="351"/>
      <c r="E1" s="351"/>
      <c r="F1" s="351"/>
      <c r="G1" s="351"/>
      <c r="H1" s="351"/>
      <c r="I1" s="351"/>
      <c r="J1" s="351"/>
      <c r="K1" s="352"/>
    </row>
    <row r="2" spans="2:11" ht="42.6" customHeight="1" x14ac:dyDescent="0.3">
      <c r="B2" s="360" t="s">
        <v>585</v>
      </c>
      <c r="C2" s="362" t="s">
        <v>586</v>
      </c>
      <c r="D2" s="362"/>
      <c r="E2" s="362"/>
      <c r="F2" s="362"/>
      <c r="G2" s="362"/>
      <c r="H2" s="362"/>
      <c r="I2" s="362"/>
      <c r="J2" s="362"/>
      <c r="K2" s="363"/>
    </row>
    <row r="3" spans="2:11" ht="43.2" customHeight="1" x14ac:dyDescent="0.3">
      <c r="B3" s="361"/>
      <c r="C3" s="362"/>
      <c r="D3" s="362"/>
      <c r="E3" s="362"/>
      <c r="F3" s="362"/>
      <c r="G3" s="362"/>
      <c r="H3" s="362"/>
      <c r="I3" s="362"/>
      <c r="J3" s="362"/>
      <c r="K3" s="363"/>
    </row>
    <row r="4" spans="2:11" ht="14.4" customHeight="1" x14ac:dyDescent="0.3">
      <c r="B4" s="360" t="s">
        <v>587</v>
      </c>
      <c r="C4" s="364" t="s">
        <v>588</v>
      </c>
      <c r="D4" s="364"/>
      <c r="E4" s="364"/>
      <c r="F4" s="364"/>
      <c r="G4" s="364"/>
      <c r="H4" s="364"/>
      <c r="I4" s="364"/>
      <c r="J4" s="364"/>
      <c r="K4" s="365"/>
    </row>
    <row r="5" spans="2:11" ht="52.2" customHeight="1" x14ac:dyDescent="0.3">
      <c r="B5" s="361"/>
      <c r="C5" s="364"/>
      <c r="D5" s="364"/>
      <c r="E5" s="364"/>
      <c r="F5" s="364"/>
      <c r="G5" s="364"/>
      <c r="H5" s="364"/>
      <c r="I5" s="364"/>
      <c r="J5" s="364"/>
      <c r="K5" s="365"/>
    </row>
    <row r="6" spans="2:11" ht="41.4" customHeight="1" x14ac:dyDescent="0.3">
      <c r="B6" s="360" t="s">
        <v>589</v>
      </c>
      <c r="C6" s="362" t="s">
        <v>590</v>
      </c>
      <c r="D6" s="362"/>
      <c r="E6" s="362"/>
      <c r="F6" s="362"/>
      <c r="G6" s="362"/>
      <c r="H6" s="362"/>
      <c r="I6" s="362"/>
      <c r="J6" s="362"/>
      <c r="K6" s="363"/>
    </row>
    <row r="7" spans="2:11" ht="41.4" customHeight="1" x14ac:dyDescent="0.3">
      <c r="B7" s="361"/>
      <c r="C7" s="362"/>
      <c r="D7" s="362"/>
      <c r="E7" s="362"/>
      <c r="F7" s="362"/>
      <c r="G7" s="362"/>
      <c r="H7" s="362"/>
      <c r="I7" s="362"/>
      <c r="J7" s="362"/>
      <c r="K7" s="363"/>
    </row>
    <row r="8" spans="2:11" ht="14.4" customHeight="1" x14ac:dyDescent="0.3">
      <c r="B8" s="360" t="s">
        <v>591</v>
      </c>
      <c r="C8" s="364" t="s">
        <v>592</v>
      </c>
      <c r="D8" s="364"/>
      <c r="E8" s="364"/>
      <c r="F8" s="364"/>
      <c r="G8" s="364"/>
      <c r="H8" s="364"/>
      <c r="I8" s="364"/>
      <c r="J8" s="364"/>
      <c r="K8" s="365"/>
    </row>
    <row r="9" spans="2:11" ht="54.6" customHeight="1" x14ac:dyDescent="0.3">
      <c r="B9" s="361"/>
      <c r="C9" s="364"/>
      <c r="D9" s="364"/>
      <c r="E9" s="364"/>
      <c r="F9" s="364"/>
      <c r="G9" s="364"/>
      <c r="H9" s="364"/>
      <c r="I9" s="364"/>
      <c r="J9" s="364"/>
      <c r="K9" s="365"/>
    </row>
    <row r="10" spans="2:11" ht="15" customHeight="1" x14ac:dyDescent="0.3">
      <c r="B10" s="353" t="s">
        <v>593</v>
      </c>
      <c r="C10" s="354"/>
      <c r="D10" s="354"/>
      <c r="E10" s="354"/>
      <c r="F10" s="354"/>
      <c r="G10" s="354"/>
      <c r="H10" s="354"/>
      <c r="I10" s="354"/>
      <c r="J10" s="354"/>
      <c r="K10" s="355"/>
    </row>
    <row r="11" spans="2:11" x14ac:dyDescent="0.3">
      <c r="B11" s="353"/>
      <c r="C11" s="354"/>
      <c r="D11" s="354"/>
      <c r="E11" s="354"/>
      <c r="F11" s="354"/>
      <c r="G11" s="354"/>
      <c r="H11" s="354"/>
      <c r="I11" s="354"/>
      <c r="J11" s="354"/>
      <c r="K11" s="355"/>
    </row>
    <row r="12" spans="2:11" x14ac:dyDescent="0.3">
      <c r="B12" s="353"/>
      <c r="C12" s="354"/>
      <c r="D12" s="354"/>
      <c r="E12" s="354"/>
      <c r="F12" s="354"/>
      <c r="G12" s="354"/>
      <c r="H12" s="354"/>
      <c r="I12" s="354"/>
      <c r="J12" s="354"/>
      <c r="K12" s="355"/>
    </row>
    <row r="13" spans="2:11" x14ac:dyDescent="0.3">
      <c r="B13" s="353"/>
      <c r="C13" s="354"/>
      <c r="D13" s="354"/>
      <c r="E13" s="354"/>
      <c r="F13" s="354"/>
      <c r="G13" s="354"/>
      <c r="H13" s="354"/>
      <c r="I13" s="354"/>
      <c r="J13" s="354"/>
      <c r="K13" s="355"/>
    </row>
    <row r="14" spans="2:11" x14ac:dyDescent="0.3">
      <c r="B14" s="353"/>
      <c r="C14" s="354"/>
      <c r="D14" s="354"/>
      <c r="E14" s="354"/>
      <c r="F14" s="354"/>
      <c r="G14" s="354"/>
      <c r="H14" s="354"/>
      <c r="I14" s="354"/>
      <c r="J14" s="354"/>
      <c r="K14" s="355"/>
    </row>
    <row r="15" spans="2:11" ht="15" thickBot="1" x14ac:dyDescent="0.35">
      <c r="B15" s="356"/>
      <c r="C15" s="357"/>
      <c r="D15" s="357"/>
      <c r="E15" s="357"/>
      <c r="F15" s="357"/>
      <c r="G15" s="357"/>
      <c r="H15" s="357"/>
      <c r="I15" s="357"/>
      <c r="J15" s="357"/>
      <c r="K15" s="358"/>
    </row>
    <row r="17" spans="1:20" ht="66" x14ac:dyDescent="0.3">
      <c r="A17" s="315" t="s">
        <v>12</v>
      </c>
      <c r="B17" s="315" t="s">
        <v>572</v>
      </c>
      <c r="C17" s="315" t="s">
        <v>573</v>
      </c>
      <c r="D17" s="315" t="s">
        <v>574</v>
      </c>
      <c r="E17" s="315" t="s">
        <v>575</v>
      </c>
      <c r="F17" s="315" t="s">
        <v>576</v>
      </c>
      <c r="G17" s="315" t="s">
        <v>577</v>
      </c>
    </row>
    <row r="18" spans="1:20" x14ac:dyDescent="0.3">
      <c r="A18" s="313">
        <v>2015</v>
      </c>
      <c r="B18" s="313">
        <v>20</v>
      </c>
      <c r="C18" s="313">
        <v>9774</v>
      </c>
      <c r="D18" s="313">
        <v>320</v>
      </c>
      <c r="E18" s="313">
        <v>45</v>
      </c>
      <c r="F18" s="313">
        <v>4.8</v>
      </c>
      <c r="G18" s="313">
        <v>8000</v>
      </c>
      <c r="I18" s="359" t="s">
        <v>594</v>
      </c>
      <c r="J18" s="359"/>
      <c r="K18" s="359"/>
      <c r="L18" s="359"/>
      <c r="M18" s="359"/>
      <c r="N18" s="359"/>
      <c r="O18" s="359"/>
      <c r="P18" s="359"/>
      <c r="Q18" s="359"/>
      <c r="R18" s="359"/>
      <c r="S18" s="359"/>
      <c r="T18" s="359"/>
    </row>
    <row r="19" spans="1:20" x14ac:dyDescent="0.3">
      <c r="A19" s="314">
        <v>2016</v>
      </c>
      <c r="B19" s="314">
        <v>21.5</v>
      </c>
      <c r="C19" s="314">
        <v>10938</v>
      </c>
      <c r="D19" s="314">
        <v>360</v>
      </c>
      <c r="E19" s="314">
        <v>47</v>
      </c>
      <c r="F19" s="314">
        <v>5</v>
      </c>
      <c r="G19" s="314">
        <v>8800</v>
      </c>
      <c r="I19" s="359"/>
      <c r="J19" s="359"/>
      <c r="K19" s="359"/>
      <c r="L19" s="359"/>
      <c r="M19" s="359"/>
      <c r="N19" s="359"/>
      <c r="O19" s="359"/>
      <c r="P19" s="359"/>
      <c r="Q19" s="359"/>
      <c r="R19" s="359"/>
      <c r="S19" s="359"/>
      <c r="T19" s="359"/>
    </row>
    <row r="20" spans="1:20" x14ac:dyDescent="0.3">
      <c r="A20" s="313">
        <v>2017</v>
      </c>
      <c r="B20" s="313">
        <v>23</v>
      </c>
      <c r="C20" s="313">
        <v>12055</v>
      </c>
      <c r="D20" s="313">
        <v>380</v>
      </c>
      <c r="E20" s="313">
        <v>48</v>
      </c>
      <c r="F20" s="313">
        <v>5.0999999999999996</v>
      </c>
      <c r="G20" s="313">
        <v>9500</v>
      </c>
      <c r="I20" s="359"/>
      <c r="J20" s="359"/>
      <c r="K20" s="359"/>
      <c r="L20" s="359"/>
      <c r="M20" s="359"/>
      <c r="N20" s="359"/>
      <c r="O20" s="359"/>
      <c r="P20" s="359"/>
      <c r="Q20" s="359"/>
      <c r="R20" s="359"/>
      <c r="S20" s="359"/>
      <c r="T20" s="359"/>
    </row>
    <row r="21" spans="1:20" x14ac:dyDescent="0.3">
      <c r="A21" s="314">
        <v>2018</v>
      </c>
      <c r="B21" s="314">
        <v>25</v>
      </c>
      <c r="C21" s="314">
        <v>14273</v>
      </c>
      <c r="D21" s="314">
        <v>390</v>
      </c>
      <c r="E21" s="314">
        <v>50</v>
      </c>
      <c r="F21" s="314">
        <v>5.2</v>
      </c>
      <c r="G21" s="314">
        <v>10500</v>
      </c>
      <c r="I21" s="359"/>
      <c r="J21" s="359"/>
      <c r="K21" s="359"/>
      <c r="L21" s="359"/>
      <c r="M21" s="359"/>
      <c r="N21" s="359"/>
      <c r="O21" s="359"/>
      <c r="P21" s="359"/>
      <c r="Q21" s="359"/>
      <c r="R21" s="359"/>
      <c r="S21" s="359"/>
      <c r="T21" s="359"/>
    </row>
    <row r="22" spans="1:20" x14ac:dyDescent="0.3">
      <c r="A22" s="313">
        <v>2019</v>
      </c>
      <c r="B22" s="313">
        <v>27</v>
      </c>
      <c r="C22" s="313">
        <v>16363</v>
      </c>
      <c r="D22" s="313">
        <v>400</v>
      </c>
      <c r="E22" s="313">
        <v>51</v>
      </c>
      <c r="F22" s="313">
        <v>5.3</v>
      </c>
      <c r="G22" s="313">
        <v>11500</v>
      </c>
      <c r="I22" s="359"/>
      <c r="J22" s="359"/>
      <c r="K22" s="359"/>
      <c r="L22" s="359"/>
      <c r="M22" s="359"/>
      <c r="N22" s="359"/>
      <c r="O22" s="359"/>
      <c r="P22" s="359"/>
      <c r="Q22" s="359"/>
      <c r="R22" s="359"/>
      <c r="S22" s="359"/>
      <c r="T22" s="359"/>
    </row>
    <row r="23" spans="1:20" x14ac:dyDescent="0.3">
      <c r="A23" s="314">
        <v>2020</v>
      </c>
      <c r="B23" s="314">
        <v>24</v>
      </c>
      <c r="C23" s="314">
        <v>16779</v>
      </c>
      <c r="D23" s="314">
        <v>420</v>
      </c>
      <c r="E23" s="314">
        <v>52</v>
      </c>
      <c r="F23" s="314">
        <v>5.5</v>
      </c>
      <c r="G23" s="314">
        <v>13000</v>
      </c>
      <c r="I23" s="359"/>
      <c r="J23" s="359"/>
      <c r="K23" s="359"/>
      <c r="L23" s="359"/>
      <c r="M23" s="359"/>
      <c r="N23" s="359"/>
      <c r="O23" s="359"/>
      <c r="P23" s="359"/>
      <c r="Q23" s="359"/>
      <c r="R23" s="359"/>
      <c r="S23" s="359"/>
      <c r="T23" s="359"/>
    </row>
    <row r="24" spans="1:20" x14ac:dyDescent="0.3">
      <c r="A24" s="313">
        <v>2021</v>
      </c>
      <c r="B24" s="313">
        <v>26.5</v>
      </c>
      <c r="C24" s="313">
        <v>19160</v>
      </c>
      <c r="D24" s="313">
        <v>520</v>
      </c>
      <c r="E24" s="313">
        <v>54</v>
      </c>
      <c r="F24" s="313">
        <v>5.6</v>
      </c>
      <c r="G24" s="313">
        <v>14500</v>
      </c>
      <c r="I24" s="359"/>
      <c r="J24" s="359"/>
      <c r="K24" s="359"/>
      <c r="L24" s="359"/>
      <c r="M24" s="359"/>
      <c r="N24" s="359"/>
      <c r="O24" s="359"/>
      <c r="P24" s="359"/>
      <c r="Q24" s="359"/>
      <c r="R24" s="359"/>
      <c r="S24" s="359"/>
      <c r="T24" s="359"/>
    </row>
    <row r="25" spans="1:20" x14ac:dyDescent="0.3">
      <c r="A25" s="314">
        <v>2022</v>
      </c>
      <c r="B25" s="314">
        <v>30</v>
      </c>
      <c r="C25" s="314">
        <v>20038</v>
      </c>
      <c r="D25" s="314">
        <v>620</v>
      </c>
      <c r="E25" s="314">
        <v>56</v>
      </c>
      <c r="F25" s="314">
        <v>5.5</v>
      </c>
      <c r="G25" s="314">
        <v>16000</v>
      </c>
      <c r="I25" s="359"/>
      <c r="J25" s="359"/>
      <c r="K25" s="359"/>
      <c r="L25" s="359"/>
      <c r="M25" s="359"/>
      <c r="N25" s="359"/>
      <c r="O25" s="359"/>
      <c r="P25" s="359"/>
      <c r="Q25" s="359"/>
      <c r="R25" s="359"/>
      <c r="S25" s="359"/>
      <c r="T25" s="359"/>
    </row>
    <row r="26" spans="1:20" x14ac:dyDescent="0.3">
      <c r="A26" s="313">
        <v>2023</v>
      </c>
      <c r="B26" s="313">
        <v>33</v>
      </c>
      <c r="C26" s="313">
        <v>22753</v>
      </c>
      <c r="D26" s="313">
        <v>720</v>
      </c>
      <c r="E26" s="313">
        <v>57</v>
      </c>
      <c r="F26" s="313">
        <v>5.6</v>
      </c>
      <c r="G26" s="313">
        <v>17500</v>
      </c>
      <c r="I26" s="359"/>
      <c r="J26" s="359"/>
      <c r="K26" s="359"/>
      <c r="L26" s="359"/>
      <c r="M26" s="359"/>
      <c r="N26" s="359"/>
      <c r="O26" s="359"/>
      <c r="P26" s="359"/>
      <c r="Q26" s="359"/>
      <c r="R26" s="359"/>
      <c r="S26" s="359"/>
      <c r="T26" s="359"/>
    </row>
    <row r="27" spans="1:20" x14ac:dyDescent="0.3">
      <c r="A27" s="314">
        <v>2024</v>
      </c>
      <c r="B27" s="314">
        <v>38</v>
      </c>
      <c r="C27" s="314">
        <v>25774</v>
      </c>
      <c r="D27" s="314">
        <v>830</v>
      </c>
      <c r="E27" s="314">
        <v>58</v>
      </c>
      <c r="F27" s="314">
        <v>5.7</v>
      </c>
      <c r="G27" s="314">
        <v>19000</v>
      </c>
      <c r="I27" s="359"/>
      <c r="J27" s="359"/>
      <c r="K27" s="359"/>
      <c r="L27" s="359"/>
      <c r="M27" s="359"/>
      <c r="N27" s="359"/>
      <c r="O27" s="359"/>
      <c r="P27" s="359"/>
      <c r="Q27" s="359"/>
      <c r="R27" s="359"/>
      <c r="S27" s="359"/>
      <c r="T27" s="359"/>
    </row>
    <row r="28" spans="1:20" x14ac:dyDescent="0.3">
      <c r="A28" s="313">
        <v>2025</v>
      </c>
      <c r="B28" s="313">
        <v>42</v>
      </c>
      <c r="C28" s="313">
        <v>28400</v>
      </c>
      <c r="D28" s="313">
        <v>934</v>
      </c>
      <c r="E28" s="313">
        <v>60</v>
      </c>
      <c r="F28" s="313">
        <v>5.8</v>
      </c>
      <c r="G28" s="313">
        <v>21000</v>
      </c>
      <c r="I28" s="359"/>
      <c r="J28" s="359"/>
      <c r="K28" s="359"/>
      <c r="L28" s="359"/>
      <c r="M28" s="359"/>
      <c r="N28" s="359"/>
      <c r="O28" s="359"/>
      <c r="P28" s="359"/>
      <c r="Q28" s="359"/>
      <c r="R28" s="359"/>
      <c r="S28" s="359"/>
      <c r="T28" s="359"/>
    </row>
    <row r="30" spans="1:20" x14ac:dyDescent="0.3">
      <c r="A30" s="305"/>
      <c r="B30" s="305"/>
      <c r="C30" s="305"/>
      <c r="D30" s="305"/>
      <c r="E30" s="305"/>
      <c r="F30" s="305"/>
      <c r="G30" s="305"/>
    </row>
    <row r="31" spans="1:20" ht="66" x14ac:dyDescent="0.3">
      <c r="A31" s="316" t="s">
        <v>12</v>
      </c>
      <c r="B31" s="316" t="s">
        <v>578</v>
      </c>
      <c r="C31" s="316" t="s">
        <v>579</v>
      </c>
      <c r="D31" s="316" t="s">
        <v>580</v>
      </c>
      <c r="E31" s="316" t="s">
        <v>581</v>
      </c>
      <c r="F31" s="316" t="s">
        <v>582</v>
      </c>
      <c r="G31" s="305"/>
    </row>
    <row r="32" spans="1:20" x14ac:dyDescent="0.3">
      <c r="A32" s="313">
        <v>2015</v>
      </c>
      <c r="B32" s="313" t="s">
        <v>583</v>
      </c>
      <c r="C32" s="313" t="s">
        <v>583</v>
      </c>
      <c r="D32" s="313" t="s">
        <v>583</v>
      </c>
      <c r="E32" s="313" t="s">
        <v>583</v>
      </c>
      <c r="F32" s="313" t="s">
        <v>583</v>
      </c>
      <c r="G32" s="305"/>
    </row>
    <row r="33" spans="1:7" x14ac:dyDescent="0.3">
      <c r="A33" s="314">
        <v>2016</v>
      </c>
      <c r="B33" s="314">
        <v>12</v>
      </c>
      <c r="C33" s="314">
        <v>7.5</v>
      </c>
      <c r="D33" s="314">
        <v>12.5</v>
      </c>
      <c r="E33" s="314">
        <v>2</v>
      </c>
      <c r="F33" s="314">
        <v>10</v>
      </c>
      <c r="G33" s="305"/>
    </row>
    <row r="34" spans="1:7" x14ac:dyDescent="0.3">
      <c r="A34" s="313">
        <v>2017</v>
      </c>
      <c r="B34" s="313">
        <v>10</v>
      </c>
      <c r="C34" s="313">
        <v>7</v>
      </c>
      <c r="D34" s="313">
        <v>5.6</v>
      </c>
      <c r="E34" s="313">
        <v>1</v>
      </c>
      <c r="F34" s="313">
        <v>8</v>
      </c>
      <c r="G34" s="305"/>
    </row>
    <row r="35" spans="1:7" x14ac:dyDescent="0.3">
      <c r="A35" s="314">
        <v>2018</v>
      </c>
      <c r="B35" s="314">
        <v>18</v>
      </c>
      <c r="C35" s="314">
        <v>8.6999999999999993</v>
      </c>
      <c r="D35" s="314">
        <v>2.6</v>
      </c>
      <c r="E35" s="314">
        <v>2</v>
      </c>
      <c r="F35" s="314">
        <v>10.5</v>
      </c>
      <c r="G35" s="305"/>
    </row>
    <row r="36" spans="1:7" x14ac:dyDescent="0.3">
      <c r="A36" s="313">
        <v>2019</v>
      </c>
      <c r="B36" s="313">
        <v>15</v>
      </c>
      <c r="C36" s="313">
        <v>8</v>
      </c>
      <c r="D36" s="313">
        <v>2.6</v>
      </c>
      <c r="E36" s="313">
        <v>1</v>
      </c>
      <c r="F36" s="313">
        <v>9.5</v>
      </c>
      <c r="G36" s="305"/>
    </row>
    <row r="37" spans="1:7" x14ac:dyDescent="0.3">
      <c r="A37" s="314">
        <v>2020</v>
      </c>
      <c r="B37" s="314">
        <v>2</v>
      </c>
      <c r="C37" s="314">
        <v>-11.1</v>
      </c>
      <c r="D37" s="314">
        <v>5</v>
      </c>
      <c r="E37" s="314">
        <v>1</v>
      </c>
      <c r="F37" s="314">
        <v>13</v>
      </c>
      <c r="G37" s="305"/>
    </row>
    <row r="38" spans="1:7" x14ac:dyDescent="0.3">
      <c r="A38" s="313">
        <v>2021</v>
      </c>
      <c r="B38" s="313">
        <v>14</v>
      </c>
      <c r="C38" s="313">
        <v>10.4</v>
      </c>
      <c r="D38" s="313">
        <v>23.8</v>
      </c>
      <c r="E38" s="313">
        <v>2</v>
      </c>
      <c r="F38" s="313">
        <v>11.5</v>
      </c>
      <c r="G38" s="305"/>
    </row>
    <row r="39" spans="1:7" x14ac:dyDescent="0.3">
      <c r="A39" s="314">
        <v>2022</v>
      </c>
      <c r="B39" s="314">
        <v>5</v>
      </c>
      <c r="C39" s="314">
        <v>13.2</v>
      </c>
      <c r="D39" s="314">
        <v>19.2</v>
      </c>
      <c r="E39" s="314">
        <v>2</v>
      </c>
      <c r="F39" s="314">
        <v>10.3</v>
      </c>
      <c r="G39" s="305"/>
    </row>
    <row r="40" spans="1:7" x14ac:dyDescent="0.3">
      <c r="A40" s="313">
        <v>2023</v>
      </c>
      <c r="B40" s="313">
        <v>14</v>
      </c>
      <c r="C40" s="313">
        <v>10</v>
      </c>
      <c r="D40" s="313">
        <v>16.100000000000001</v>
      </c>
      <c r="E40" s="313">
        <v>1</v>
      </c>
      <c r="F40" s="313">
        <v>9.4</v>
      </c>
      <c r="G40" s="305"/>
    </row>
    <row r="41" spans="1:7" x14ac:dyDescent="0.3">
      <c r="A41" s="314">
        <v>2024</v>
      </c>
      <c r="B41" s="314">
        <v>13</v>
      </c>
      <c r="C41" s="314">
        <v>15.2</v>
      </c>
      <c r="D41" s="314">
        <v>15.3</v>
      </c>
      <c r="E41" s="314">
        <v>1</v>
      </c>
      <c r="F41" s="314">
        <v>8.6</v>
      </c>
      <c r="G41" s="305"/>
    </row>
    <row r="42" spans="1:7" x14ac:dyDescent="0.3">
      <c r="A42" s="313">
        <v>2025</v>
      </c>
      <c r="B42" s="313">
        <v>10</v>
      </c>
      <c r="C42" s="313">
        <v>10.5</v>
      </c>
      <c r="D42" s="313">
        <v>12.5</v>
      </c>
      <c r="E42" s="313">
        <v>2</v>
      </c>
      <c r="F42" s="313">
        <v>10.5</v>
      </c>
      <c r="G42" s="305"/>
    </row>
  </sheetData>
  <mergeCells count="11">
    <mergeCell ref="B1:K1"/>
    <mergeCell ref="B10:K15"/>
    <mergeCell ref="I18:T28"/>
    <mergeCell ref="B8:B9"/>
    <mergeCell ref="B6:B7"/>
    <mergeCell ref="B2:B3"/>
    <mergeCell ref="B4:B5"/>
    <mergeCell ref="C2:K3"/>
    <mergeCell ref="C4:K5"/>
    <mergeCell ref="C6:K7"/>
    <mergeCell ref="C8:K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3"/>
  <sheetViews>
    <sheetView zoomScaleNormal="100" workbookViewId="0">
      <pane xSplit="1" ySplit="2" topLeftCell="B92" activePane="bottomRight" state="frozen"/>
      <selection pane="topRight" activeCell="B1" sqref="B1"/>
      <selection pane="bottomLeft" activeCell="A3" sqref="A3"/>
      <selection pane="bottomRight" activeCell="B107" sqref="B107:H113"/>
    </sheetView>
  </sheetViews>
  <sheetFormatPr defaultColWidth="8.6640625" defaultRowHeight="14.4" x14ac:dyDescent="0.3"/>
  <cols>
    <col min="1" max="1" width="43.44140625" bestFit="1" customWidth="1"/>
    <col min="2" max="8" width="11" customWidth="1"/>
    <col min="9" max="9" width="33.33203125" customWidth="1"/>
    <col min="10" max="10" width="36" customWidth="1"/>
    <col min="11" max="17" width="11" customWidth="1"/>
  </cols>
  <sheetData>
    <row r="1" spans="1:17" ht="24" customHeight="1" x14ac:dyDescent="0.3">
      <c r="A1" s="366" t="s">
        <v>0</v>
      </c>
      <c r="B1" s="366"/>
      <c r="C1" s="366"/>
      <c r="D1" s="366"/>
      <c r="E1" s="366"/>
      <c r="F1" s="366"/>
      <c r="G1" s="366"/>
      <c r="H1" s="366"/>
      <c r="J1" s="366" t="s">
        <v>1</v>
      </c>
      <c r="K1" s="366"/>
      <c r="L1" s="366"/>
      <c r="M1" s="366"/>
      <c r="N1" s="366"/>
      <c r="O1" s="366"/>
      <c r="P1" s="366"/>
      <c r="Q1" s="366"/>
    </row>
    <row r="2" spans="1:17" ht="15.75" customHeight="1" x14ac:dyDescent="0.3">
      <c r="A2" s="2" t="s">
        <v>2</v>
      </c>
      <c r="B2" s="3">
        <v>2019</v>
      </c>
      <c r="C2" s="3" t="s">
        <v>4</v>
      </c>
      <c r="D2" s="3" t="s">
        <v>5</v>
      </c>
      <c r="E2" s="3">
        <v>2022</v>
      </c>
      <c r="F2" s="3" t="s">
        <v>7</v>
      </c>
      <c r="G2" s="3" t="s">
        <v>8</v>
      </c>
      <c r="H2" s="3" t="s">
        <v>9</v>
      </c>
      <c r="J2" s="2" t="s">
        <v>2</v>
      </c>
      <c r="K2" s="3" t="s">
        <v>3</v>
      </c>
      <c r="L2" s="3" t="s">
        <v>4</v>
      </c>
      <c r="M2" s="3" t="s">
        <v>5</v>
      </c>
      <c r="N2" s="3" t="s">
        <v>6</v>
      </c>
      <c r="O2" s="3" t="s">
        <v>7</v>
      </c>
      <c r="P2" s="3" t="s">
        <v>8</v>
      </c>
      <c r="Q2" s="3" t="s">
        <v>9</v>
      </c>
    </row>
    <row r="3" spans="1:17" ht="15" customHeight="1" x14ac:dyDescent="0.3">
      <c r="A3" s="4" t="s">
        <v>10</v>
      </c>
      <c r="B3" s="5"/>
      <c r="C3" s="5"/>
      <c r="D3" s="5"/>
      <c r="E3" s="5"/>
      <c r="F3" s="5"/>
      <c r="G3" s="5"/>
      <c r="H3" s="5"/>
      <c r="J3" s="4" t="s">
        <v>11</v>
      </c>
      <c r="K3" s="5"/>
      <c r="L3" s="5"/>
      <c r="M3" s="5"/>
      <c r="N3" s="5"/>
      <c r="O3" s="5"/>
      <c r="P3" s="5"/>
      <c r="Q3" s="5"/>
    </row>
    <row r="5" spans="1:17" ht="15" customHeight="1" x14ac:dyDescent="0.3">
      <c r="A5" s="6" t="s">
        <v>12</v>
      </c>
      <c r="B5" s="124">
        <v>2019</v>
      </c>
      <c r="C5" s="124">
        <v>2020</v>
      </c>
      <c r="D5" s="124">
        <v>2021</v>
      </c>
      <c r="E5" s="124">
        <v>2022</v>
      </c>
      <c r="F5" s="124">
        <v>2023</v>
      </c>
      <c r="G5" s="124">
        <v>2024</v>
      </c>
      <c r="H5" s="124">
        <v>2025</v>
      </c>
      <c r="J5" s="6" t="s">
        <v>12</v>
      </c>
      <c r="K5" s="7">
        <v>2019</v>
      </c>
      <c r="L5" s="7">
        <v>2020</v>
      </c>
      <c r="M5" s="7">
        <v>2021</v>
      </c>
      <c r="N5" s="7">
        <v>2022</v>
      </c>
      <c r="O5" s="7">
        <v>2023</v>
      </c>
      <c r="P5" s="7">
        <v>2024</v>
      </c>
      <c r="Q5" s="7">
        <v>2025</v>
      </c>
    </row>
    <row r="6" spans="1:17" ht="15" customHeight="1" x14ac:dyDescent="0.3">
      <c r="A6" s="4" t="s">
        <v>13</v>
      </c>
      <c r="B6" s="5"/>
      <c r="C6" s="5"/>
      <c r="D6" s="5"/>
      <c r="E6" s="5"/>
      <c r="F6" s="5"/>
      <c r="G6" s="5"/>
      <c r="H6" s="5"/>
      <c r="J6" s="4" t="s">
        <v>14</v>
      </c>
      <c r="K6" s="5"/>
      <c r="L6" s="5"/>
      <c r="M6" s="5"/>
      <c r="N6" s="5"/>
      <c r="O6" s="5"/>
      <c r="P6" s="5"/>
      <c r="Q6" s="5"/>
    </row>
    <row r="7" spans="1:17" ht="15" customHeight="1" x14ac:dyDescent="0.3">
      <c r="A7" s="8" t="s">
        <v>15</v>
      </c>
      <c r="B7" s="124">
        <v>12374.01</v>
      </c>
      <c r="C7" s="124">
        <v>12659.15</v>
      </c>
      <c r="D7" s="124">
        <v>11302.71</v>
      </c>
      <c r="E7" s="124">
        <v>13091.79</v>
      </c>
      <c r="F7" s="124">
        <v>14345.34</v>
      </c>
      <c r="G7" s="124">
        <v>16574.34</v>
      </c>
      <c r="H7" s="124">
        <v>19044.849999999999</v>
      </c>
      <c r="J7" s="6" t="s">
        <v>16</v>
      </c>
      <c r="K7" s="7">
        <v>161.13999999999999</v>
      </c>
      <c r="L7" s="7">
        <v>161.25</v>
      </c>
      <c r="M7" s="7">
        <v>161.29</v>
      </c>
      <c r="N7" s="7">
        <v>161.36000000000001</v>
      </c>
      <c r="O7" s="7">
        <v>161.43</v>
      </c>
      <c r="P7" s="7">
        <v>161.47</v>
      </c>
      <c r="Q7" s="7">
        <v>161.52000000000001</v>
      </c>
    </row>
    <row r="8" spans="1:17" ht="15" customHeight="1" x14ac:dyDescent="0.3">
      <c r="A8" s="9" t="s">
        <v>17</v>
      </c>
      <c r="B8" s="125">
        <v>12374.01</v>
      </c>
      <c r="C8" s="125">
        <v>12659.15</v>
      </c>
      <c r="D8" s="125">
        <v>11302.71</v>
      </c>
      <c r="E8" s="125">
        <v>13091.79</v>
      </c>
      <c r="F8" s="125">
        <v>14345.34</v>
      </c>
      <c r="G8" s="125">
        <v>16574.34</v>
      </c>
      <c r="H8" s="125">
        <v>19044.849999999999</v>
      </c>
      <c r="J8" s="8" t="s">
        <v>18</v>
      </c>
      <c r="K8" s="7">
        <v>161.13999999999999</v>
      </c>
      <c r="L8" s="7">
        <v>161.25</v>
      </c>
      <c r="M8" s="7">
        <v>161.29</v>
      </c>
      <c r="N8" s="7">
        <v>161.36000000000001</v>
      </c>
      <c r="O8" s="7">
        <v>161.43</v>
      </c>
      <c r="P8" s="7">
        <v>161.47</v>
      </c>
      <c r="Q8" s="7">
        <v>161.52000000000001</v>
      </c>
    </row>
    <row r="9" spans="1:17" ht="15" customHeight="1" x14ac:dyDescent="0.3">
      <c r="A9" s="8" t="s">
        <v>19</v>
      </c>
      <c r="B9" s="124">
        <v>577.52</v>
      </c>
      <c r="C9" s="124">
        <v>892.85</v>
      </c>
      <c r="D9" s="124">
        <v>653.91</v>
      </c>
      <c r="E9" s="124">
        <v>935.24</v>
      </c>
      <c r="F9" s="124">
        <v>826.2</v>
      </c>
      <c r="G9" s="124">
        <v>1433.72</v>
      </c>
      <c r="H9" s="124">
        <v>1279.3800000000001</v>
      </c>
      <c r="J9" s="8" t="s">
        <v>20</v>
      </c>
      <c r="K9" s="7">
        <v>15620.77</v>
      </c>
      <c r="L9" s="7">
        <v>17241.71</v>
      </c>
      <c r="M9" s="7">
        <v>19766.27</v>
      </c>
      <c r="N9" s="7">
        <v>22352.19</v>
      </c>
      <c r="O9" s="7">
        <v>24476.66</v>
      </c>
      <c r="P9" s="7">
        <v>27812.45</v>
      </c>
      <c r="Q9" s="7">
        <v>31937.72</v>
      </c>
    </row>
    <row r="10" spans="1:17" ht="15" customHeight="1" x14ac:dyDescent="0.3">
      <c r="A10" s="6" t="s">
        <v>21</v>
      </c>
      <c r="B10" s="124">
        <v>241.5</v>
      </c>
      <c r="C10" s="124">
        <v>565.51</v>
      </c>
      <c r="D10" s="124">
        <v>0</v>
      </c>
      <c r="E10" s="124">
        <v>403.32</v>
      </c>
      <c r="F10" s="124">
        <v>14.92</v>
      </c>
      <c r="G10" s="124">
        <v>380.69</v>
      </c>
      <c r="H10" s="124">
        <v>99.27</v>
      </c>
      <c r="J10" s="9" t="s">
        <v>22</v>
      </c>
      <c r="K10" s="10">
        <v>15781.91</v>
      </c>
      <c r="L10" s="10">
        <v>17402.96</v>
      </c>
      <c r="M10" s="10">
        <v>19927.560000000001</v>
      </c>
      <c r="N10" s="10">
        <v>22513.55</v>
      </c>
      <c r="O10" s="10">
        <v>24638.09</v>
      </c>
      <c r="P10" s="10">
        <v>27973.919999999998</v>
      </c>
      <c r="Q10" s="10">
        <v>32099.24</v>
      </c>
    </row>
    <row r="11" spans="1:17" ht="15" customHeight="1" x14ac:dyDescent="0.3">
      <c r="A11" s="6" t="s">
        <v>23</v>
      </c>
      <c r="B11" s="124">
        <v>59.63</v>
      </c>
      <c r="C11" s="124">
        <v>60.91</v>
      </c>
      <c r="D11" s="124">
        <v>36.42</v>
      </c>
      <c r="E11" s="124">
        <v>72.89</v>
      </c>
      <c r="F11" s="124">
        <v>158.74</v>
      </c>
      <c r="G11" s="124">
        <v>293.82</v>
      </c>
      <c r="H11" s="124">
        <v>399.65</v>
      </c>
      <c r="J11" s="4" t="s">
        <v>24</v>
      </c>
      <c r="K11" s="5"/>
      <c r="L11" s="5"/>
      <c r="M11" s="5"/>
      <c r="N11" s="5"/>
      <c r="O11" s="5"/>
      <c r="P11" s="5"/>
      <c r="Q11" s="5"/>
    </row>
    <row r="12" spans="1:17" ht="15" customHeight="1" x14ac:dyDescent="0.3">
      <c r="A12" s="6" t="s">
        <v>25</v>
      </c>
      <c r="B12" s="124">
        <v>0</v>
      </c>
      <c r="C12" s="124">
        <v>2.86</v>
      </c>
      <c r="D12" s="124">
        <v>3.48</v>
      </c>
      <c r="E12" s="124">
        <v>0.72</v>
      </c>
      <c r="F12" s="124">
        <v>11.02</v>
      </c>
      <c r="G12" s="124">
        <v>7.5</v>
      </c>
      <c r="H12" s="124">
        <v>-1.85</v>
      </c>
      <c r="J12" s="8" t="s">
        <v>26</v>
      </c>
      <c r="K12" s="7">
        <v>0</v>
      </c>
      <c r="L12" s="7">
        <v>0</v>
      </c>
      <c r="M12" s="7">
        <v>0</v>
      </c>
      <c r="N12" s="7">
        <v>0</v>
      </c>
      <c r="O12" s="7">
        <v>0</v>
      </c>
      <c r="P12" s="7">
        <v>0</v>
      </c>
      <c r="Q12" s="7">
        <v>0</v>
      </c>
    </row>
    <row r="13" spans="1:17" ht="15" customHeight="1" x14ac:dyDescent="0.3">
      <c r="A13" s="6" t="s">
        <v>27</v>
      </c>
      <c r="B13" s="124">
        <v>107.41</v>
      </c>
      <c r="C13" s="124">
        <v>114.02</v>
      </c>
      <c r="D13" s="124">
        <v>47.67</v>
      </c>
      <c r="E13" s="124">
        <v>64</v>
      </c>
      <c r="F13" s="124">
        <v>118.13</v>
      </c>
      <c r="G13" s="124">
        <v>43.47</v>
      </c>
      <c r="H13" s="124">
        <v>143.13</v>
      </c>
      <c r="J13" s="6" t="s">
        <v>28</v>
      </c>
      <c r="K13" s="7">
        <v>0</v>
      </c>
      <c r="L13" s="7">
        <v>0</v>
      </c>
      <c r="M13" s="7">
        <v>29.46</v>
      </c>
      <c r="N13" s="7">
        <v>15.53</v>
      </c>
      <c r="O13" s="7">
        <v>35.53</v>
      </c>
      <c r="P13" s="7">
        <v>29.55</v>
      </c>
      <c r="Q13" s="7">
        <v>86.18</v>
      </c>
    </row>
    <row r="14" spans="1:17" ht="15" customHeight="1" x14ac:dyDescent="0.3">
      <c r="A14" s="6" t="s">
        <v>29</v>
      </c>
      <c r="B14" s="124">
        <v>5.35</v>
      </c>
      <c r="C14" s="124">
        <v>9.16</v>
      </c>
      <c r="D14" s="124">
        <v>15.91</v>
      </c>
      <c r="E14" s="124">
        <v>12.6</v>
      </c>
      <c r="F14" s="124">
        <v>9.11</v>
      </c>
      <c r="G14" s="124">
        <v>14.16</v>
      </c>
      <c r="H14" s="124">
        <v>15.73</v>
      </c>
      <c r="J14" s="6" t="s">
        <v>30</v>
      </c>
      <c r="K14" s="7">
        <v>42.84</v>
      </c>
      <c r="L14" s="7">
        <v>112.97</v>
      </c>
      <c r="M14" s="7">
        <v>104.91</v>
      </c>
      <c r="N14" s="7">
        <v>79.25</v>
      </c>
      <c r="O14" s="7">
        <v>36.130000000000003</v>
      </c>
      <c r="P14" s="7">
        <v>32.64</v>
      </c>
      <c r="Q14" s="7">
        <v>0</v>
      </c>
    </row>
    <row r="15" spans="1:17" ht="23.25" customHeight="1" x14ac:dyDescent="0.3">
      <c r="A15" s="6" t="s">
        <v>31</v>
      </c>
      <c r="B15" s="124">
        <v>20.38</v>
      </c>
      <c r="C15" s="124">
        <v>119.39</v>
      </c>
      <c r="D15" s="124">
        <v>44.13</v>
      </c>
      <c r="E15" s="124">
        <v>65.77</v>
      </c>
      <c r="F15" s="124">
        <v>92.59</v>
      </c>
      <c r="G15" s="124">
        <v>46.2</v>
      </c>
      <c r="H15" s="124">
        <v>5.6</v>
      </c>
      <c r="J15" s="6" t="s">
        <v>32</v>
      </c>
      <c r="K15" s="7">
        <v>494.77</v>
      </c>
      <c r="L15" s="7">
        <v>353.62</v>
      </c>
      <c r="M15" s="7">
        <v>104.91</v>
      </c>
      <c r="N15" s="7">
        <v>313.69</v>
      </c>
      <c r="O15" s="7">
        <v>286.08</v>
      </c>
      <c r="P15" s="7">
        <v>243.71</v>
      </c>
      <c r="Q15" s="7">
        <v>0</v>
      </c>
    </row>
    <row r="16" spans="1:17" ht="15" customHeight="1" x14ac:dyDescent="0.3">
      <c r="A16" s="6" t="s">
        <v>33</v>
      </c>
      <c r="B16" s="124">
        <v>4.58</v>
      </c>
      <c r="C16" s="124">
        <v>2.99</v>
      </c>
      <c r="D16" s="124">
        <v>1.38</v>
      </c>
      <c r="E16" s="124">
        <v>8.58</v>
      </c>
      <c r="F16" s="124">
        <v>16.84</v>
      </c>
      <c r="G16" s="124">
        <v>4.5999999999999996</v>
      </c>
      <c r="H16" s="124">
        <v>14.52</v>
      </c>
      <c r="J16" s="6" t="s">
        <v>34</v>
      </c>
      <c r="K16" s="7">
        <v>451.93</v>
      </c>
      <c r="L16" s="7">
        <v>240.65</v>
      </c>
      <c r="M16" s="7">
        <v>0</v>
      </c>
      <c r="N16" s="7">
        <v>234.44</v>
      </c>
      <c r="O16" s="7">
        <v>249.95</v>
      </c>
      <c r="P16" s="7">
        <v>211.07</v>
      </c>
      <c r="Q16" s="7">
        <v>0</v>
      </c>
    </row>
    <row r="17" spans="1:17" ht="15" customHeight="1" x14ac:dyDescent="0.3">
      <c r="A17" s="6" t="s">
        <v>35</v>
      </c>
      <c r="B17" s="124">
        <v>0</v>
      </c>
      <c r="C17" s="124">
        <v>7.0000000000000007E-2</v>
      </c>
      <c r="D17" s="124">
        <v>0</v>
      </c>
      <c r="E17" s="124">
        <v>0</v>
      </c>
      <c r="F17" s="124">
        <v>0</v>
      </c>
      <c r="G17" s="124">
        <v>4.93</v>
      </c>
      <c r="H17" s="124">
        <v>0</v>
      </c>
      <c r="J17" s="8" t="s">
        <v>36</v>
      </c>
      <c r="K17" s="7">
        <v>117.86</v>
      </c>
      <c r="L17" s="7">
        <v>165.3</v>
      </c>
      <c r="M17" s="7">
        <v>113.9</v>
      </c>
      <c r="N17" s="7">
        <v>99.75</v>
      </c>
      <c r="O17" s="7">
        <v>105.25</v>
      </c>
      <c r="P17" s="7">
        <v>60.63</v>
      </c>
      <c r="Q17" s="7">
        <v>87.76</v>
      </c>
    </row>
    <row r="18" spans="1:17" ht="15" customHeight="1" x14ac:dyDescent="0.3">
      <c r="A18" s="6" t="s">
        <v>37</v>
      </c>
      <c r="B18" s="124">
        <v>19.11</v>
      </c>
      <c r="C18" s="124">
        <v>-20.91</v>
      </c>
      <c r="D18" s="124">
        <v>10.119999999999999</v>
      </c>
      <c r="E18" s="124">
        <v>3.23</v>
      </c>
      <c r="F18" s="124">
        <v>13.89</v>
      </c>
      <c r="G18" s="124">
        <v>215.01</v>
      </c>
      <c r="H18" s="124">
        <v>237.02</v>
      </c>
      <c r="J18" s="8" t="s">
        <v>38</v>
      </c>
      <c r="K18" s="7">
        <v>108.12</v>
      </c>
      <c r="L18" s="7">
        <v>105.14</v>
      </c>
      <c r="M18" s="7">
        <v>95.97</v>
      </c>
      <c r="N18" s="7">
        <v>81.63</v>
      </c>
      <c r="O18" s="7">
        <v>81.73</v>
      </c>
      <c r="P18" s="7">
        <v>94.24</v>
      </c>
      <c r="Q18" s="7">
        <v>109.12</v>
      </c>
    </row>
    <row r="19" spans="1:17" ht="15" customHeight="1" x14ac:dyDescent="0.3">
      <c r="A19" s="6" t="s">
        <v>39</v>
      </c>
      <c r="B19" s="124">
        <v>19.11</v>
      </c>
      <c r="C19" s="124">
        <v>2.41</v>
      </c>
      <c r="D19" s="124">
        <v>0</v>
      </c>
      <c r="E19" s="124">
        <v>0</v>
      </c>
      <c r="F19" s="124">
        <v>0</v>
      </c>
      <c r="G19" s="124">
        <v>7.03</v>
      </c>
      <c r="H19" s="124">
        <v>5.5</v>
      </c>
      <c r="J19" s="9" t="s">
        <v>40</v>
      </c>
      <c r="K19" s="10">
        <v>268.82</v>
      </c>
      <c r="L19" s="10">
        <v>383.41</v>
      </c>
      <c r="M19" s="10">
        <v>344.24</v>
      </c>
      <c r="N19" s="10">
        <v>276.16000000000003</v>
      </c>
      <c r="O19" s="10">
        <v>258.64</v>
      </c>
      <c r="P19" s="10">
        <v>217.06</v>
      </c>
      <c r="Q19" s="10">
        <v>283.06</v>
      </c>
    </row>
    <row r="20" spans="1:17" ht="15" customHeight="1" x14ac:dyDescent="0.3">
      <c r="A20" s="6" t="s">
        <v>41</v>
      </c>
      <c r="B20" s="124">
        <v>19.11</v>
      </c>
      <c r="C20" s="124">
        <v>36.44</v>
      </c>
      <c r="D20" s="124">
        <v>494.8</v>
      </c>
      <c r="E20" s="124">
        <v>304.13</v>
      </c>
      <c r="F20" s="124">
        <v>390.96</v>
      </c>
      <c r="G20" s="124">
        <v>416.31</v>
      </c>
      <c r="H20" s="124">
        <v>360.81</v>
      </c>
      <c r="J20" s="4" t="s">
        <v>42</v>
      </c>
      <c r="K20" s="5"/>
      <c r="L20" s="5"/>
      <c r="M20" s="5"/>
      <c r="N20" s="5"/>
      <c r="O20" s="5"/>
      <c r="P20" s="5"/>
      <c r="Q20" s="5"/>
    </row>
    <row r="21" spans="1:17" ht="15" customHeight="1" x14ac:dyDescent="0.3">
      <c r="A21" s="8" t="s">
        <v>43</v>
      </c>
      <c r="B21" s="124">
        <v>19.11</v>
      </c>
      <c r="C21" s="124">
        <v>43.08</v>
      </c>
      <c r="D21" s="124">
        <v>-6.41</v>
      </c>
      <c r="E21" s="124">
        <v>528.4</v>
      </c>
      <c r="F21" s="124">
        <v>-194.32</v>
      </c>
      <c r="G21" s="124">
        <v>-104.57</v>
      </c>
      <c r="H21" s="124">
        <v>229.87</v>
      </c>
      <c r="J21" s="8" t="s">
        <v>44</v>
      </c>
      <c r="K21" s="7">
        <v>0</v>
      </c>
      <c r="L21" s="7">
        <v>6.06</v>
      </c>
      <c r="M21" s="7">
        <v>0</v>
      </c>
      <c r="N21" s="7">
        <v>0</v>
      </c>
      <c r="O21" s="7">
        <v>0</v>
      </c>
      <c r="P21" s="7">
        <v>0</v>
      </c>
      <c r="Q21" s="7">
        <v>0</v>
      </c>
    </row>
    <row r="22" spans="1:17" ht="15" customHeight="1" x14ac:dyDescent="0.3">
      <c r="A22" s="9" t="s">
        <v>45</v>
      </c>
      <c r="B22" s="125">
        <v>19.11</v>
      </c>
      <c r="C22" s="125">
        <v>13595.08</v>
      </c>
      <c r="D22" s="125">
        <v>11950.21</v>
      </c>
      <c r="E22" s="125">
        <v>14555.43</v>
      </c>
      <c r="F22" s="125">
        <v>14977.22</v>
      </c>
      <c r="G22" s="125">
        <v>17903.490000000002</v>
      </c>
      <c r="H22" s="125">
        <v>20554.099999999999</v>
      </c>
      <c r="J22" s="6" t="s">
        <v>28</v>
      </c>
      <c r="L22" s="7">
        <v>0</v>
      </c>
      <c r="M22" s="7">
        <v>29.46</v>
      </c>
      <c r="N22" s="7">
        <v>15.53</v>
      </c>
      <c r="O22" s="7">
        <v>35.53</v>
      </c>
      <c r="P22" s="7">
        <v>29.55</v>
      </c>
      <c r="Q22" s="7">
        <v>86.18</v>
      </c>
    </row>
    <row r="23" spans="1:17" ht="15" customHeight="1" x14ac:dyDescent="0.3">
      <c r="A23" s="4" t="s">
        <v>46</v>
      </c>
      <c r="B23" s="5"/>
      <c r="C23" s="5"/>
      <c r="D23" s="5"/>
      <c r="E23" s="5"/>
      <c r="F23" s="5"/>
      <c r="G23" s="5"/>
      <c r="H23" s="5"/>
      <c r="J23" s="8" t="s">
        <v>47</v>
      </c>
      <c r="K23" s="7">
        <v>1481.35</v>
      </c>
      <c r="L23" s="7">
        <v>1612.12</v>
      </c>
      <c r="M23" s="7">
        <v>1495.49</v>
      </c>
      <c r="N23" s="7">
        <v>1569.73</v>
      </c>
      <c r="O23" s="7">
        <v>1638.92</v>
      </c>
      <c r="P23" s="7">
        <v>1684.64</v>
      </c>
      <c r="Q23" s="7">
        <v>1883.71</v>
      </c>
    </row>
    <row r="24" spans="1:17" ht="15" customHeight="1" x14ac:dyDescent="0.3">
      <c r="A24" s="317" t="s">
        <v>48</v>
      </c>
      <c r="B24" s="124">
        <v>4371.46</v>
      </c>
      <c r="C24" s="124">
        <v>4362.29</v>
      </c>
      <c r="D24" s="124">
        <v>4097.2</v>
      </c>
      <c r="E24" s="124">
        <v>5618.64</v>
      </c>
      <c r="F24" s="124">
        <v>4739.8900000000003</v>
      </c>
      <c r="G24" s="124">
        <v>4977.62</v>
      </c>
      <c r="H24" s="124">
        <v>5699.59</v>
      </c>
      <c r="J24" s="8" t="s">
        <v>49</v>
      </c>
      <c r="K24" s="7">
        <v>406.59</v>
      </c>
      <c r="L24" s="7">
        <v>455.04</v>
      </c>
      <c r="M24" s="7">
        <v>548.66</v>
      </c>
      <c r="N24" s="7">
        <v>450.3</v>
      </c>
      <c r="O24" s="7">
        <v>399.52</v>
      </c>
      <c r="P24" s="7">
        <v>407.08</v>
      </c>
      <c r="Q24" s="7">
        <v>435.65</v>
      </c>
    </row>
    <row r="25" spans="1:17" ht="15" customHeight="1" x14ac:dyDescent="0.3">
      <c r="A25" s="318" t="s">
        <v>50</v>
      </c>
      <c r="B25" s="124">
        <v>1285.05</v>
      </c>
      <c r="C25" s="124">
        <v>1245.28</v>
      </c>
      <c r="D25" s="124">
        <v>1349.14</v>
      </c>
      <c r="E25" s="124">
        <v>1395.51</v>
      </c>
      <c r="F25" s="124">
        <v>1268.82</v>
      </c>
      <c r="G25" s="124">
        <v>1205.94</v>
      </c>
      <c r="H25" s="124">
        <v>1281.48</v>
      </c>
      <c r="J25" s="8" t="s">
        <v>51</v>
      </c>
      <c r="K25" s="7">
        <v>480.14</v>
      </c>
      <c r="L25" s="7">
        <v>546.07000000000005</v>
      </c>
      <c r="M25" s="7">
        <v>625.13</v>
      </c>
      <c r="N25" s="7">
        <v>631.39</v>
      </c>
      <c r="O25" s="7">
        <v>646.74</v>
      </c>
      <c r="P25" s="7">
        <v>754.53</v>
      </c>
      <c r="Q25" s="7">
        <v>832.86</v>
      </c>
    </row>
    <row r="26" spans="1:17" ht="15" customHeight="1" x14ac:dyDescent="0.3">
      <c r="A26" s="318" t="s">
        <v>52</v>
      </c>
      <c r="B26" s="124">
        <v>3072.48</v>
      </c>
      <c r="C26" s="124">
        <v>3103.03</v>
      </c>
      <c r="D26" s="124">
        <v>2056.3200000000002</v>
      </c>
      <c r="E26" s="124">
        <v>1886.11</v>
      </c>
      <c r="F26" s="124">
        <v>3512.68</v>
      </c>
      <c r="G26" s="124">
        <v>3441.97</v>
      </c>
      <c r="H26" s="124">
        <v>3740.56</v>
      </c>
      <c r="J26" s="9" t="s">
        <v>53</v>
      </c>
      <c r="K26" s="10">
        <v>2368.08</v>
      </c>
      <c r="L26" s="10">
        <v>2619.29</v>
      </c>
      <c r="M26" s="10">
        <v>2691.94</v>
      </c>
      <c r="N26" s="10">
        <v>2659.34</v>
      </c>
      <c r="O26" s="10">
        <v>2699.74</v>
      </c>
      <c r="P26" s="10">
        <v>2862.25</v>
      </c>
      <c r="Q26" s="10">
        <v>3183.42</v>
      </c>
    </row>
    <row r="27" spans="1:17" ht="15" customHeight="1" x14ac:dyDescent="0.3">
      <c r="A27" s="318" t="s">
        <v>54</v>
      </c>
      <c r="B27" s="124">
        <v>1259.21</v>
      </c>
      <c r="C27" s="124">
        <v>1363.12</v>
      </c>
      <c r="D27" s="124">
        <v>1847.85</v>
      </c>
      <c r="E27" s="124">
        <v>2850.85</v>
      </c>
      <c r="F27" s="124">
        <v>1993.39</v>
      </c>
      <c r="G27" s="124">
        <v>2360.41</v>
      </c>
      <c r="H27" s="124">
        <v>2056.75</v>
      </c>
      <c r="J27" s="6" t="s">
        <v>55</v>
      </c>
      <c r="K27" s="7">
        <v>0</v>
      </c>
      <c r="L27" s="7">
        <v>0</v>
      </c>
      <c r="M27" s="7">
        <v>0</v>
      </c>
      <c r="N27" s="7">
        <v>0</v>
      </c>
      <c r="O27" s="7">
        <v>0</v>
      </c>
      <c r="P27" s="7">
        <v>0</v>
      </c>
      <c r="Q27" s="7">
        <v>0</v>
      </c>
    </row>
    <row r="28" spans="1:17" ht="15" customHeight="1" x14ac:dyDescent="0.3">
      <c r="A28" s="318" t="s">
        <v>56</v>
      </c>
      <c r="B28" s="124">
        <v>1245.28</v>
      </c>
      <c r="C28" s="124">
        <v>1349.14</v>
      </c>
      <c r="D28" s="124">
        <v>1395.51</v>
      </c>
      <c r="E28" s="124">
        <v>1065.76</v>
      </c>
      <c r="F28" s="124">
        <v>1205.94</v>
      </c>
      <c r="G28" s="124">
        <v>1281.48</v>
      </c>
      <c r="H28" s="124">
        <v>1379.2</v>
      </c>
      <c r="J28" s="9" t="s">
        <v>57</v>
      </c>
      <c r="K28" s="10">
        <v>18418.810000000001</v>
      </c>
      <c r="L28" s="10">
        <v>20405.66</v>
      </c>
      <c r="M28" s="10">
        <v>22963.74</v>
      </c>
      <c r="N28" s="10">
        <v>25449.05</v>
      </c>
      <c r="O28" s="10">
        <v>27596.47</v>
      </c>
      <c r="P28" s="10">
        <v>31053.23</v>
      </c>
      <c r="Q28" s="10">
        <v>35565.72</v>
      </c>
    </row>
    <row r="29" spans="1:17" ht="15" customHeight="1" x14ac:dyDescent="0.3">
      <c r="A29" s="318" t="s">
        <v>58</v>
      </c>
      <c r="B29" s="124">
        <v>0</v>
      </c>
      <c r="C29" s="124">
        <v>0</v>
      </c>
      <c r="D29" s="124">
        <v>239.4</v>
      </c>
      <c r="E29" s="124">
        <v>551.92999999999995</v>
      </c>
      <c r="F29" s="124">
        <v>-829.06</v>
      </c>
      <c r="G29" s="124">
        <v>-749.22</v>
      </c>
      <c r="H29" s="124">
        <v>0</v>
      </c>
      <c r="J29" s="4" t="s">
        <v>59</v>
      </c>
      <c r="K29" s="5"/>
      <c r="L29" s="5"/>
      <c r="M29" s="5"/>
      <c r="N29" s="5"/>
      <c r="O29" s="5"/>
      <c r="P29" s="5"/>
      <c r="Q29" s="5"/>
    </row>
    <row r="30" spans="1:17" ht="15" customHeight="1" x14ac:dyDescent="0.3">
      <c r="A30" s="317" t="s">
        <v>60</v>
      </c>
      <c r="B30" s="124">
        <v>264.93</v>
      </c>
      <c r="C30" s="124">
        <v>253.95</v>
      </c>
      <c r="D30" s="124">
        <v>234.58</v>
      </c>
      <c r="E30" s="124">
        <v>247.58</v>
      </c>
      <c r="F30" s="124">
        <v>257.07</v>
      </c>
      <c r="G30" s="124">
        <v>271.66000000000003</v>
      </c>
      <c r="H30" s="124">
        <v>290.24</v>
      </c>
      <c r="J30" s="6" t="s">
        <v>61</v>
      </c>
      <c r="K30" s="7">
        <v>4424.79</v>
      </c>
      <c r="L30" s="7">
        <v>4344.2700000000004</v>
      </c>
      <c r="M30" s="7">
        <v>4297.7700000000004</v>
      </c>
      <c r="N30" s="7">
        <v>4114.25</v>
      </c>
      <c r="O30" s="7">
        <v>4251.53</v>
      </c>
      <c r="P30" s="7">
        <v>4273.41</v>
      </c>
      <c r="Q30" s="7">
        <v>4403.16</v>
      </c>
    </row>
    <row r="31" spans="1:17" ht="15" customHeight="1" x14ac:dyDescent="0.3">
      <c r="A31" s="318" t="s">
        <v>62</v>
      </c>
      <c r="B31" s="124">
        <v>264.93</v>
      </c>
      <c r="C31" s="124">
        <v>253.95</v>
      </c>
      <c r="D31" s="124">
        <v>234.58</v>
      </c>
      <c r="E31" s="124">
        <v>247.58</v>
      </c>
      <c r="F31" s="124">
        <v>257.07</v>
      </c>
      <c r="G31" s="124">
        <v>271.66000000000003</v>
      </c>
      <c r="H31" s="124">
        <v>290.24</v>
      </c>
      <c r="J31" s="8" t="s">
        <v>63</v>
      </c>
      <c r="K31" s="7">
        <v>3992.13</v>
      </c>
      <c r="L31" s="7">
        <v>3686.18</v>
      </c>
      <c r="M31" s="7">
        <v>3569.27</v>
      </c>
      <c r="N31" s="7">
        <v>3554.91</v>
      </c>
      <c r="O31" s="7">
        <v>3449.67</v>
      </c>
      <c r="P31" s="7">
        <v>3278.31</v>
      </c>
      <c r="Q31" s="7">
        <v>3347.53</v>
      </c>
    </row>
    <row r="32" spans="1:17" ht="15" customHeight="1" x14ac:dyDescent="0.3">
      <c r="A32" s="317" t="s">
        <v>64</v>
      </c>
      <c r="B32" s="124">
        <v>1839.84</v>
      </c>
      <c r="C32" s="124">
        <v>1911.08</v>
      </c>
      <c r="D32" s="124">
        <v>1703.58</v>
      </c>
      <c r="E32" s="124">
        <v>1729.16</v>
      </c>
      <c r="F32" s="124">
        <v>2380.6799999999998</v>
      </c>
      <c r="G32" s="124">
        <v>2688.51</v>
      </c>
      <c r="H32" s="124">
        <v>3054.87</v>
      </c>
      <c r="J32" s="8" t="s">
        <v>65</v>
      </c>
      <c r="K32" s="7">
        <v>135.33000000000001</v>
      </c>
      <c r="L32" s="7">
        <v>205.87</v>
      </c>
      <c r="M32" s="7">
        <v>269.51</v>
      </c>
      <c r="N32" s="7">
        <v>215.96</v>
      </c>
      <c r="O32" s="7">
        <v>199.45</v>
      </c>
      <c r="P32" s="7">
        <v>232.75</v>
      </c>
      <c r="Q32" s="7">
        <v>257.12</v>
      </c>
    </row>
    <row r="33" spans="1:17" ht="15" customHeight="1" x14ac:dyDescent="0.3">
      <c r="A33" s="318" t="s">
        <v>66</v>
      </c>
      <c r="B33" s="124">
        <v>1633.63</v>
      </c>
      <c r="C33" s="124">
        <v>1724</v>
      </c>
      <c r="D33" s="124">
        <v>1835.46</v>
      </c>
      <c r="E33" s="124">
        <v>1914.9</v>
      </c>
      <c r="F33" s="124">
        <v>2132.71</v>
      </c>
      <c r="G33" s="124">
        <v>2418.16</v>
      </c>
      <c r="H33" s="124">
        <v>2722.23</v>
      </c>
      <c r="J33" s="8" t="s">
        <v>67</v>
      </c>
      <c r="K33" s="7">
        <v>241.32</v>
      </c>
      <c r="L33" s="7">
        <v>255.73</v>
      </c>
      <c r="M33" s="7">
        <v>275.04000000000002</v>
      </c>
      <c r="N33" s="7">
        <v>186.26</v>
      </c>
      <c r="O33" s="7">
        <v>441.53</v>
      </c>
      <c r="P33" s="7">
        <v>580.9</v>
      </c>
      <c r="Q33" s="7">
        <v>523.11</v>
      </c>
    </row>
    <row r="34" spans="1:17" ht="15" customHeight="1" x14ac:dyDescent="0.3">
      <c r="A34" s="318" t="s">
        <v>68</v>
      </c>
      <c r="B34" s="124">
        <v>98</v>
      </c>
      <c r="C34" s="124">
        <v>96.77</v>
      </c>
      <c r="D34" s="124">
        <v>95.13</v>
      </c>
      <c r="E34" s="124">
        <v>90.65</v>
      </c>
      <c r="F34" s="124">
        <v>93.51</v>
      </c>
      <c r="G34" s="124">
        <v>101.46</v>
      </c>
      <c r="H34" s="124">
        <v>127.02</v>
      </c>
      <c r="J34" s="6" t="s">
        <v>69</v>
      </c>
      <c r="K34" s="7">
        <v>56.01</v>
      </c>
      <c r="L34" s="7">
        <v>64</v>
      </c>
      <c r="M34" s="7">
        <v>80.069999999999993</v>
      </c>
      <c r="N34" s="7">
        <v>81.42</v>
      </c>
      <c r="O34" s="7">
        <v>62.72</v>
      </c>
      <c r="P34" s="7">
        <v>89.37</v>
      </c>
      <c r="Q34" s="7">
        <v>115.29</v>
      </c>
    </row>
    <row r="35" spans="1:17" ht="15" customHeight="1" x14ac:dyDescent="0.3">
      <c r="A35" s="318" t="s">
        <v>70</v>
      </c>
      <c r="B35" s="124">
        <v>86.2</v>
      </c>
      <c r="C35" s="124">
        <v>71.75</v>
      </c>
      <c r="D35" s="124">
        <v>93.51</v>
      </c>
      <c r="E35" s="124">
        <v>96.78</v>
      </c>
      <c r="F35" s="124">
        <v>130.99</v>
      </c>
      <c r="G35" s="124">
        <v>143.82</v>
      </c>
      <c r="H35" s="124">
        <v>178.47</v>
      </c>
      <c r="J35" s="6" t="s">
        <v>71</v>
      </c>
      <c r="L35" s="7">
        <v>132.49</v>
      </c>
      <c r="M35" s="7">
        <v>103.88</v>
      </c>
      <c r="N35" s="7">
        <v>75.7</v>
      </c>
      <c r="O35" s="7">
        <v>98.16</v>
      </c>
      <c r="P35" s="7">
        <v>92.08</v>
      </c>
      <c r="Q35" s="7">
        <v>160.11000000000001</v>
      </c>
    </row>
    <row r="36" spans="1:17" ht="15" customHeight="1" x14ac:dyDescent="0.3">
      <c r="A36" s="318" t="s">
        <v>72</v>
      </c>
      <c r="B36" s="124">
        <v>22.01</v>
      </c>
      <c r="C36" s="124">
        <v>18.559999999999999</v>
      </c>
      <c r="D36" s="124">
        <v>-320.52</v>
      </c>
      <c r="E36" s="124">
        <v>-373.17</v>
      </c>
      <c r="F36" s="124">
        <v>23.47</v>
      </c>
      <c r="G36" s="124">
        <v>25.07</v>
      </c>
      <c r="H36" s="124">
        <v>27.15</v>
      </c>
      <c r="J36" s="8" t="s">
        <v>73</v>
      </c>
      <c r="K36" s="7">
        <v>3865.46</v>
      </c>
      <c r="L36" s="7">
        <v>6481.76</v>
      </c>
      <c r="M36" s="7">
        <v>7844.78</v>
      </c>
      <c r="N36" s="7">
        <v>8998.23</v>
      </c>
      <c r="O36" s="7">
        <v>9199.6299999999992</v>
      </c>
      <c r="P36" s="7">
        <v>9525.66</v>
      </c>
      <c r="Q36" s="7">
        <v>10614.55</v>
      </c>
    </row>
    <row r="37" spans="1:17" ht="15" customHeight="1" x14ac:dyDescent="0.3">
      <c r="A37" s="317" t="s">
        <v>74</v>
      </c>
      <c r="B37" s="124">
        <v>861.96</v>
      </c>
      <c r="C37" s="124">
        <v>921.04</v>
      </c>
      <c r="D37" s="124">
        <v>906.09</v>
      </c>
      <c r="E37" s="124">
        <v>994.55</v>
      </c>
      <c r="F37" s="124">
        <v>988.99</v>
      </c>
      <c r="G37" s="124">
        <v>1243.47</v>
      </c>
      <c r="H37" s="124">
        <v>1374.94</v>
      </c>
      <c r="J37" s="6" t="s">
        <v>75</v>
      </c>
      <c r="K37" s="7">
        <v>0</v>
      </c>
      <c r="L37" s="7">
        <v>0</v>
      </c>
      <c r="M37" s="7">
        <v>0</v>
      </c>
      <c r="N37" s="7">
        <v>0</v>
      </c>
      <c r="O37" s="7">
        <v>0</v>
      </c>
      <c r="P37" s="7">
        <v>0</v>
      </c>
      <c r="Q37" s="7">
        <v>19.88</v>
      </c>
    </row>
    <row r="38" spans="1:17" ht="15" customHeight="1" x14ac:dyDescent="0.3">
      <c r="A38" s="318" t="s">
        <v>76</v>
      </c>
      <c r="B38" s="124">
        <v>158.93</v>
      </c>
      <c r="C38" s="124">
        <v>178.38</v>
      </c>
      <c r="D38" s="124">
        <v>189.43</v>
      </c>
      <c r="E38" s="124">
        <v>180.11</v>
      </c>
      <c r="F38" s="124">
        <v>207.56</v>
      </c>
      <c r="G38" s="124">
        <v>241.35</v>
      </c>
      <c r="H38" s="124">
        <v>269.02999999999997</v>
      </c>
      <c r="J38" s="6" t="s">
        <v>34</v>
      </c>
      <c r="K38" s="7">
        <v>451.93</v>
      </c>
      <c r="L38" s="7">
        <v>240.65</v>
      </c>
      <c r="M38" s="7">
        <v>0</v>
      </c>
      <c r="N38" s="7">
        <v>234.44</v>
      </c>
      <c r="O38" s="7">
        <v>249.95</v>
      </c>
      <c r="P38" s="7">
        <v>211.07</v>
      </c>
      <c r="Q38" s="7">
        <v>0</v>
      </c>
    </row>
    <row r="39" spans="1:17" ht="15" customHeight="1" x14ac:dyDescent="0.3">
      <c r="A39" s="318" t="s">
        <v>77</v>
      </c>
      <c r="B39" s="124">
        <v>100.49</v>
      </c>
      <c r="C39" s="124">
        <v>120.33</v>
      </c>
      <c r="D39" s="124">
        <v>98.18</v>
      </c>
      <c r="E39" s="124">
        <v>107.94</v>
      </c>
      <c r="F39" s="124">
        <v>103.85</v>
      </c>
      <c r="G39" s="124">
        <v>110.49</v>
      </c>
      <c r="H39" s="124">
        <v>132.58000000000001</v>
      </c>
      <c r="J39" s="6" t="s">
        <v>32</v>
      </c>
      <c r="K39" s="7">
        <v>494.77</v>
      </c>
      <c r="L39" s="7">
        <v>353.62</v>
      </c>
      <c r="M39" s="7">
        <v>104.91</v>
      </c>
      <c r="N39" s="7">
        <v>313.69</v>
      </c>
      <c r="O39" s="7">
        <v>286.08</v>
      </c>
      <c r="P39" s="7">
        <v>243.71</v>
      </c>
      <c r="Q39" s="7">
        <v>0</v>
      </c>
    </row>
    <row r="40" spans="1:17" ht="15" customHeight="1" x14ac:dyDescent="0.3">
      <c r="A40" s="318" t="s">
        <v>78</v>
      </c>
      <c r="B40" s="124">
        <v>108.8</v>
      </c>
      <c r="C40" s="124">
        <v>120.62</v>
      </c>
      <c r="D40" s="124">
        <v>119.41</v>
      </c>
      <c r="E40" s="124">
        <v>145.81</v>
      </c>
      <c r="F40" s="124">
        <v>156.53</v>
      </c>
      <c r="G40" s="124">
        <v>159.94</v>
      </c>
      <c r="H40" s="124">
        <v>178.27</v>
      </c>
      <c r="J40" s="8" t="s">
        <v>79</v>
      </c>
      <c r="K40" s="7">
        <v>609.23</v>
      </c>
      <c r="L40" s="7">
        <v>539.32000000000005</v>
      </c>
      <c r="M40" s="7">
        <v>615.26</v>
      </c>
      <c r="N40" s="7">
        <v>555.67999999999995</v>
      </c>
      <c r="O40" s="7">
        <v>748.77</v>
      </c>
      <c r="P40" s="7">
        <v>1904.67</v>
      </c>
      <c r="Q40" s="7">
        <v>1735.25</v>
      </c>
    </row>
    <row r="41" spans="1:17" ht="15" customHeight="1" x14ac:dyDescent="0.3">
      <c r="A41" s="318" t="s">
        <v>80</v>
      </c>
      <c r="B41" s="124">
        <v>78.42</v>
      </c>
      <c r="C41" s="124">
        <v>93.46</v>
      </c>
      <c r="D41" s="124">
        <v>93.91</v>
      </c>
      <c r="E41" s="124">
        <v>115.29</v>
      </c>
      <c r="F41" s="124">
        <v>123.56</v>
      </c>
      <c r="G41" s="124">
        <v>127.59</v>
      </c>
      <c r="H41" s="124">
        <v>148.22</v>
      </c>
      <c r="J41" s="8" t="s">
        <v>81</v>
      </c>
      <c r="K41" s="7">
        <v>40.68</v>
      </c>
      <c r="L41" s="7">
        <v>13.25</v>
      </c>
      <c r="M41" s="7">
        <v>13.75</v>
      </c>
      <c r="N41" s="7">
        <v>346.98</v>
      </c>
      <c r="O41" s="7">
        <v>25.41</v>
      </c>
      <c r="P41" s="7">
        <v>442.69</v>
      </c>
      <c r="Q41" s="7">
        <v>384.11</v>
      </c>
    </row>
    <row r="42" spans="1:17" ht="15" customHeight="1" x14ac:dyDescent="0.3">
      <c r="A42" s="318" t="s">
        <v>82</v>
      </c>
      <c r="B42" s="124">
        <v>30.38</v>
      </c>
      <c r="C42" s="124">
        <v>27.16</v>
      </c>
      <c r="D42" s="124">
        <v>25.5</v>
      </c>
      <c r="E42" s="124">
        <v>30.52</v>
      </c>
      <c r="F42" s="124">
        <v>32.97</v>
      </c>
      <c r="G42" s="124">
        <v>32.35</v>
      </c>
      <c r="H42" s="124">
        <v>30.05</v>
      </c>
      <c r="J42" s="9" t="s">
        <v>83</v>
      </c>
      <c r="K42" s="10">
        <v>8940.16</v>
      </c>
      <c r="L42" s="10">
        <v>11378.6</v>
      </c>
      <c r="M42" s="10">
        <v>12771.56</v>
      </c>
      <c r="N42" s="10">
        <v>14015.14</v>
      </c>
      <c r="O42" s="10">
        <v>14225.34</v>
      </c>
      <c r="P42" s="10">
        <v>16146.43</v>
      </c>
      <c r="Q42" s="10">
        <v>17156.95</v>
      </c>
    </row>
    <row r="43" spans="1:17" ht="15" customHeight="1" x14ac:dyDescent="0.3">
      <c r="A43" s="318" t="s">
        <v>84</v>
      </c>
      <c r="B43" s="124">
        <v>493.74</v>
      </c>
      <c r="C43" s="124">
        <v>501.71</v>
      </c>
      <c r="D43" s="124">
        <v>499.07</v>
      </c>
      <c r="E43" s="124">
        <v>560.69000000000005</v>
      </c>
      <c r="F43" s="124">
        <v>521.04999999999995</v>
      </c>
      <c r="G43" s="124">
        <v>731.69</v>
      </c>
      <c r="H43" s="124">
        <v>795.06</v>
      </c>
      <c r="J43" s="4" t="s">
        <v>85</v>
      </c>
      <c r="K43" s="5"/>
      <c r="L43" s="5"/>
      <c r="M43" s="5"/>
      <c r="N43" s="5"/>
      <c r="O43" s="5"/>
      <c r="P43" s="5"/>
      <c r="Q43" s="5"/>
    </row>
    <row r="44" spans="1:17" ht="15" customHeight="1" x14ac:dyDescent="0.3">
      <c r="A44" s="317" t="s">
        <v>86</v>
      </c>
      <c r="B44" s="124">
        <v>2030.01</v>
      </c>
      <c r="C44" s="124">
        <v>2093.92</v>
      </c>
      <c r="D44" s="124">
        <v>1578.59</v>
      </c>
      <c r="E44" s="124">
        <v>2107.17</v>
      </c>
      <c r="F44" s="124">
        <v>2334.9699999999998</v>
      </c>
      <c r="G44" s="124">
        <v>2510.5300000000002</v>
      </c>
      <c r="H44" s="124">
        <v>2604.73</v>
      </c>
      <c r="J44" s="8" t="s">
        <v>87</v>
      </c>
      <c r="K44" s="7">
        <v>2011.58</v>
      </c>
      <c r="L44" s="7">
        <v>834.43</v>
      </c>
      <c r="M44" s="7">
        <v>2004.84</v>
      </c>
      <c r="N44" s="7">
        <v>2038.8</v>
      </c>
      <c r="O44" s="7">
        <v>2771.44</v>
      </c>
      <c r="P44" s="7">
        <v>4383.59</v>
      </c>
      <c r="Q44" s="7">
        <v>6849.31</v>
      </c>
    </row>
    <row r="45" spans="1:17" ht="15" customHeight="1" x14ac:dyDescent="0.3">
      <c r="A45" s="318" t="s">
        <v>88</v>
      </c>
      <c r="B45" s="124">
        <v>85.76</v>
      </c>
      <c r="C45" s="124">
        <v>69.42</v>
      </c>
      <c r="D45" s="124">
        <v>89.28</v>
      </c>
      <c r="E45" s="124">
        <v>115.32</v>
      </c>
      <c r="F45" s="124">
        <v>123.93</v>
      </c>
      <c r="G45" s="124">
        <v>126.95</v>
      </c>
      <c r="H45" s="124">
        <v>123.19</v>
      </c>
      <c r="J45" s="8" t="s">
        <v>89</v>
      </c>
      <c r="K45" s="7">
        <v>2868.41</v>
      </c>
      <c r="L45" s="7">
        <v>3021.36</v>
      </c>
      <c r="M45" s="7">
        <v>3085.81</v>
      </c>
      <c r="N45" s="7">
        <v>3485.81</v>
      </c>
      <c r="O45" s="7">
        <v>3277.36</v>
      </c>
      <c r="P45" s="7">
        <v>3254.28</v>
      </c>
      <c r="Q45" s="7">
        <v>3607.12</v>
      </c>
    </row>
    <row r="46" spans="1:17" ht="15" customHeight="1" x14ac:dyDescent="0.3">
      <c r="A46" s="318" t="s">
        <v>90</v>
      </c>
      <c r="B46" s="124">
        <v>85.76</v>
      </c>
      <c r="C46" s="124">
        <v>69.42</v>
      </c>
      <c r="D46" s="124">
        <v>89.28</v>
      </c>
      <c r="E46" s="124">
        <v>115.32</v>
      </c>
      <c r="F46" s="124">
        <v>123.93</v>
      </c>
      <c r="G46" s="124">
        <v>126.95</v>
      </c>
      <c r="H46" s="124">
        <v>123.19</v>
      </c>
      <c r="J46" s="8" t="s">
        <v>91</v>
      </c>
      <c r="K46" s="7">
        <v>3168.73</v>
      </c>
      <c r="L46" s="7">
        <v>3560.27</v>
      </c>
      <c r="M46" s="7">
        <v>3035.37</v>
      </c>
      <c r="N46" s="7">
        <v>2794.48</v>
      </c>
      <c r="O46" s="7">
        <v>2888.49</v>
      </c>
      <c r="P46" s="7">
        <v>2681.75</v>
      </c>
      <c r="Q46" s="7">
        <v>3859.99</v>
      </c>
    </row>
    <row r="47" spans="1:17" ht="15" customHeight="1" x14ac:dyDescent="0.3">
      <c r="A47" s="318" t="s">
        <v>92</v>
      </c>
      <c r="B47" s="124">
        <v>16.2</v>
      </c>
      <c r="C47" s="124">
        <v>28.58</v>
      </c>
      <c r="D47" s="124">
        <v>38.99</v>
      </c>
      <c r="E47" s="124">
        <v>46.64</v>
      </c>
      <c r="F47" s="124">
        <v>50.44</v>
      </c>
      <c r="G47" s="124">
        <v>48.34</v>
      </c>
      <c r="H47" s="124">
        <v>48.8</v>
      </c>
      <c r="J47" s="8" t="s">
        <v>93</v>
      </c>
      <c r="K47" s="7">
        <v>174.56</v>
      </c>
      <c r="L47" s="7">
        <v>523.07000000000005</v>
      </c>
      <c r="M47" s="7">
        <v>874.8</v>
      </c>
      <c r="N47" s="7">
        <v>1428.03</v>
      </c>
      <c r="O47" s="7">
        <v>966.46</v>
      </c>
      <c r="P47" s="7">
        <v>333.2</v>
      </c>
      <c r="Q47" s="7">
        <v>278.45</v>
      </c>
    </row>
    <row r="48" spans="1:17" ht="15" customHeight="1" x14ac:dyDescent="0.3">
      <c r="A48" s="318" t="s">
        <v>94</v>
      </c>
      <c r="B48" s="124">
        <v>170.6</v>
      </c>
      <c r="C48" s="124">
        <v>159.69999999999999</v>
      </c>
      <c r="D48" s="124">
        <v>208.19</v>
      </c>
      <c r="E48" s="124">
        <v>247.19</v>
      </c>
      <c r="F48" s="124">
        <v>232.6</v>
      </c>
      <c r="G48" s="124">
        <v>285.89</v>
      </c>
      <c r="H48" s="124">
        <v>372.73</v>
      </c>
      <c r="J48" s="8" t="s">
        <v>95</v>
      </c>
      <c r="K48" s="7">
        <v>992.7</v>
      </c>
      <c r="L48" s="7">
        <v>834.5</v>
      </c>
      <c r="M48" s="7">
        <v>904.65</v>
      </c>
      <c r="N48" s="7">
        <v>1376.26</v>
      </c>
      <c r="O48" s="7">
        <v>3143.24</v>
      </c>
      <c r="P48" s="7">
        <v>3714.46</v>
      </c>
      <c r="Q48" s="7">
        <v>3349.67</v>
      </c>
    </row>
    <row r="49" spans="1:17" ht="15" customHeight="1" x14ac:dyDescent="0.3">
      <c r="A49" s="318" t="s">
        <v>96</v>
      </c>
      <c r="B49" s="124">
        <v>363.66</v>
      </c>
      <c r="C49" s="124">
        <v>321.49</v>
      </c>
      <c r="D49" s="124">
        <v>289.98</v>
      </c>
      <c r="E49" s="124">
        <v>411.51</v>
      </c>
      <c r="F49" s="124">
        <v>426.09</v>
      </c>
      <c r="G49" s="124">
        <v>411.43</v>
      </c>
      <c r="H49" s="124">
        <v>407.64</v>
      </c>
      <c r="J49" s="8" t="s">
        <v>97</v>
      </c>
      <c r="K49" s="7">
        <v>262.67</v>
      </c>
      <c r="L49" s="7">
        <v>253.43</v>
      </c>
      <c r="M49" s="7">
        <v>286.70999999999998</v>
      </c>
      <c r="N49" s="7">
        <v>211.66</v>
      </c>
      <c r="O49" s="7">
        <v>324.14</v>
      </c>
      <c r="P49" s="7">
        <v>490.56</v>
      </c>
      <c r="Q49" s="7">
        <v>424.68</v>
      </c>
    </row>
    <row r="50" spans="1:17" ht="15" customHeight="1" x14ac:dyDescent="0.3">
      <c r="A50" s="318" t="s">
        <v>98</v>
      </c>
      <c r="B50" s="124">
        <v>425.94</v>
      </c>
      <c r="C50" s="124">
        <v>557.13</v>
      </c>
      <c r="D50" s="124">
        <v>471.88</v>
      </c>
      <c r="E50" s="124">
        <v>542.9</v>
      </c>
      <c r="F50" s="124">
        <v>594.09</v>
      </c>
      <c r="G50" s="124">
        <v>676.07</v>
      </c>
      <c r="H50" s="124">
        <v>800.5</v>
      </c>
      <c r="J50" s="9" t="s">
        <v>99</v>
      </c>
      <c r="K50" s="10">
        <v>9478.65</v>
      </c>
      <c r="L50" s="10">
        <v>9027.06</v>
      </c>
      <c r="M50" s="10">
        <v>10192.18</v>
      </c>
      <c r="N50" s="10">
        <v>11335.04</v>
      </c>
      <c r="O50" s="10">
        <v>13371.13</v>
      </c>
      <c r="P50" s="10">
        <v>14857.84</v>
      </c>
      <c r="Q50" s="10">
        <v>18369.22</v>
      </c>
    </row>
    <row r="51" spans="1:17" ht="15" customHeight="1" x14ac:dyDescent="0.3">
      <c r="A51" s="318" t="s">
        <v>100</v>
      </c>
      <c r="B51" s="124">
        <v>30.37</v>
      </c>
      <c r="C51" s="124">
        <v>19.29</v>
      </c>
      <c r="D51" s="124">
        <v>18.37</v>
      </c>
      <c r="E51" s="124">
        <v>20.22</v>
      </c>
      <c r="F51" s="124">
        <v>24.27</v>
      </c>
      <c r="G51" s="124">
        <v>25.59</v>
      </c>
      <c r="H51" s="124">
        <v>31.51</v>
      </c>
      <c r="J51" s="6" t="s">
        <v>101</v>
      </c>
      <c r="K51" s="7">
        <v>0</v>
      </c>
      <c r="L51" s="7">
        <v>0</v>
      </c>
      <c r="M51" s="7">
        <v>0</v>
      </c>
      <c r="N51" s="7">
        <v>98.87</v>
      </c>
      <c r="O51" s="7">
        <v>0</v>
      </c>
      <c r="P51" s="7">
        <v>48.96</v>
      </c>
      <c r="Q51" s="7">
        <v>39.549999999999997</v>
      </c>
    </row>
    <row r="52" spans="1:17" ht="15" customHeight="1" x14ac:dyDescent="0.3">
      <c r="A52" s="318" t="s">
        <v>102</v>
      </c>
      <c r="B52" s="124">
        <v>275.10000000000002</v>
      </c>
      <c r="C52" s="124">
        <v>315.86</v>
      </c>
      <c r="D52" s="124">
        <v>84.95</v>
      </c>
      <c r="E52" s="124">
        <v>157.4</v>
      </c>
      <c r="F52" s="124">
        <v>234.25</v>
      </c>
      <c r="G52" s="124">
        <v>317.37</v>
      </c>
      <c r="H52" s="124">
        <v>349</v>
      </c>
      <c r="J52" s="9" t="s">
        <v>103</v>
      </c>
      <c r="K52" s="10">
        <v>18418.810000000001</v>
      </c>
      <c r="L52" s="10">
        <v>20405.66</v>
      </c>
      <c r="M52" s="10">
        <v>22963.74</v>
      </c>
      <c r="N52" s="10">
        <v>25449.05</v>
      </c>
      <c r="O52" s="10">
        <v>27596.47</v>
      </c>
      <c r="P52" s="10">
        <v>31053.23</v>
      </c>
      <c r="Q52" s="10">
        <v>35565.72</v>
      </c>
    </row>
    <row r="53" spans="1:17" ht="15" customHeight="1" x14ac:dyDescent="0.3">
      <c r="A53" s="318" t="s">
        <v>104</v>
      </c>
      <c r="B53" s="124">
        <v>1.91</v>
      </c>
      <c r="C53" s="124">
        <v>2.19</v>
      </c>
      <c r="D53" s="124">
        <v>2.75</v>
      </c>
      <c r="E53" s="124">
        <v>2.94</v>
      </c>
      <c r="F53" s="124">
        <v>3.32</v>
      </c>
      <c r="G53" s="124">
        <v>3.14</v>
      </c>
      <c r="H53" s="124">
        <v>3.81</v>
      </c>
    </row>
    <row r="54" spans="1:17" ht="15" customHeight="1" x14ac:dyDescent="0.3">
      <c r="A54" s="318" t="s">
        <v>105</v>
      </c>
      <c r="B54" s="124">
        <v>9.1199999999999992</v>
      </c>
      <c r="C54" s="124">
        <v>8.57</v>
      </c>
      <c r="D54" s="124">
        <v>8.64</v>
      </c>
      <c r="E54" s="124">
        <v>10.95</v>
      </c>
      <c r="F54" s="124">
        <v>10.99</v>
      </c>
      <c r="G54" s="124">
        <v>14.31</v>
      </c>
      <c r="H54" s="124">
        <v>18.510000000000002</v>
      </c>
    </row>
    <row r="55" spans="1:17" ht="15" customHeight="1" x14ac:dyDescent="0.3">
      <c r="A55" s="318" t="s">
        <v>106</v>
      </c>
      <c r="B55" s="124">
        <v>270.12</v>
      </c>
      <c r="C55" s="124">
        <v>220.18</v>
      </c>
      <c r="D55" s="124">
        <v>180.49</v>
      </c>
      <c r="E55" s="124">
        <v>248.7</v>
      </c>
      <c r="F55" s="124">
        <v>231.39</v>
      </c>
      <c r="G55" s="124">
        <v>197.22</v>
      </c>
      <c r="H55" s="124">
        <v>84.06</v>
      </c>
    </row>
    <row r="56" spans="1:17" ht="15" customHeight="1" x14ac:dyDescent="0.3">
      <c r="A56" s="318" t="s">
        <v>107</v>
      </c>
      <c r="B56" s="124">
        <v>381.23</v>
      </c>
      <c r="C56" s="124">
        <v>391.51</v>
      </c>
      <c r="D56" s="124">
        <v>185.07</v>
      </c>
      <c r="E56" s="124">
        <v>303.39999999999998</v>
      </c>
      <c r="F56" s="124">
        <v>403.6</v>
      </c>
      <c r="G56" s="124">
        <v>404.22</v>
      </c>
      <c r="H56" s="124">
        <v>364.98</v>
      </c>
    </row>
    <row r="57" spans="1:17" ht="15" customHeight="1" x14ac:dyDescent="0.3">
      <c r="A57" s="317" t="s">
        <v>108</v>
      </c>
      <c r="B57" s="124">
        <v>367.11</v>
      </c>
      <c r="C57" s="124">
        <v>452.66</v>
      </c>
      <c r="D57" s="124">
        <v>-291.14999999999998</v>
      </c>
      <c r="E57" s="124">
        <v>-443.38</v>
      </c>
      <c r="F57" s="124">
        <v>282.43</v>
      </c>
      <c r="G57" s="124">
        <v>293.83</v>
      </c>
      <c r="H57" s="124">
        <v>471.91</v>
      </c>
    </row>
    <row r="58" spans="1:17" ht="15" customHeight="1" x14ac:dyDescent="0.3">
      <c r="A58" s="318" t="s">
        <v>109</v>
      </c>
      <c r="B58" s="124">
        <v>11.99</v>
      </c>
      <c r="C58" s="124">
        <v>17.14</v>
      </c>
      <c r="D58" s="124">
        <v>1.9</v>
      </c>
      <c r="E58" s="124">
        <v>3.54</v>
      </c>
      <c r="F58" s="124">
        <v>24.35</v>
      </c>
      <c r="G58" s="124">
        <v>40.4</v>
      </c>
      <c r="H58" s="124">
        <v>0.36</v>
      </c>
    </row>
    <row r="59" spans="1:17" ht="15" customHeight="1" x14ac:dyDescent="0.3">
      <c r="A59" s="318" t="s">
        <v>110</v>
      </c>
      <c r="B59" s="124">
        <v>2.93</v>
      </c>
      <c r="C59" s="124">
        <v>0</v>
      </c>
      <c r="D59" s="124">
        <v>0</v>
      </c>
      <c r="E59" s="124">
        <v>0</v>
      </c>
      <c r="F59" s="124">
        <v>0</v>
      </c>
      <c r="G59" s="124">
        <v>0</v>
      </c>
      <c r="H59" s="124">
        <v>0</v>
      </c>
    </row>
    <row r="60" spans="1:17" ht="15" customHeight="1" x14ac:dyDescent="0.3">
      <c r="A60" s="318" t="s">
        <v>111</v>
      </c>
      <c r="B60" s="124">
        <v>42.88</v>
      </c>
      <c r="C60" s="124">
        <v>103.5</v>
      </c>
      <c r="D60" s="124">
        <v>19.649999999999999</v>
      </c>
      <c r="E60" s="124">
        <v>14.19</v>
      </c>
      <c r="F60" s="124">
        <v>0</v>
      </c>
      <c r="G60" s="124">
        <v>0</v>
      </c>
      <c r="H60" s="124">
        <v>0</v>
      </c>
    </row>
    <row r="61" spans="1:17" ht="23.25" customHeight="1" x14ac:dyDescent="0.3">
      <c r="A61" s="318" t="s">
        <v>112</v>
      </c>
      <c r="B61" s="124">
        <v>0</v>
      </c>
      <c r="C61" s="124">
        <v>0</v>
      </c>
      <c r="D61" s="124">
        <v>0</v>
      </c>
      <c r="E61" s="124">
        <v>0</v>
      </c>
      <c r="F61" s="124">
        <v>-7.78</v>
      </c>
      <c r="G61" s="124">
        <v>9.2200000000000006</v>
      </c>
      <c r="H61" s="124">
        <v>-1.89</v>
      </c>
    </row>
    <row r="62" spans="1:17" ht="15" customHeight="1" x14ac:dyDescent="0.3">
      <c r="A62" s="318" t="s">
        <v>113</v>
      </c>
      <c r="B62" s="124">
        <v>0</v>
      </c>
      <c r="C62" s="124">
        <v>0</v>
      </c>
      <c r="D62" s="124">
        <v>0</v>
      </c>
      <c r="E62" s="124">
        <v>0</v>
      </c>
      <c r="F62" s="124">
        <v>185.9</v>
      </c>
      <c r="G62" s="124">
        <v>0</v>
      </c>
      <c r="H62" s="124">
        <v>0</v>
      </c>
    </row>
    <row r="63" spans="1:17" ht="15" customHeight="1" x14ac:dyDescent="0.3">
      <c r="A63" s="318" t="s">
        <v>114</v>
      </c>
      <c r="B63" s="124">
        <v>275.89</v>
      </c>
      <c r="C63" s="124">
        <v>295.70999999999998</v>
      </c>
      <c r="D63" s="124">
        <v>-355.54</v>
      </c>
      <c r="E63" s="124">
        <v>-514.36</v>
      </c>
      <c r="F63" s="124">
        <v>17.82</v>
      </c>
      <c r="G63" s="124">
        <v>174.97</v>
      </c>
      <c r="H63" s="124">
        <v>393.86</v>
      </c>
    </row>
    <row r="64" spans="1:17" ht="15" customHeight="1" x14ac:dyDescent="0.3">
      <c r="A64" s="318" t="s">
        <v>115</v>
      </c>
      <c r="B64" s="124">
        <v>33.42</v>
      </c>
      <c r="C64" s="124">
        <v>36.31</v>
      </c>
      <c r="D64" s="124">
        <v>42.84</v>
      </c>
      <c r="E64" s="124">
        <v>53.25</v>
      </c>
      <c r="F64" s="124">
        <v>62.14</v>
      </c>
      <c r="G64" s="124">
        <v>69.239999999999995</v>
      </c>
      <c r="H64" s="124">
        <v>79.58</v>
      </c>
    </row>
    <row r="65" spans="1:8" ht="15" customHeight="1" x14ac:dyDescent="0.3">
      <c r="A65" s="9" t="s">
        <v>116</v>
      </c>
      <c r="B65" s="125">
        <v>9735.31</v>
      </c>
      <c r="C65" s="125">
        <v>9994.94</v>
      </c>
      <c r="D65" s="125">
        <v>8228.89</v>
      </c>
      <c r="E65" s="125">
        <v>10253.719999999999</v>
      </c>
      <c r="F65" s="125">
        <v>10984.03</v>
      </c>
      <c r="G65" s="125">
        <v>11985.62</v>
      </c>
      <c r="H65" s="125">
        <v>13496.28</v>
      </c>
    </row>
    <row r="66" spans="1:8" ht="15" customHeight="1" x14ac:dyDescent="0.3">
      <c r="A66" s="9" t="s">
        <v>117</v>
      </c>
      <c r="B66" s="125">
        <v>3079.52</v>
      </c>
      <c r="C66" s="125">
        <v>3600.14</v>
      </c>
      <c r="D66" s="125">
        <v>3721.32</v>
      </c>
      <c r="E66" s="125">
        <v>4301.71</v>
      </c>
      <c r="F66" s="125">
        <v>3993.19</v>
      </c>
      <c r="G66" s="125">
        <v>5917.87</v>
      </c>
      <c r="H66" s="125">
        <v>7057.82</v>
      </c>
    </row>
    <row r="67" spans="1:8" ht="15" customHeight="1" x14ac:dyDescent="0.3">
      <c r="A67" s="317" t="s">
        <v>118</v>
      </c>
      <c r="B67" s="124">
        <v>16.97</v>
      </c>
      <c r="C67" s="124">
        <v>36.049999999999997</v>
      </c>
      <c r="D67" s="124">
        <v>45.07</v>
      </c>
      <c r="E67" s="124">
        <v>26.93</v>
      </c>
      <c r="F67" s="124">
        <v>22.27</v>
      </c>
      <c r="G67" s="124">
        <v>20.25</v>
      </c>
      <c r="H67" s="124">
        <v>15.11</v>
      </c>
    </row>
    <row r="68" spans="1:8" ht="15" customHeight="1" x14ac:dyDescent="0.3">
      <c r="A68" s="318" t="s">
        <v>119</v>
      </c>
      <c r="B68" s="124">
        <v>16.97</v>
      </c>
      <c r="C68" s="124">
        <v>36.049999999999997</v>
      </c>
      <c r="D68" s="124">
        <v>27.23</v>
      </c>
      <c r="E68" s="124">
        <v>11.17</v>
      </c>
      <c r="F68" s="124">
        <v>8.91</v>
      </c>
      <c r="G68" s="124">
        <v>5.34</v>
      </c>
      <c r="H68" s="124">
        <v>8.94</v>
      </c>
    </row>
    <row r="69" spans="1:8" ht="15" customHeight="1" x14ac:dyDescent="0.3">
      <c r="A69" s="318" t="s">
        <v>120</v>
      </c>
      <c r="B69" s="124">
        <v>0</v>
      </c>
      <c r="C69" s="124">
        <v>0</v>
      </c>
      <c r="D69" s="124">
        <v>17.84</v>
      </c>
      <c r="E69" s="124">
        <v>15.76</v>
      </c>
      <c r="F69" s="124">
        <v>13.36</v>
      </c>
      <c r="G69" s="124">
        <v>14.91</v>
      </c>
      <c r="H69" s="124">
        <v>6.17</v>
      </c>
    </row>
    <row r="70" spans="1:8" ht="15" customHeight="1" x14ac:dyDescent="0.3">
      <c r="A70" s="9" t="s">
        <v>121</v>
      </c>
      <c r="B70" s="125">
        <v>3062.55</v>
      </c>
      <c r="C70" s="125">
        <v>3564.09</v>
      </c>
      <c r="D70" s="125">
        <v>3676.25</v>
      </c>
      <c r="E70" s="125">
        <v>4274.78</v>
      </c>
      <c r="F70" s="125">
        <v>3970.92</v>
      </c>
      <c r="G70" s="125">
        <v>5897.62</v>
      </c>
      <c r="H70" s="125">
        <v>7042.71</v>
      </c>
    </row>
    <row r="71" spans="1:8" ht="15" customHeight="1" x14ac:dyDescent="0.3">
      <c r="A71" s="317" t="s">
        <v>122</v>
      </c>
      <c r="B71" s="124">
        <v>569.72</v>
      </c>
      <c r="C71" s="124">
        <v>599.78</v>
      </c>
      <c r="D71" s="124">
        <v>468.62</v>
      </c>
      <c r="E71" s="124">
        <v>460.01</v>
      </c>
      <c r="F71" s="124">
        <v>595.91</v>
      </c>
      <c r="G71" s="124">
        <v>587.59</v>
      </c>
      <c r="H71" s="124">
        <v>573.89</v>
      </c>
    </row>
    <row r="72" spans="1:8" ht="15" customHeight="1" x14ac:dyDescent="0.3">
      <c r="A72" s="9" t="s">
        <v>123</v>
      </c>
      <c r="B72" s="125">
        <v>2492.83</v>
      </c>
      <c r="C72" s="125">
        <v>2964.31</v>
      </c>
      <c r="D72" s="125">
        <v>3207.63</v>
      </c>
      <c r="E72" s="125">
        <v>3814.77</v>
      </c>
      <c r="F72" s="125">
        <v>3375.01</v>
      </c>
      <c r="G72" s="125">
        <v>5310.03</v>
      </c>
      <c r="H72" s="125">
        <v>6468.82</v>
      </c>
    </row>
    <row r="73" spans="1:8" ht="15" customHeight="1" x14ac:dyDescent="0.3">
      <c r="A73" s="317" t="s">
        <v>124</v>
      </c>
      <c r="B73" s="124">
        <v>576.42999999999995</v>
      </c>
      <c r="C73" s="124">
        <v>545.96</v>
      </c>
      <c r="D73" s="124">
        <v>756.27</v>
      </c>
      <c r="E73" s="124">
        <v>887.24</v>
      </c>
      <c r="F73" s="124">
        <v>901.63</v>
      </c>
      <c r="G73" s="124">
        <v>1226.69</v>
      </c>
      <c r="H73" s="124">
        <v>1360.32</v>
      </c>
    </row>
    <row r="74" spans="1:8" ht="15" customHeight="1" x14ac:dyDescent="0.3">
      <c r="A74" s="318" t="s">
        <v>125</v>
      </c>
      <c r="B74" s="124">
        <v>576.42999999999995</v>
      </c>
      <c r="C74" s="124">
        <v>545.96</v>
      </c>
      <c r="D74" s="124">
        <v>756.27</v>
      </c>
      <c r="E74" s="124">
        <v>887.24</v>
      </c>
      <c r="F74" s="124">
        <v>901.63</v>
      </c>
      <c r="G74" s="124">
        <v>1226.69</v>
      </c>
      <c r="H74" s="124">
        <v>1360.32</v>
      </c>
    </row>
    <row r="75" spans="1:8" ht="15" customHeight="1" x14ac:dyDescent="0.3">
      <c r="A75" s="317" t="s">
        <v>126</v>
      </c>
      <c r="B75" s="124">
        <v>27.99</v>
      </c>
      <c r="C75" s="124">
        <v>100.18</v>
      </c>
      <c r="D75" s="124">
        <v>-16.920000000000002</v>
      </c>
      <c r="E75" s="124">
        <v>-30.4</v>
      </c>
      <c r="F75" s="124">
        <v>-40.090000000000003</v>
      </c>
      <c r="G75" s="124">
        <v>6.09</v>
      </c>
      <c r="H75" s="124">
        <v>-49.15</v>
      </c>
    </row>
    <row r="76" spans="1:8" ht="15" customHeight="1" x14ac:dyDescent="0.3">
      <c r="A76" s="318" t="s">
        <v>127</v>
      </c>
      <c r="B76" s="124">
        <v>27.99</v>
      </c>
      <c r="C76" s="124">
        <v>100.18</v>
      </c>
      <c r="D76" s="124">
        <v>-16.920000000000002</v>
      </c>
      <c r="E76" s="124">
        <v>-30.4</v>
      </c>
      <c r="F76" s="124">
        <v>-40.090000000000003</v>
      </c>
      <c r="G76" s="124">
        <v>6.09</v>
      </c>
      <c r="H76" s="124">
        <v>-49.15</v>
      </c>
    </row>
    <row r="77" spans="1:8" ht="15" customHeight="1" x14ac:dyDescent="0.3">
      <c r="A77" s="9" t="s">
        <v>128</v>
      </c>
      <c r="B77" s="125">
        <v>1888.41</v>
      </c>
      <c r="C77" s="125">
        <v>2318.17</v>
      </c>
      <c r="D77" s="125">
        <v>2468.2800000000002</v>
      </c>
      <c r="E77" s="125">
        <v>2957.93</v>
      </c>
      <c r="F77" s="125">
        <v>2513.4699999999998</v>
      </c>
      <c r="G77" s="125">
        <v>4077.25</v>
      </c>
      <c r="H77" s="125">
        <v>5157.6499999999996</v>
      </c>
    </row>
    <row r="78" spans="1:8" ht="15" customHeight="1" x14ac:dyDescent="0.3">
      <c r="A78" s="317" t="s">
        <v>129</v>
      </c>
      <c r="B78" s="124">
        <v>79.150000000000006</v>
      </c>
      <c r="C78" s="124">
        <v>91.4</v>
      </c>
      <c r="D78" s="124">
        <v>39.090000000000003</v>
      </c>
      <c r="E78" s="124">
        <v>49.67</v>
      </c>
      <c r="F78" s="124">
        <v>-41.59</v>
      </c>
      <c r="G78" s="124">
        <v>39.14</v>
      </c>
      <c r="H78" s="124">
        <v>344.27</v>
      </c>
    </row>
    <row r="79" spans="1:8" ht="15" customHeight="1" x14ac:dyDescent="0.3">
      <c r="A79" s="318" t="s">
        <v>130</v>
      </c>
      <c r="B79" s="124">
        <v>-2.93</v>
      </c>
      <c r="C79" s="124">
        <v>2.86</v>
      </c>
      <c r="D79" s="124">
        <v>3.48</v>
      </c>
      <c r="E79" s="124">
        <v>0.72</v>
      </c>
      <c r="F79" s="124">
        <v>11.02</v>
      </c>
      <c r="G79" s="124">
        <v>7.5</v>
      </c>
      <c r="H79" s="124">
        <v>-1.85</v>
      </c>
    </row>
    <row r="80" spans="1:8" ht="15" customHeight="1" x14ac:dyDescent="0.3">
      <c r="A80" s="318" t="s">
        <v>131</v>
      </c>
      <c r="B80" s="124">
        <v>107.41</v>
      </c>
      <c r="C80" s="124">
        <v>114.02</v>
      </c>
      <c r="D80" s="124">
        <v>47.67</v>
      </c>
      <c r="E80" s="124">
        <v>64</v>
      </c>
      <c r="F80" s="124">
        <v>118.13</v>
      </c>
      <c r="G80" s="124">
        <v>43.47</v>
      </c>
      <c r="H80" s="124">
        <v>143.13</v>
      </c>
    </row>
    <row r="81" spans="1:8" ht="15" customHeight="1" x14ac:dyDescent="0.3">
      <c r="A81" s="318" t="s">
        <v>132</v>
      </c>
      <c r="B81" s="124">
        <v>0</v>
      </c>
      <c r="C81" s="124">
        <v>0</v>
      </c>
      <c r="D81" s="124">
        <v>423.63</v>
      </c>
      <c r="E81" s="124">
        <v>268.54000000000002</v>
      </c>
      <c r="F81" s="124">
        <v>183.51</v>
      </c>
      <c r="G81" s="124">
        <v>363.06</v>
      </c>
      <c r="H81" s="124">
        <v>294.66000000000003</v>
      </c>
    </row>
    <row r="82" spans="1:8" ht="23.25" customHeight="1" x14ac:dyDescent="0.3">
      <c r="A82" s="318" t="s">
        <v>133</v>
      </c>
      <c r="B82" s="124">
        <v>24.16</v>
      </c>
      <c r="C82" s="124">
        <v>21.53</v>
      </c>
      <c r="D82" s="124">
        <v>12.06</v>
      </c>
      <c r="E82" s="124">
        <v>15.05</v>
      </c>
      <c r="F82" s="124">
        <v>15.16</v>
      </c>
      <c r="G82" s="124">
        <v>11.77</v>
      </c>
      <c r="H82" s="124">
        <v>91.67</v>
      </c>
    </row>
    <row r="83" spans="1:8" ht="23.25" customHeight="1" x14ac:dyDescent="0.3">
      <c r="A83" s="318" t="s">
        <v>134</v>
      </c>
      <c r="B83" s="124">
        <v>1.17</v>
      </c>
      <c r="C83" s="124">
        <v>3.95</v>
      </c>
      <c r="D83" s="124">
        <v>0</v>
      </c>
      <c r="E83" s="124">
        <v>0</v>
      </c>
      <c r="F83" s="124">
        <v>0</v>
      </c>
      <c r="G83" s="124">
        <v>0.06</v>
      </c>
      <c r="H83" s="124">
        <v>0</v>
      </c>
    </row>
    <row r="84" spans="1:8" ht="15" customHeight="1" x14ac:dyDescent="0.3">
      <c r="A84" s="9" t="s">
        <v>135</v>
      </c>
      <c r="B84" s="125">
        <v>1809.26</v>
      </c>
      <c r="C84" s="125">
        <v>2226.77</v>
      </c>
      <c r="D84" s="125">
        <v>2429.19</v>
      </c>
      <c r="E84" s="125">
        <v>2908.26</v>
      </c>
      <c r="F84" s="125">
        <v>2555.06</v>
      </c>
      <c r="G84" s="125">
        <v>4038.11</v>
      </c>
      <c r="H84" s="125">
        <v>4813.38</v>
      </c>
    </row>
    <row r="85" spans="1:8" ht="15" customHeight="1" x14ac:dyDescent="0.3">
      <c r="A85" s="317" t="s">
        <v>136</v>
      </c>
      <c r="B85" s="124">
        <v>-32.590000000000003</v>
      </c>
      <c r="C85" s="124">
        <v>-49.53</v>
      </c>
      <c r="D85" s="124">
        <v>13.71</v>
      </c>
      <c r="E85" s="124">
        <v>18.48</v>
      </c>
      <c r="F85" s="124">
        <v>-10.52</v>
      </c>
      <c r="G85" s="124">
        <v>-74.47</v>
      </c>
      <c r="H85" s="124">
        <v>-12.96</v>
      </c>
    </row>
    <row r="86" spans="1:8" ht="15" customHeight="1" x14ac:dyDescent="0.3">
      <c r="A86" s="318" t="s">
        <v>137</v>
      </c>
      <c r="B86" s="124">
        <v>-32.590000000000003</v>
      </c>
      <c r="C86" s="124">
        <v>-49.53</v>
      </c>
      <c r="D86" s="124">
        <v>13.71</v>
      </c>
      <c r="E86" s="124">
        <v>18.48</v>
      </c>
      <c r="F86" s="124">
        <v>-10.52</v>
      </c>
      <c r="G86" s="124">
        <v>-74.47</v>
      </c>
      <c r="H86" s="124">
        <v>-12.96</v>
      </c>
    </row>
    <row r="87" spans="1:8" ht="15" customHeight="1" x14ac:dyDescent="0.3">
      <c r="A87" s="318" t="s">
        <v>138</v>
      </c>
      <c r="B87" s="124">
        <v>9214.31</v>
      </c>
      <c r="C87" s="124">
        <v>10828.56</v>
      </c>
      <c r="D87" s="124">
        <v>12479.72</v>
      </c>
      <c r="E87" s="124">
        <v>14961.71</v>
      </c>
      <c r="F87" s="124">
        <v>17534.77</v>
      </c>
      <c r="G87" s="124">
        <v>19634.22</v>
      </c>
      <c r="H87" s="124">
        <v>22950.83</v>
      </c>
    </row>
    <row r="88" spans="1:8" ht="15" customHeight="1" x14ac:dyDescent="0.3">
      <c r="A88" s="317" t="s">
        <v>139</v>
      </c>
      <c r="B88" s="124">
        <v>241.57</v>
      </c>
      <c r="C88" s="124">
        <v>617.48</v>
      </c>
      <c r="D88" s="124">
        <v>0</v>
      </c>
      <c r="E88" s="124">
        <v>403.35</v>
      </c>
      <c r="F88" s="124">
        <v>403.5</v>
      </c>
      <c r="G88" s="124">
        <v>686.17</v>
      </c>
      <c r="H88" s="124">
        <v>1049.83</v>
      </c>
    </row>
    <row r="89" spans="1:8" ht="15" customHeight="1" x14ac:dyDescent="0.3">
      <c r="A89" s="318" t="s">
        <v>140</v>
      </c>
      <c r="B89" s="124">
        <v>241.57</v>
      </c>
      <c r="C89" s="124">
        <v>241.77</v>
      </c>
      <c r="D89" s="124">
        <v>0</v>
      </c>
      <c r="E89" s="124">
        <v>403.35</v>
      </c>
      <c r="F89" s="124">
        <v>403.5</v>
      </c>
      <c r="G89" s="124">
        <v>686.17</v>
      </c>
      <c r="H89" s="124">
        <v>1049.83</v>
      </c>
    </row>
    <row r="90" spans="1:8" ht="15" customHeight="1" x14ac:dyDescent="0.3">
      <c r="A90" s="318" t="s">
        <v>141</v>
      </c>
      <c r="B90" s="124">
        <v>0</v>
      </c>
      <c r="C90" s="124">
        <v>322.49</v>
      </c>
      <c r="D90" s="124">
        <v>0</v>
      </c>
      <c r="E90" s="124">
        <v>0</v>
      </c>
      <c r="F90" s="124">
        <v>0</v>
      </c>
      <c r="G90" s="124">
        <v>0</v>
      </c>
      <c r="H90" s="124">
        <v>0</v>
      </c>
    </row>
    <row r="91" spans="1:8" ht="15" customHeight="1" x14ac:dyDescent="0.3">
      <c r="A91" s="318" t="s">
        <v>142</v>
      </c>
      <c r="B91" s="124">
        <v>0</v>
      </c>
      <c r="C91" s="124">
        <v>53.22</v>
      </c>
      <c r="D91" s="124">
        <v>0</v>
      </c>
      <c r="E91" s="124">
        <v>0</v>
      </c>
      <c r="F91" s="124">
        <v>0</v>
      </c>
      <c r="G91" s="124">
        <v>0</v>
      </c>
      <c r="H91" s="124">
        <v>0</v>
      </c>
    </row>
    <row r="92" spans="1:8" ht="15" customHeight="1" x14ac:dyDescent="0.3">
      <c r="A92" s="318" t="s">
        <v>143</v>
      </c>
      <c r="B92" s="124">
        <v>0</v>
      </c>
      <c r="C92" s="124">
        <v>322.49</v>
      </c>
      <c r="D92" s="124">
        <v>0</v>
      </c>
      <c r="E92" s="124">
        <v>0</v>
      </c>
      <c r="F92" s="124">
        <v>0</v>
      </c>
      <c r="G92" s="124">
        <v>0</v>
      </c>
      <c r="H92" s="124">
        <v>0</v>
      </c>
    </row>
    <row r="93" spans="1:8" ht="15" customHeight="1" x14ac:dyDescent="0.3">
      <c r="A93" s="318" t="s">
        <v>144</v>
      </c>
      <c r="B93" s="124">
        <v>10828.56</v>
      </c>
      <c r="C93" s="124">
        <v>12479.72</v>
      </c>
      <c r="D93" s="124">
        <v>14961.71</v>
      </c>
      <c r="E93" s="124">
        <v>17534.77</v>
      </c>
      <c r="F93" s="124">
        <v>19634.22</v>
      </c>
      <c r="G93" s="124">
        <v>22950.83</v>
      </c>
      <c r="H93" s="124">
        <v>27045.69</v>
      </c>
    </row>
    <row r="94" spans="1:8" ht="15" customHeight="1" x14ac:dyDescent="0.3">
      <c r="A94" s="318" t="s">
        <v>145</v>
      </c>
      <c r="B94" s="124">
        <v>0</v>
      </c>
      <c r="C94" s="124">
        <v>322.49</v>
      </c>
      <c r="D94" s="124">
        <v>0</v>
      </c>
      <c r="E94" s="124">
        <v>0</v>
      </c>
      <c r="F94" s="124">
        <v>0</v>
      </c>
      <c r="G94" s="124">
        <v>0</v>
      </c>
      <c r="H94" s="124">
        <v>0</v>
      </c>
    </row>
    <row r="95" spans="1:8" ht="15" customHeight="1" x14ac:dyDescent="0.3">
      <c r="A95" s="318" t="s">
        <v>146</v>
      </c>
      <c r="B95" s="124">
        <v>150</v>
      </c>
      <c r="C95" s="124">
        <v>200</v>
      </c>
      <c r="D95" s="124">
        <v>250</v>
      </c>
      <c r="E95" s="124">
        <v>250</v>
      </c>
      <c r="F95" s="124">
        <v>425</v>
      </c>
      <c r="G95" s="124">
        <v>650</v>
      </c>
      <c r="H95" s="124">
        <v>800</v>
      </c>
    </row>
    <row r="96" spans="1:8" ht="15" customHeight="1" x14ac:dyDescent="0.3">
      <c r="A96" s="318" t="s">
        <v>147</v>
      </c>
      <c r="B96" s="124">
        <v>3</v>
      </c>
      <c r="C96" s="124">
        <v>4</v>
      </c>
      <c r="D96" s="124">
        <v>5</v>
      </c>
      <c r="E96" s="124">
        <v>5</v>
      </c>
      <c r="F96" s="124">
        <v>8.5</v>
      </c>
      <c r="G96" s="124">
        <v>13</v>
      </c>
      <c r="H96" s="124">
        <v>16</v>
      </c>
    </row>
    <row r="97" spans="1:8" ht="15" customHeight="1" x14ac:dyDescent="0.3">
      <c r="A97" s="318" t="s">
        <v>148</v>
      </c>
      <c r="B97" s="124">
        <v>23.44</v>
      </c>
      <c r="C97" s="124">
        <v>28.75</v>
      </c>
      <c r="D97" s="124">
        <v>30.61</v>
      </c>
      <c r="E97" s="124">
        <v>36.659999999999997</v>
      </c>
      <c r="F97" s="124">
        <v>31.14</v>
      </c>
      <c r="G97" s="124">
        <v>50.5</v>
      </c>
      <c r="H97" s="124">
        <v>63.86</v>
      </c>
    </row>
    <row r="98" spans="1:8" ht="15" customHeight="1" x14ac:dyDescent="0.3">
      <c r="A98" s="318" t="s">
        <v>149</v>
      </c>
      <c r="B98" s="124">
        <v>23.44</v>
      </c>
      <c r="C98" s="124">
        <v>28.75</v>
      </c>
      <c r="D98" s="124">
        <v>30.61</v>
      </c>
      <c r="E98" s="124">
        <v>36.659999999999997</v>
      </c>
      <c r="F98" s="124">
        <v>31.14</v>
      </c>
      <c r="G98" s="124">
        <v>50.5</v>
      </c>
      <c r="H98" s="124">
        <v>63.86</v>
      </c>
    </row>
    <row r="99" spans="1:8" ht="15" customHeight="1" x14ac:dyDescent="0.3">
      <c r="A99" s="318" t="s">
        <v>150</v>
      </c>
      <c r="B99" s="124">
        <v>195.88</v>
      </c>
      <c r="C99" s="124">
        <v>215.85</v>
      </c>
      <c r="D99" s="124">
        <v>247.1</v>
      </c>
      <c r="E99" s="124">
        <v>279.05</v>
      </c>
      <c r="F99" s="124">
        <v>305.25</v>
      </c>
      <c r="G99" s="124">
        <v>346.49</v>
      </c>
      <c r="H99" s="124">
        <v>397.46</v>
      </c>
    </row>
    <row r="100" spans="1:8" ht="15" customHeight="1" x14ac:dyDescent="0.3">
      <c r="A100" s="318" t="s">
        <v>151</v>
      </c>
      <c r="B100" s="124">
        <v>195.88</v>
      </c>
      <c r="C100" s="124">
        <v>215.85</v>
      </c>
      <c r="D100" s="124">
        <v>247.1</v>
      </c>
      <c r="E100" s="124">
        <v>279.05</v>
      </c>
      <c r="F100" s="124">
        <v>305.25</v>
      </c>
      <c r="G100" s="124">
        <v>346.49</v>
      </c>
      <c r="H100" s="124">
        <v>397.46</v>
      </c>
    </row>
    <row r="101" spans="1:8" ht="15" customHeight="1" x14ac:dyDescent="0.3">
      <c r="A101" s="318" t="s">
        <v>152</v>
      </c>
      <c r="B101" s="124">
        <v>3</v>
      </c>
      <c r="C101" s="124">
        <v>4</v>
      </c>
      <c r="D101" s="124">
        <v>5</v>
      </c>
      <c r="E101" s="124">
        <v>5</v>
      </c>
      <c r="F101" s="124">
        <v>8.5</v>
      </c>
      <c r="G101" s="124">
        <v>13</v>
      </c>
      <c r="H101" s="124">
        <v>16</v>
      </c>
    </row>
    <row r="102" spans="1:8" ht="15" customHeight="1" x14ac:dyDescent="0.3">
      <c r="A102" s="318"/>
      <c r="B102" s="124"/>
      <c r="C102" s="124"/>
      <c r="D102" s="124"/>
      <c r="E102" s="124"/>
      <c r="F102" s="124"/>
      <c r="G102" s="124"/>
      <c r="H102" s="124"/>
    </row>
    <row r="103" spans="1:8" ht="15" customHeight="1" x14ac:dyDescent="0.3">
      <c r="A103" s="318"/>
      <c r="B103" s="124"/>
      <c r="C103" s="124"/>
      <c r="D103" s="124"/>
      <c r="E103" s="124"/>
      <c r="F103" s="124"/>
      <c r="G103" s="124"/>
      <c r="H103" s="124"/>
    </row>
    <row r="104" spans="1:8" x14ac:dyDescent="0.3">
      <c r="A104" s="18"/>
      <c r="B104" s="18"/>
      <c r="C104" s="18"/>
      <c r="D104" s="18"/>
      <c r="E104" s="18"/>
      <c r="F104" s="18"/>
      <c r="G104" s="18"/>
      <c r="H104" s="18"/>
    </row>
    <row r="105" spans="1:8" ht="21.75" customHeight="1" x14ac:dyDescent="0.3">
      <c r="A105" s="367" t="s">
        <v>153</v>
      </c>
      <c r="B105" s="367"/>
      <c r="C105" s="367"/>
      <c r="D105" s="367"/>
      <c r="E105" s="367"/>
      <c r="F105" s="367"/>
      <c r="G105" s="367"/>
      <c r="H105" s="367"/>
    </row>
    <row r="106" spans="1:8" ht="15.75" customHeight="1" x14ac:dyDescent="0.3">
      <c r="A106" s="1" t="s">
        <v>2</v>
      </c>
      <c r="B106" s="11" t="s">
        <v>3</v>
      </c>
      <c r="C106" s="11" t="s">
        <v>4</v>
      </c>
      <c r="D106" s="11" t="s">
        <v>5</v>
      </c>
      <c r="E106" s="11" t="s">
        <v>6</v>
      </c>
      <c r="F106" s="11" t="s">
        <v>7</v>
      </c>
      <c r="G106" s="11" t="s">
        <v>8</v>
      </c>
      <c r="H106" s="11" t="s">
        <v>9</v>
      </c>
    </row>
    <row r="107" spans="1:8" ht="15" customHeight="1" x14ac:dyDescent="0.3">
      <c r="A107" s="12" t="s">
        <v>154</v>
      </c>
      <c r="B107" s="125">
        <v>217.45</v>
      </c>
      <c r="C107" s="125">
        <v>64.47</v>
      </c>
      <c r="D107" s="125">
        <v>261.54000000000002</v>
      </c>
      <c r="E107" s="125">
        <v>294.72000000000003</v>
      </c>
      <c r="F107" s="125">
        <v>177.29</v>
      </c>
      <c r="G107" s="125">
        <v>29.48</v>
      </c>
      <c r="H107" s="125">
        <v>164.52</v>
      </c>
    </row>
    <row r="108" spans="1:8" ht="15" customHeight="1" x14ac:dyDescent="0.3">
      <c r="A108" s="12" t="s">
        <v>155</v>
      </c>
      <c r="B108" s="125">
        <v>1468.05</v>
      </c>
      <c r="C108" s="125">
        <v>2018.14</v>
      </c>
      <c r="D108" s="125">
        <v>3460.31</v>
      </c>
      <c r="E108" s="125">
        <v>2773.43</v>
      </c>
      <c r="F108" s="125">
        <v>3035.05</v>
      </c>
      <c r="G108" s="125">
        <v>3726.77</v>
      </c>
      <c r="H108" s="125">
        <v>3300.99</v>
      </c>
    </row>
    <row r="109" spans="1:8" ht="15" customHeight="1" x14ac:dyDescent="0.3">
      <c r="A109" s="13" t="s">
        <v>156</v>
      </c>
      <c r="B109" s="124">
        <v>-312.05</v>
      </c>
      <c r="C109" s="124">
        <v>-449.71</v>
      </c>
      <c r="D109" s="124">
        <v>-516.97</v>
      </c>
      <c r="E109" s="124">
        <v>-331.68</v>
      </c>
      <c r="F109" s="124">
        <v>-684.15</v>
      </c>
      <c r="G109" s="124">
        <v>-682.71</v>
      </c>
      <c r="H109" s="124">
        <v>-728.68</v>
      </c>
    </row>
    <row r="110" spans="1:8" ht="15" customHeight="1" x14ac:dyDescent="0.3">
      <c r="A110" s="12" t="s">
        <v>157</v>
      </c>
      <c r="B110" s="125">
        <v>-1147.71</v>
      </c>
      <c r="C110" s="125">
        <v>-1127.18</v>
      </c>
      <c r="D110" s="125">
        <v>-3361.33</v>
      </c>
      <c r="E110" s="125">
        <v>-2464.14</v>
      </c>
      <c r="F110" s="125">
        <v>-2758.09</v>
      </c>
      <c r="G110" s="125">
        <v>-2882.9</v>
      </c>
      <c r="H110" s="125">
        <v>-2308.84</v>
      </c>
    </row>
    <row r="111" spans="1:8" ht="15" customHeight="1" x14ac:dyDescent="0.3">
      <c r="A111" s="12" t="s">
        <v>158</v>
      </c>
      <c r="B111" s="125">
        <v>-473.32</v>
      </c>
      <c r="C111" s="125">
        <v>-693.89</v>
      </c>
      <c r="D111" s="125">
        <v>-65.8</v>
      </c>
      <c r="E111" s="125">
        <v>-426.72</v>
      </c>
      <c r="F111" s="125">
        <v>-424.77</v>
      </c>
      <c r="G111" s="125">
        <v>-708.83</v>
      </c>
      <c r="H111" s="125">
        <v>-1073.93</v>
      </c>
    </row>
    <row r="112" spans="1:8" ht="15" customHeight="1" x14ac:dyDescent="0.3">
      <c r="A112" s="12" t="s">
        <v>159</v>
      </c>
      <c r="B112" s="125">
        <v>-152.97999999999999</v>
      </c>
      <c r="C112" s="125">
        <v>197.07</v>
      </c>
      <c r="D112" s="125">
        <v>33.18</v>
      </c>
      <c r="E112" s="125">
        <v>-117.43</v>
      </c>
      <c r="F112" s="125">
        <v>-147.81</v>
      </c>
      <c r="G112" s="125">
        <v>135.04</v>
      </c>
      <c r="H112" s="125">
        <v>-81.78</v>
      </c>
    </row>
    <row r="113" spans="1:8" ht="15" customHeight="1" x14ac:dyDescent="0.3">
      <c r="A113" s="12" t="s">
        <v>160</v>
      </c>
      <c r="B113" s="125">
        <v>64.47</v>
      </c>
      <c r="C113" s="125">
        <v>261.54000000000002</v>
      </c>
      <c r="D113" s="125">
        <v>294.72000000000003</v>
      </c>
      <c r="E113" s="125">
        <v>177.29</v>
      </c>
      <c r="F113" s="125">
        <v>29.48</v>
      </c>
      <c r="G113" s="125">
        <v>164.52</v>
      </c>
      <c r="H113" s="125">
        <v>82.74</v>
      </c>
    </row>
  </sheetData>
  <mergeCells count="3">
    <mergeCell ref="A1:H1"/>
    <mergeCell ref="J1:Q1"/>
    <mergeCell ref="A105:H10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22"/>
  <sheetViews>
    <sheetView zoomScaleNormal="100" workbookViewId="0">
      <pane xSplit="2" ySplit="4" topLeftCell="C5" activePane="bottomRight" state="frozen"/>
      <selection pane="topRight" activeCell="C1" sqref="C1"/>
      <selection pane="bottomLeft" activeCell="A5" sqref="A5"/>
      <selection pane="bottomRight" activeCell="C22" sqref="C22"/>
    </sheetView>
  </sheetViews>
  <sheetFormatPr defaultColWidth="8.6640625" defaultRowHeight="14.4" x14ac:dyDescent="0.3"/>
  <cols>
    <col min="1" max="1" width="2" customWidth="1"/>
    <col min="2" max="2" width="44" customWidth="1"/>
    <col min="3" max="14" width="12" customWidth="1"/>
  </cols>
  <sheetData>
    <row r="1" spans="2:14" ht="25.5" customHeight="1" x14ac:dyDescent="0.3">
      <c r="B1" s="368" t="s">
        <v>161</v>
      </c>
      <c r="C1" s="368"/>
      <c r="D1" s="368"/>
      <c r="E1" s="368"/>
      <c r="F1" s="368"/>
      <c r="G1" s="368"/>
      <c r="H1" s="368"/>
      <c r="I1" s="368"/>
      <c r="J1" s="368"/>
      <c r="K1" s="368"/>
      <c r="L1" s="368"/>
      <c r="M1" s="368"/>
      <c r="N1" s="368"/>
    </row>
    <row r="2" spans="2:14" ht="15" customHeight="1" x14ac:dyDescent="0.3">
      <c r="B2" s="369" t="s">
        <v>162</v>
      </c>
      <c r="C2" s="369"/>
      <c r="D2" s="369"/>
      <c r="E2" s="369"/>
      <c r="F2" s="369"/>
      <c r="G2" s="369"/>
      <c r="H2" s="369"/>
      <c r="I2" s="369"/>
      <c r="J2" s="369"/>
      <c r="K2" s="369"/>
      <c r="L2" s="369"/>
      <c r="M2" s="369"/>
      <c r="N2" s="369"/>
    </row>
    <row r="4" spans="2:14" ht="30" customHeight="1" x14ac:dyDescent="0.3">
      <c r="B4" s="14" t="s">
        <v>163</v>
      </c>
      <c r="C4" s="3" t="s">
        <v>164</v>
      </c>
      <c r="D4" s="3" t="s">
        <v>165</v>
      </c>
      <c r="E4" s="3" t="s">
        <v>166</v>
      </c>
      <c r="F4" s="3" t="s">
        <v>167</v>
      </c>
      <c r="G4" s="3" t="s">
        <v>168</v>
      </c>
      <c r="H4" s="3" t="s">
        <v>169</v>
      </c>
      <c r="I4" s="3" t="s">
        <v>170</v>
      </c>
      <c r="J4" s="15" t="s">
        <v>171</v>
      </c>
      <c r="K4" s="15" t="s">
        <v>172</v>
      </c>
      <c r="L4" s="15" t="s">
        <v>173</v>
      </c>
      <c r="M4" s="15" t="s">
        <v>174</v>
      </c>
      <c r="N4" s="15" t="s">
        <v>175</v>
      </c>
    </row>
    <row r="5" spans="2:14" ht="15" customHeight="1" x14ac:dyDescent="0.3">
      <c r="B5" s="12" t="s">
        <v>154</v>
      </c>
      <c r="C5" s="125">
        <f>'Raw Data'!B107</f>
        <v>217.45</v>
      </c>
      <c r="D5" s="125">
        <f>'Raw Data'!C107</f>
        <v>64.47</v>
      </c>
      <c r="E5" s="125">
        <f>'Raw Data'!D107</f>
        <v>261.54000000000002</v>
      </c>
      <c r="F5" s="125">
        <f>'Raw Data'!E107</f>
        <v>294.72000000000003</v>
      </c>
      <c r="G5" s="125">
        <f>'Raw Data'!F107</f>
        <v>177.29</v>
      </c>
      <c r="H5" s="125">
        <f>'Raw Data'!G107</f>
        <v>29.48</v>
      </c>
      <c r="I5" s="125">
        <f>'Raw Data'!H107</f>
        <v>164.52</v>
      </c>
      <c r="J5" s="16">
        <f>I22</f>
        <v>82.74</v>
      </c>
      <c r="K5" s="16">
        <f>J22</f>
        <v>-2372.691253120232</v>
      </c>
      <c r="L5" s="16">
        <f>K22</f>
        <v>-4161.3043720609585</v>
      </c>
      <c r="M5" s="16">
        <f>L22</f>
        <v>-6187.9299130612262</v>
      </c>
      <c r="N5" s="16">
        <f>M22</f>
        <v>-8388.8391725359943</v>
      </c>
    </row>
    <row r="6" spans="2:14" ht="15.75" customHeight="1" x14ac:dyDescent="0.3">
      <c r="B6" s="370" t="s">
        <v>176</v>
      </c>
      <c r="C6" s="370"/>
      <c r="D6" s="370"/>
      <c r="E6" s="370"/>
      <c r="F6" s="370"/>
      <c r="G6" s="370"/>
      <c r="H6" s="370"/>
      <c r="I6" s="370"/>
      <c r="J6" s="370"/>
      <c r="K6" s="370"/>
      <c r="L6" s="370"/>
      <c r="M6" s="370"/>
      <c r="N6" s="370"/>
    </row>
    <row r="7" spans="2:14" ht="15" customHeight="1" x14ac:dyDescent="0.3">
      <c r="B7" s="17" t="s">
        <v>177</v>
      </c>
      <c r="C7" s="124">
        <f>'Raw Data'!B77</f>
        <v>1888.41</v>
      </c>
      <c r="D7" s="124">
        <f>'Raw Data'!C77</f>
        <v>2318.17</v>
      </c>
      <c r="E7" s="124">
        <f>'Raw Data'!D77</f>
        <v>2468.2800000000002</v>
      </c>
      <c r="F7" s="124">
        <f>'Raw Data'!E77</f>
        <v>2957.93</v>
      </c>
      <c r="G7" s="124">
        <f>'Raw Data'!F77</f>
        <v>2513.4699999999998</v>
      </c>
      <c r="H7" s="124">
        <f>'Raw Data'!G77</f>
        <v>4077.25</v>
      </c>
      <c r="I7" s="124">
        <f>'Raw Data'!H77</f>
        <v>5157.6499999999996</v>
      </c>
      <c r="J7" s="124">
        <f>'Financial Statements'!J25</f>
        <v>1500.2185589411704</v>
      </c>
      <c r="K7" s="124">
        <f>'Financial Statements'!K25</f>
        <v>1673.3212189607425</v>
      </c>
      <c r="L7" s="124">
        <f>'Financial Statements'!L25</f>
        <v>1821.2089377376058</v>
      </c>
      <c r="M7" s="124">
        <f>'Financial Statements'!M25</f>
        <v>2043.378561031901</v>
      </c>
      <c r="N7" s="124">
        <f>'Financial Statements'!N25</f>
        <v>2533.9679271891532</v>
      </c>
    </row>
    <row r="8" spans="2:14" ht="15" customHeight="1" x14ac:dyDescent="0.3">
      <c r="B8" s="17" t="s">
        <v>178</v>
      </c>
      <c r="C8" s="124">
        <f>'Raw Data'!B71</f>
        <v>569.72</v>
      </c>
      <c r="D8" s="124">
        <f>'Raw Data'!C71</f>
        <v>599.78</v>
      </c>
      <c r="E8" s="124">
        <f>'Raw Data'!D71</f>
        <v>468.62</v>
      </c>
      <c r="F8" s="124">
        <f>'Raw Data'!E71</f>
        <v>460.01</v>
      </c>
      <c r="G8" s="124">
        <f>'Raw Data'!F71</f>
        <v>595.91</v>
      </c>
      <c r="H8" s="124">
        <f>'Raw Data'!G71</f>
        <v>587.59</v>
      </c>
      <c r="I8" s="124">
        <f>'Raw Data'!H71</f>
        <v>573.89</v>
      </c>
      <c r="J8" s="124">
        <f>'Financial Statements'!J17</f>
        <v>704.50559999999996</v>
      </c>
      <c r="K8" s="124">
        <f>'Financial Statements'!K17</f>
        <v>713.53091962263159</v>
      </c>
      <c r="L8" s="124">
        <f>'Financial Statements'!L17</f>
        <v>736.83114292239713</v>
      </c>
      <c r="M8" s="124">
        <f>'Financial Statements'!M17</f>
        <v>721.05845252335723</v>
      </c>
      <c r="N8" s="124">
        <f>'Financial Statements'!N17</f>
        <v>761.29694113387461</v>
      </c>
    </row>
    <row r="9" spans="2:14" ht="15" customHeight="1" x14ac:dyDescent="0.3">
      <c r="B9" s="17" t="s">
        <v>179</v>
      </c>
      <c r="C9" s="124">
        <f>'Raw Data'!B67</f>
        <v>16.97</v>
      </c>
      <c r="D9" s="124">
        <f>'Raw Data'!C67</f>
        <v>36.049999999999997</v>
      </c>
      <c r="E9" s="124">
        <f>'Raw Data'!D67</f>
        <v>45.07</v>
      </c>
      <c r="F9" s="124">
        <f>'Raw Data'!E67</f>
        <v>26.93</v>
      </c>
      <c r="G9" s="124">
        <f>'Raw Data'!F67</f>
        <v>22.27</v>
      </c>
      <c r="H9" s="124">
        <f>'Raw Data'!G67</f>
        <v>20.25</v>
      </c>
      <c r="I9" s="124">
        <f>'Raw Data'!H67</f>
        <v>15.11</v>
      </c>
      <c r="J9" s="124">
        <f>'Financial Statements'!J18</f>
        <v>18</v>
      </c>
      <c r="K9" s="124">
        <f>'Financial Statements'!K18</f>
        <v>18</v>
      </c>
      <c r="L9" s="124">
        <f>'Financial Statements'!L18</f>
        <v>20</v>
      </c>
      <c r="M9" s="124">
        <f>'Financial Statements'!M18</f>
        <v>20</v>
      </c>
      <c r="N9" s="124">
        <f>'Financial Statements'!N18</f>
        <v>22</v>
      </c>
    </row>
    <row r="10" spans="2:14" ht="15" customHeight="1" x14ac:dyDescent="0.3">
      <c r="B10" s="17" t="s">
        <v>180</v>
      </c>
      <c r="C10" s="124"/>
      <c r="D10" s="124">
        <f>'Raw Data'!B45-'Raw Data'!C45</f>
        <v>16.340000000000003</v>
      </c>
      <c r="E10" s="124">
        <f>'Raw Data'!C45-'Raw Data'!D45</f>
        <v>-19.86</v>
      </c>
      <c r="F10" s="124">
        <f>'Raw Data'!D45-'Raw Data'!E45</f>
        <v>-26.039999999999992</v>
      </c>
      <c r="G10" s="124">
        <f>'Raw Data'!E45-'Raw Data'!F45</f>
        <v>-8.6100000000000136</v>
      </c>
      <c r="H10" s="124">
        <f>'Raw Data'!F45-'Raw Data'!G45</f>
        <v>-3.019999999999996</v>
      </c>
      <c r="I10" s="124">
        <f>'Raw Data'!G45-'Raw Data'!H45</f>
        <v>3.7600000000000051</v>
      </c>
      <c r="J10" s="124">
        <f>'Financial Statements'!I62-'Financial Statements'!J62</f>
        <v>-1164.6431583768772</v>
      </c>
      <c r="K10" s="124">
        <f>'Financial Statements'!J62-'Financial Statements'!K62</f>
        <v>-382.32871687776515</v>
      </c>
      <c r="L10" s="124">
        <f>'Financial Statements'!K62-'Financial Statements'!L62</f>
        <v>-389.5387444764774</v>
      </c>
      <c r="M10" s="124">
        <f>'Financial Statements'!L62-'Financial Statements'!M62</f>
        <v>-288.23571266360159</v>
      </c>
      <c r="N10" s="124">
        <f>'Financial Statements'!M62-'Financial Statements'!N62</f>
        <v>-301.92760366645598</v>
      </c>
    </row>
    <row r="11" spans="2:14" ht="15" customHeight="1" x14ac:dyDescent="0.3">
      <c r="B11" s="17" t="s">
        <v>181</v>
      </c>
      <c r="C11" s="124"/>
      <c r="D11" s="124">
        <f>'Raw Data'!B46-'Raw Data'!C46</f>
        <v>16.340000000000003</v>
      </c>
      <c r="E11" s="124">
        <f>'Raw Data'!C46-'Raw Data'!D46</f>
        <v>-19.86</v>
      </c>
      <c r="F11" s="124">
        <f>'Raw Data'!D46-'Raw Data'!E46</f>
        <v>-26.039999999999992</v>
      </c>
      <c r="G11" s="124">
        <f>'Raw Data'!E46-'Raw Data'!F46</f>
        <v>-8.6100000000000136</v>
      </c>
      <c r="H11" s="124">
        <f>'Raw Data'!F46-'Raw Data'!G46</f>
        <v>-3.019999999999996</v>
      </c>
      <c r="I11" s="124">
        <f>'Raw Data'!G46-'Raw Data'!H46</f>
        <v>3.7600000000000051</v>
      </c>
      <c r="J11" s="124">
        <f>'Financial Statements'!I63-'Financial Statements'!J63</f>
        <v>-797.76137155113702</v>
      </c>
      <c r="K11" s="124">
        <f>'Financial Statements'!J63-'Financial Statements'!K63</f>
        <v>-278.59786177715796</v>
      </c>
      <c r="L11" s="124">
        <f>'Financial Statements'!K63-'Financial Statements'!L63</f>
        <v>-192.62233943702813</v>
      </c>
      <c r="M11" s="124">
        <f>'Financial Statements'!L63-'Financial Statements'!M63</f>
        <v>-207.60538563898353</v>
      </c>
      <c r="N11" s="124">
        <f>'Financial Statements'!M63-'Financial Statements'!N63</f>
        <v>-396.98664533923693</v>
      </c>
    </row>
    <row r="12" spans="2:14" ht="15" customHeight="1" x14ac:dyDescent="0.3">
      <c r="B12" s="17" t="s">
        <v>182</v>
      </c>
      <c r="C12" s="124"/>
      <c r="D12" s="124">
        <f>'Raw Data'!C23-'Raw Data'!B23</f>
        <v>0</v>
      </c>
      <c r="E12" s="124">
        <f>'Raw Data'!D23-'Raw Data'!C23</f>
        <v>0</v>
      </c>
      <c r="F12" s="124">
        <f>'Raw Data'!E23-'Raw Data'!D23</f>
        <v>0</v>
      </c>
      <c r="G12" s="124">
        <f>'Raw Data'!F23-'Raw Data'!E23</f>
        <v>0</v>
      </c>
      <c r="H12" s="124">
        <f>'Raw Data'!G23-'Raw Data'!F23</f>
        <v>0</v>
      </c>
      <c r="I12" s="124">
        <f>'Raw Data'!H23-'Raw Data'!G23</f>
        <v>0</v>
      </c>
      <c r="J12" s="124">
        <f>'Financial Statements'!J47-'Financial Statements'!I47</f>
        <v>508.32696550806077</v>
      </c>
      <c r="K12" s="124">
        <f>'Financial Statements'!K47-'Financial Statements'!J47</f>
        <v>180.51575637698852</v>
      </c>
      <c r="L12" s="124">
        <f>'Financial Statements'!L47-'Financial Statements'!K47</f>
        <v>166.25320166636629</v>
      </c>
      <c r="M12" s="124">
        <f>'Financial Statements'!M47-'Financial Statements'!L47</f>
        <v>151.91194930069969</v>
      </c>
      <c r="N12" s="124">
        <f>'Financial Statements'!N47-'Financial Statements'!M47</f>
        <v>197.93536812746333</v>
      </c>
    </row>
    <row r="13" spans="2:14" ht="15" customHeight="1" x14ac:dyDescent="0.3">
      <c r="B13" s="12" t="s">
        <v>183</v>
      </c>
      <c r="C13" s="125">
        <f>'Raw Data'!B108</f>
        <v>1468.05</v>
      </c>
      <c r="D13" s="125">
        <f>'Raw Data'!C108</f>
        <v>2018.14</v>
      </c>
      <c r="E13" s="125">
        <f>'Raw Data'!D108</f>
        <v>3460.31</v>
      </c>
      <c r="F13" s="125">
        <f>'Raw Data'!E108</f>
        <v>2773.43</v>
      </c>
      <c r="G13" s="125">
        <f>'Raw Data'!F108</f>
        <v>3035.05</v>
      </c>
      <c r="H13" s="125">
        <f>'Raw Data'!G108</f>
        <v>3726.77</v>
      </c>
      <c r="I13" s="125">
        <f>'Raw Data'!H108</f>
        <v>3300.99</v>
      </c>
      <c r="J13" s="125">
        <f>J7+J8+J9+J10+J11+J12</f>
        <v>768.64659452121714</v>
      </c>
      <c r="K13" s="125">
        <f>K7+K8+K9+K10+K11+K12</f>
        <v>1924.4413163054396</v>
      </c>
      <c r="L13" s="125">
        <f>L7+L8+L9+L10+L11+L12</f>
        <v>2162.1321984128635</v>
      </c>
      <c r="M13" s="125">
        <f>M7+M8+M9+M10+M11+M12</f>
        <v>2440.5078645533727</v>
      </c>
      <c r="N13" s="125">
        <f>N7+N8+N9+N10+N11+N12</f>
        <v>2816.2859874447981</v>
      </c>
    </row>
    <row r="14" spans="2:14" ht="15.75" customHeight="1" x14ac:dyDescent="0.3">
      <c r="B14" s="370" t="s">
        <v>184</v>
      </c>
      <c r="C14" s="370"/>
      <c r="D14" s="370"/>
      <c r="E14" s="370"/>
      <c r="F14" s="370"/>
      <c r="G14" s="370"/>
      <c r="H14" s="370"/>
      <c r="I14" s="370"/>
      <c r="J14" s="370"/>
      <c r="K14" s="370"/>
      <c r="L14" s="370"/>
      <c r="M14" s="370"/>
      <c r="N14" s="370"/>
    </row>
    <row r="15" spans="2:14" ht="23.25" customHeight="1" x14ac:dyDescent="0.3">
      <c r="B15" s="17" t="s">
        <v>185</v>
      </c>
      <c r="C15" s="124">
        <f>'Raw Data'!B109</f>
        <v>-312.05</v>
      </c>
      <c r="D15" s="124">
        <f>'Raw Data'!C109</f>
        <v>-449.71</v>
      </c>
      <c r="E15" s="124">
        <f>'Raw Data'!D109</f>
        <v>-516.97</v>
      </c>
      <c r="F15" s="124">
        <f>'Raw Data'!E109</f>
        <v>-331.68</v>
      </c>
      <c r="G15" s="124">
        <f>'Raw Data'!F109</f>
        <v>-684.15</v>
      </c>
      <c r="H15" s="124">
        <f>'Raw Data'!G109</f>
        <v>-682.71</v>
      </c>
      <c r="I15" s="124">
        <f>'Raw Data'!H109</f>
        <v>-728.68</v>
      </c>
      <c r="J15" s="124">
        <f>-'PPE Schedule'!J8</f>
        <v>-760.91384764144811</v>
      </c>
      <c r="K15" s="124">
        <f>-'PPE Schedule'!K8</f>
        <v>-859.15731524616581</v>
      </c>
      <c r="L15" s="124">
        <f>-'PPE Schedule'!L8</f>
        <v>-938.69284981312978</v>
      </c>
      <c r="M15" s="124">
        <f>-'PPE Schedule'!M8</f>
        <v>-989.31504326013976</v>
      </c>
      <c r="N15" s="124">
        <f>-'PPE Schedule'!N8</f>
        <v>-1119.8186245236898</v>
      </c>
    </row>
    <row r="16" spans="2:14" ht="15" customHeight="1" x14ac:dyDescent="0.3">
      <c r="B16" s="17" t="s">
        <v>186</v>
      </c>
      <c r="C16" s="124">
        <f>'Raw Data'!B110-'Raw Data'!B109</f>
        <v>-835.66000000000008</v>
      </c>
      <c r="D16" s="124">
        <f>'Raw Data'!C110-'Raw Data'!C109</f>
        <v>-677.47</v>
      </c>
      <c r="E16" s="124">
        <f>'Raw Data'!D110-'Raw Data'!D109</f>
        <v>-2844.3599999999997</v>
      </c>
      <c r="F16" s="124">
        <f>'Raw Data'!E110-'Raw Data'!E109</f>
        <v>-2132.46</v>
      </c>
      <c r="G16" s="124">
        <f>'Raw Data'!F110-'Raw Data'!F109</f>
        <v>-2073.94</v>
      </c>
      <c r="H16" s="124">
        <f>'Raw Data'!G110-'Raw Data'!G109</f>
        <v>-2200.19</v>
      </c>
      <c r="I16" s="124">
        <f>'Raw Data'!H110-'Raw Data'!H109</f>
        <v>-1580.1600000000003</v>
      </c>
      <c r="J16" s="124">
        <f>-('Financial Statements'!J57-'Financial Statements'!I57)</f>
        <v>-849.16400000000067</v>
      </c>
      <c r="K16" s="124">
        <f>-('Financial Statements'!K57-'Financial Statements'!J57)</f>
        <v>-917.09712000000036</v>
      </c>
      <c r="L16" s="124">
        <f>-('Financial Statements'!L57-'Financial Statements'!K57)</f>
        <v>-990.4648896000017</v>
      </c>
      <c r="M16" s="124">
        <f>-('Financial Statements'!M57-'Financial Statements'!L57)</f>
        <v>-1069.7020807680019</v>
      </c>
      <c r="N16" s="124">
        <f>-('Financial Statements'!N57-'Financial Statements'!M57)</f>
        <v>-1155.2782472294421</v>
      </c>
    </row>
    <row r="17" spans="2:14" ht="15" customHeight="1" x14ac:dyDescent="0.3">
      <c r="B17" s="12" t="s">
        <v>187</v>
      </c>
      <c r="C17" s="125">
        <f>'Raw Data'!B110</f>
        <v>-1147.71</v>
      </c>
      <c r="D17" s="125">
        <f>'Raw Data'!C110</f>
        <v>-1127.18</v>
      </c>
      <c r="E17" s="125">
        <f>'Raw Data'!D110</f>
        <v>-3361.33</v>
      </c>
      <c r="F17" s="125">
        <f>'Raw Data'!E110</f>
        <v>-2464.14</v>
      </c>
      <c r="G17" s="125">
        <f>'Raw Data'!F110</f>
        <v>-2758.09</v>
      </c>
      <c r="H17" s="125">
        <f>'Raw Data'!G110</f>
        <v>-2882.9</v>
      </c>
      <c r="I17" s="125">
        <f>'Raw Data'!H110</f>
        <v>-2308.84</v>
      </c>
      <c r="J17" s="125">
        <f>J15+J16</f>
        <v>-1610.0778476414489</v>
      </c>
      <c r="K17" s="125">
        <f>K15+K16</f>
        <v>-1776.2544352461662</v>
      </c>
      <c r="L17" s="125">
        <f>L15+L16</f>
        <v>-1929.1577394131314</v>
      </c>
      <c r="M17" s="125">
        <f>M15+M16</f>
        <v>-2059.0171240281416</v>
      </c>
      <c r="N17" s="125">
        <f>N15+N16</f>
        <v>-2275.0968717531318</v>
      </c>
    </row>
    <row r="18" spans="2:14" ht="15.75" customHeight="1" x14ac:dyDescent="0.3">
      <c r="B18" s="370" t="s">
        <v>188</v>
      </c>
      <c r="C18" s="370"/>
      <c r="D18" s="370"/>
      <c r="E18" s="370"/>
      <c r="F18" s="370"/>
      <c r="G18" s="370"/>
      <c r="H18" s="370"/>
      <c r="I18" s="370"/>
      <c r="J18" s="370"/>
      <c r="K18" s="370"/>
      <c r="L18" s="370"/>
      <c r="M18" s="370"/>
      <c r="N18" s="370"/>
    </row>
    <row r="19" spans="2:14" ht="15" customHeight="1" x14ac:dyDescent="0.3">
      <c r="B19" s="17" t="s">
        <v>189</v>
      </c>
      <c r="C19" s="124">
        <f>'Raw Data'!B111</f>
        <v>-473.32</v>
      </c>
      <c r="D19" s="124">
        <f>'Raw Data'!C111</f>
        <v>-693.89</v>
      </c>
      <c r="E19" s="124">
        <f>'Raw Data'!D111</f>
        <v>-65.8</v>
      </c>
      <c r="F19" s="124">
        <f>'Raw Data'!E111</f>
        <v>-426.72</v>
      </c>
      <c r="G19" s="124">
        <f>'Raw Data'!F111</f>
        <v>-424.77</v>
      </c>
      <c r="H19" s="124">
        <f>'Raw Data'!G111</f>
        <v>-708.83</v>
      </c>
      <c r="I19" s="124">
        <f>'Raw Data'!H111</f>
        <v>-1073.93</v>
      </c>
      <c r="J19" s="124">
        <f>-('Financial Statements'!J29*'IS ,BS Assumptions'!I54)</f>
        <v>-1614</v>
      </c>
      <c r="K19" s="124">
        <f>-('Financial Statements'!K29*'IS ,BS Assumptions'!J54)</f>
        <v>-1936.8000000000002</v>
      </c>
      <c r="L19" s="124">
        <f>-('Financial Statements'!L29*'IS ,BS Assumptions'!K54)</f>
        <v>-2259.6</v>
      </c>
      <c r="M19" s="124">
        <f>-('Financial Statements'!M29*'IS ,BS Assumptions'!L54)</f>
        <v>-2582.4</v>
      </c>
      <c r="N19" s="124">
        <f>-('Financial Statements'!N29*'IS ,BS Assumptions'!M54)</f>
        <v>-2905.2000000000003</v>
      </c>
    </row>
    <row r="20" spans="2:14" ht="15" customHeight="1" x14ac:dyDescent="0.3">
      <c r="B20" s="12" t="s">
        <v>190</v>
      </c>
      <c r="C20" s="125">
        <f>'Raw Data'!B111</f>
        <v>-473.32</v>
      </c>
      <c r="D20" s="125">
        <f>'Raw Data'!C111</f>
        <v>-693.89</v>
      </c>
      <c r="E20" s="125">
        <f>'Raw Data'!D111</f>
        <v>-65.8</v>
      </c>
      <c r="F20" s="125">
        <f>'Raw Data'!E111</f>
        <v>-426.72</v>
      </c>
      <c r="G20" s="125">
        <f>'Raw Data'!F111</f>
        <v>-424.77</v>
      </c>
      <c r="H20" s="125">
        <f>'Raw Data'!G111</f>
        <v>-708.83</v>
      </c>
      <c r="I20" s="125">
        <f>'Raw Data'!H111</f>
        <v>-1073.93</v>
      </c>
      <c r="J20" s="125">
        <f>J19</f>
        <v>-1614</v>
      </c>
      <c r="K20" s="125">
        <f>K19</f>
        <v>-1936.8000000000002</v>
      </c>
      <c r="L20" s="125">
        <f>L19</f>
        <v>-2259.6</v>
      </c>
      <c r="M20" s="125">
        <f>M19</f>
        <v>-2582.4</v>
      </c>
      <c r="N20" s="125">
        <f>N19</f>
        <v>-2905.2000000000003</v>
      </c>
    </row>
    <row r="21" spans="2:14" ht="15" customHeight="1" x14ac:dyDescent="0.3">
      <c r="B21" s="12" t="s">
        <v>191</v>
      </c>
      <c r="C21" s="125">
        <f>'Raw Data'!B112</f>
        <v>-152.97999999999999</v>
      </c>
      <c r="D21" s="125">
        <f>'Raw Data'!C112</f>
        <v>197.07</v>
      </c>
      <c r="E21" s="125">
        <f>'Raw Data'!D112</f>
        <v>33.18</v>
      </c>
      <c r="F21" s="125">
        <f>'Raw Data'!E112</f>
        <v>-117.43</v>
      </c>
      <c r="G21" s="125">
        <f>'Raw Data'!F112</f>
        <v>-147.81</v>
      </c>
      <c r="H21" s="125">
        <f>'Raw Data'!G112</f>
        <v>135.04</v>
      </c>
      <c r="I21" s="125">
        <f>'Raw Data'!H112</f>
        <v>-81.78</v>
      </c>
      <c r="J21" s="125">
        <f>J13+J17+J20</f>
        <v>-2455.4312531202318</v>
      </c>
      <c r="K21" s="125">
        <f>K13+K17+K20</f>
        <v>-1788.6131189407267</v>
      </c>
      <c r="L21" s="125">
        <f>L13+L17+L20</f>
        <v>-2026.6255410002677</v>
      </c>
      <c r="M21" s="125">
        <f>M13+M17+M20</f>
        <v>-2200.909259474769</v>
      </c>
      <c r="N21" s="125">
        <f>N13+N17+N20</f>
        <v>-2364.010884308334</v>
      </c>
    </row>
    <row r="22" spans="2:14" ht="15" customHeight="1" x14ac:dyDescent="0.3">
      <c r="B22" s="4" t="s">
        <v>160</v>
      </c>
      <c r="C22" s="126">
        <f>'Raw Data'!B113</f>
        <v>64.47</v>
      </c>
      <c r="D22" s="127">
        <f>'Raw Data'!C113</f>
        <v>261.54000000000002</v>
      </c>
      <c r="E22" s="127">
        <f>'Raw Data'!D113</f>
        <v>294.72000000000003</v>
      </c>
      <c r="F22" s="127">
        <f>'Raw Data'!E113</f>
        <v>177.29</v>
      </c>
      <c r="G22" s="127">
        <f>'Raw Data'!F113</f>
        <v>29.48</v>
      </c>
      <c r="H22" s="127">
        <f>'Raw Data'!G113</f>
        <v>164.52</v>
      </c>
      <c r="I22" s="127">
        <f>'Raw Data'!H113</f>
        <v>82.74</v>
      </c>
      <c r="J22" s="127">
        <f>J5+J21</f>
        <v>-2372.691253120232</v>
      </c>
      <c r="K22" s="127">
        <f>K5+K21</f>
        <v>-4161.3043720609585</v>
      </c>
      <c r="L22" s="127">
        <f>L5+L21</f>
        <v>-6187.9299130612262</v>
      </c>
      <c r="M22" s="127">
        <f>M5+M21</f>
        <v>-8388.8391725359943</v>
      </c>
      <c r="N22" s="127">
        <f>N5+N21</f>
        <v>-10752.850056844329</v>
      </c>
    </row>
  </sheetData>
  <mergeCells count="5">
    <mergeCell ref="B1:N1"/>
    <mergeCell ref="B2:N2"/>
    <mergeCell ref="B6:N6"/>
    <mergeCell ref="B14:N14"/>
    <mergeCell ref="B18:N1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4"/>
  <sheetViews>
    <sheetView zoomScale="98" zoomScaleNormal="100" workbookViewId="0">
      <pane xSplit="1" ySplit="7" topLeftCell="B8" activePane="bottomRight" state="frozen"/>
      <selection pane="topRight" activeCell="C1" sqref="C1"/>
      <selection pane="bottomLeft" activeCell="A12" sqref="A12"/>
      <selection pane="bottomRight" activeCell="J3" sqref="J3:L3"/>
    </sheetView>
  </sheetViews>
  <sheetFormatPr defaultColWidth="8.6640625" defaultRowHeight="14.4" x14ac:dyDescent="0.3"/>
  <cols>
    <col min="1" max="1" width="50.88671875" style="18" customWidth="1"/>
    <col min="2" max="10" width="12" style="18" customWidth="1"/>
    <col min="11" max="11" width="15.5546875" style="18" bestFit="1" customWidth="1"/>
    <col min="12" max="13" width="12" style="18" customWidth="1"/>
    <col min="14" max="16384" width="8.6640625" style="18"/>
  </cols>
  <sheetData>
    <row r="1" spans="1:13" ht="25.5" customHeight="1" x14ac:dyDescent="0.3">
      <c r="A1" s="377" t="s">
        <v>192</v>
      </c>
      <c r="B1" s="377"/>
      <c r="C1" s="377"/>
      <c r="D1" s="377"/>
      <c r="E1" s="377"/>
      <c r="F1" s="377"/>
      <c r="G1" s="377"/>
      <c r="H1" s="377"/>
      <c r="I1" s="377"/>
      <c r="J1" s="377"/>
      <c r="K1" s="377"/>
      <c r="L1" s="377"/>
      <c r="M1" s="377"/>
    </row>
    <row r="2" spans="1:13" ht="15" customHeight="1" x14ac:dyDescent="0.3">
      <c r="A2" s="19"/>
      <c r="B2" s="20"/>
      <c r="C2" s="21"/>
    </row>
    <row r="3" spans="1:13" ht="15" customHeight="1" x14ac:dyDescent="0.3">
      <c r="A3" s="19"/>
      <c r="B3" s="20"/>
      <c r="C3" s="21"/>
      <c r="J3" s="51" t="s">
        <v>419</v>
      </c>
      <c r="K3" s="51"/>
      <c r="L3" s="51" t="s">
        <v>420</v>
      </c>
    </row>
    <row r="4" spans="1:13" ht="25.8" x14ac:dyDescent="0.5">
      <c r="A4" s="121" t="s">
        <v>412</v>
      </c>
      <c r="B4" s="51" t="s">
        <v>413</v>
      </c>
      <c r="C4" s="51"/>
      <c r="D4" s="51"/>
      <c r="E4" s="51"/>
      <c r="F4" s="51"/>
      <c r="G4" s="51"/>
      <c r="H4" s="51"/>
      <c r="I4" s="51"/>
      <c r="J4" s="51" t="s">
        <v>414</v>
      </c>
      <c r="K4" s="51" t="s">
        <v>415</v>
      </c>
      <c r="L4" s="52">
        <v>0.1</v>
      </c>
    </row>
    <row r="5" spans="1:13" ht="15" customHeight="1" x14ac:dyDescent="0.3">
      <c r="A5" s="51"/>
      <c r="B5" s="51"/>
      <c r="C5" s="51"/>
      <c r="D5" s="51"/>
      <c r="E5" s="51"/>
      <c r="F5" s="51"/>
      <c r="G5" s="51"/>
      <c r="H5" s="51"/>
      <c r="I5" s="51"/>
      <c r="J5" s="51" t="s">
        <v>413</v>
      </c>
      <c r="K5" s="51" t="s">
        <v>416</v>
      </c>
      <c r="L5" s="52">
        <v>0.08</v>
      </c>
    </row>
    <row r="6" spans="1:13" ht="15" customHeight="1" x14ac:dyDescent="0.5">
      <c r="A6" s="51"/>
      <c r="B6" s="177"/>
      <c r="C6" s="51"/>
      <c r="D6" s="51"/>
      <c r="E6" s="51"/>
      <c r="F6" s="51"/>
      <c r="G6" s="51"/>
      <c r="H6" s="51"/>
      <c r="I6" s="51"/>
      <c r="J6" s="51" t="s">
        <v>417</v>
      </c>
      <c r="K6" s="51" t="s">
        <v>418</v>
      </c>
      <c r="L6" s="52">
        <v>0.06</v>
      </c>
    </row>
    <row r="7" spans="1:13" ht="15" thickBot="1" x14ac:dyDescent="0.35"/>
    <row r="8" spans="1:13" ht="30" customHeight="1" x14ac:dyDescent="0.3">
      <c r="A8" s="63" t="s">
        <v>163</v>
      </c>
      <c r="B8" s="64" t="s">
        <v>164</v>
      </c>
      <c r="C8" s="64" t="s">
        <v>165</v>
      </c>
      <c r="D8" s="64" t="s">
        <v>166</v>
      </c>
      <c r="E8" s="64" t="s">
        <v>167</v>
      </c>
      <c r="F8" s="64" t="s">
        <v>168</v>
      </c>
      <c r="G8" s="64" t="s">
        <v>169</v>
      </c>
      <c r="H8" s="64" t="s">
        <v>170</v>
      </c>
      <c r="I8" s="64" t="s">
        <v>171</v>
      </c>
      <c r="J8" s="64" t="s">
        <v>172</v>
      </c>
      <c r="K8" s="64" t="s">
        <v>173</v>
      </c>
      <c r="L8" s="64" t="s">
        <v>174</v>
      </c>
      <c r="M8" s="65" t="s">
        <v>175</v>
      </c>
    </row>
    <row r="9" spans="1:13" ht="15.75" customHeight="1" x14ac:dyDescent="0.3">
      <c r="A9" s="374" t="s">
        <v>195</v>
      </c>
      <c r="B9" s="375"/>
      <c r="C9" s="375"/>
      <c r="D9" s="375"/>
      <c r="E9" s="375"/>
      <c r="F9" s="375"/>
      <c r="G9" s="375"/>
      <c r="H9" s="375"/>
      <c r="I9" s="375"/>
      <c r="J9" s="375"/>
      <c r="K9" s="375"/>
      <c r="L9" s="375"/>
      <c r="M9" s="376"/>
    </row>
    <row r="10" spans="1:13" ht="15" customHeight="1" x14ac:dyDescent="0.3">
      <c r="A10" s="66" t="s">
        <v>196</v>
      </c>
      <c r="B10" s="53">
        <f>'Raw Data'!B8</f>
        <v>12374.01</v>
      </c>
      <c r="C10" s="53">
        <f>'Raw Data'!C8</f>
        <v>12659.15</v>
      </c>
      <c r="D10" s="53">
        <f>'Raw Data'!D8</f>
        <v>11302.71</v>
      </c>
      <c r="E10" s="53">
        <f>'Raw Data'!E8</f>
        <v>13091.79</v>
      </c>
      <c r="F10" s="53">
        <f>'Raw Data'!F8</f>
        <v>14345.34</v>
      </c>
      <c r="G10" s="53">
        <f>'Raw Data'!G8</f>
        <v>16574.34</v>
      </c>
      <c r="H10" s="53">
        <f>'Raw Data'!H8</f>
        <v>19044.849999999999</v>
      </c>
      <c r="I10" s="54">
        <f>H10*(1+I11)</f>
        <v>20568.437999999998</v>
      </c>
      <c r="J10" s="54">
        <f t="shared" ref="J10:M10" si="0">I10*(1+J11)</f>
        <v>22213.913039999999</v>
      </c>
      <c r="K10" s="54">
        <f t="shared" si="0"/>
        <v>23991.026083200002</v>
      </c>
      <c r="L10" s="54">
        <f t="shared" si="0"/>
        <v>25910.308169856005</v>
      </c>
      <c r="M10" s="67">
        <f t="shared" si="0"/>
        <v>27983.132823444488</v>
      </c>
    </row>
    <row r="11" spans="1:13" ht="15" customHeight="1" x14ac:dyDescent="0.3">
      <c r="A11" s="68" t="s">
        <v>197</v>
      </c>
      <c r="B11" s="55"/>
      <c r="C11" s="56">
        <f t="shared" ref="C11:H11" si="1">(C10-B10)/B10</f>
        <v>2.3043459638387186E-2</v>
      </c>
      <c r="D11" s="56">
        <f t="shared" si="1"/>
        <v>-0.10715095405299728</v>
      </c>
      <c r="E11" s="56">
        <f t="shared" si="1"/>
        <v>0.15828770268369283</v>
      </c>
      <c r="F11" s="56">
        <f t="shared" si="1"/>
        <v>9.5750848432490834E-2</v>
      </c>
      <c r="G11" s="56">
        <f t="shared" si="1"/>
        <v>0.15538146882541648</v>
      </c>
      <c r="H11" s="56">
        <f t="shared" si="1"/>
        <v>0.14905631234788222</v>
      </c>
      <c r="I11" s="57">
        <f>VLOOKUP($B$4,$J$4:$L$6,3,FALSE)</f>
        <v>0.08</v>
      </c>
      <c r="J11" s="57">
        <f t="shared" ref="J11:M11" si="2">VLOOKUP($B$4,$J$4:$L$6,3,FALSE)</f>
        <v>0.08</v>
      </c>
      <c r="K11" s="57">
        <f t="shared" si="2"/>
        <v>0.08</v>
      </c>
      <c r="L11" s="57">
        <f t="shared" si="2"/>
        <v>0.08</v>
      </c>
      <c r="M11" s="69">
        <f t="shared" si="2"/>
        <v>0.08</v>
      </c>
    </row>
    <row r="12" spans="1:13" x14ac:dyDescent="0.3">
      <c r="A12" s="70"/>
      <c r="B12" s="58"/>
      <c r="C12" s="58"/>
      <c r="D12" s="58"/>
      <c r="E12" s="58"/>
      <c r="F12" s="58"/>
      <c r="G12" s="58"/>
      <c r="H12" s="58"/>
      <c r="I12" s="59"/>
      <c r="J12" s="59"/>
      <c r="K12" s="59"/>
      <c r="L12" s="59"/>
      <c r="M12" s="71"/>
    </row>
    <row r="13" spans="1:13" ht="15" customHeight="1" x14ac:dyDescent="0.3">
      <c r="A13" s="72" t="s">
        <v>199</v>
      </c>
      <c r="B13" s="53">
        <f>'Raw Data'!B9</f>
        <v>577.52</v>
      </c>
      <c r="C13" s="53">
        <f>'Raw Data'!C9</f>
        <v>892.85</v>
      </c>
      <c r="D13" s="53">
        <f>'Raw Data'!D9</f>
        <v>653.91</v>
      </c>
      <c r="E13" s="53">
        <f>'Raw Data'!E9</f>
        <v>935.24</v>
      </c>
      <c r="F13" s="53">
        <f>'Raw Data'!F9</f>
        <v>826.2</v>
      </c>
      <c r="G13" s="53">
        <f>'Raw Data'!G9</f>
        <v>1433.72</v>
      </c>
      <c r="H13" s="53">
        <f>'Raw Data'!H9</f>
        <v>1279.3800000000001</v>
      </c>
      <c r="I13" s="54">
        <f>I15*I10</f>
        <v>1345.0778597870035</v>
      </c>
      <c r="J13" s="54">
        <f>J15*J10</f>
        <v>1512.1006558052397</v>
      </c>
      <c r="K13" s="54">
        <f>K15*K10</f>
        <v>1624.6374730412356</v>
      </c>
      <c r="L13" s="54">
        <f>L15*L10</f>
        <v>1791.1208407321299</v>
      </c>
      <c r="M13" s="67">
        <f>M15*M10</f>
        <v>1925.1784516802663</v>
      </c>
    </row>
    <row r="14" spans="1:13" ht="15" customHeight="1" x14ac:dyDescent="0.3">
      <c r="A14" s="72" t="s">
        <v>200</v>
      </c>
      <c r="B14" s="56">
        <f t="shared" ref="B14:H14" si="3">B13/B10</f>
        <v>4.6672016589609996E-2</v>
      </c>
      <c r="C14" s="56">
        <f t="shared" si="3"/>
        <v>7.053001188863392E-2</v>
      </c>
      <c r="D14" s="56">
        <f t="shared" si="3"/>
        <v>5.7854266808579538E-2</v>
      </c>
      <c r="E14" s="56">
        <f t="shared" si="3"/>
        <v>7.143713732041225E-2</v>
      </c>
      <c r="F14" s="56">
        <f t="shared" si="3"/>
        <v>5.7593615766513728E-2</v>
      </c>
      <c r="G14" s="56">
        <f t="shared" si="3"/>
        <v>8.6502388632066191E-2</v>
      </c>
      <c r="H14" s="56">
        <f t="shared" si="3"/>
        <v>6.7177215887759698E-2</v>
      </c>
      <c r="I14" s="57"/>
      <c r="J14" s="57"/>
      <c r="K14" s="57"/>
      <c r="L14" s="57"/>
      <c r="M14" s="69"/>
    </row>
    <row r="15" spans="1:13" ht="15" customHeight="1" x14ac:dyDescent="0.3">
      <c r="A15" s="73" t="s">
        <v>279</v>
      </c>
      <c r="B15" s="56"/>
      <c r="C15" s="56"/>
      <c r="D15" s="56"/>
      <c r="E15" s="56"/>
      <c r="F15" s="56"/>
      <c r="G15" s="56"/>
      <c r="H15" s="56"/>
      <c r="I15" s="60">
        <f>AVERAGE(B14:H14)</f>
        <v>6.5395236127653619E-2</v>
      </c>
      <c r="J15" s="60">
        <f>AVERAGE(C14:H14,I15:I15)</f>
        <v>6.8069981775945573E-2</v>
      </c>
      <c r="K15" s="60">
        <f>AVERAGE(D14:H14,I15:J15)</f>
        <v>6.7718548902704373E-2</v>
      </c>
      <c r="L15" s="60">
        <f>AVERAGE(E14:H14,I15:K15)</f>
        <v>6.9127732059007921E-2</v>
      </c>
      <c r="M15" s="74">
        <f>AVERAGE(F14:H14,I15:L15)</f>
        <v>6.8797817021664445E-2</v>
      </c>
    </row>
    <row r="16" spans="1:13" x14ac:dyDescent="0.3">
      <c r="A16" s="70"/>
      <c r="B16" s="58"/>
      <c r="C16" s="58"/>
      <c r="D16" s="58"/>
      <c r="E16" s="58"/>
      <c r="F16" s="58"/>
      <c r="G16" s="58"/>
      <c r="H16" s="58"/>
      <c r="I16" s="59"/>
      <c r="J16" s="59"/>
      <c r="K16" s="59"/>
      <c r="L16" s="59"/>
      <c r="M16" s="71"/>
    </row>
    <row r="17" spans="1:13" ht="15" customHeight="1" x14ac:dyDescent="0.3">
      <c r="A17" s="72" t="s">
        <v>201</v>
      </c>
      <c r="B17" s="53">
        <f>'Raw Data'!B24</f>
        <v>4371.46</v>
      </c>
      <c r="C17" s="53">
        <f>'Raw Data'!C24</f>
        <v>4362.29</v>
      </c>
      <c r="D17" s="53">
        <f>'Raw Data'!D24</f>
        <v>4097.2</v>
      </c>
      <c r="E17" s="53">
        <f>'Raw Data'!E24</f>
        <v>5618.64</v>
      </c>
      <c r="F17" s="53">
        <f>'Raw Data'!F24</f>
        <v>4739.8900000000003</v>
      </c>
      <c r="G17" s="53">
        <f>'Raw Data'!G24</f>
        <v>4977.62</v>
      </c>
      <c r="H17" s="53">
        <f>'Raw Data'!H24</f>
        <v>5699.59</v>
      </c>
      <c r="I17" s="54"/>
      <c r="J17" s="54"/>
      <c r="K17" s="54"/>
      <c r="L17" s="54"/>
      <c r="M17" s="67"/>
    </row>
    <row r="18" spans="1:13" ht="15" customHeight="1" x14ac:dyDescent="0.3">
      <c r="A18" s="72" t="s">
        <v>202</v>
      </c>
      <c r="B18" s="53">
        <f>'Raw Data'!B27</f>
        <v>1259.21</v>
      </c>
      <c r="C18" s="53">
        <f>'Raw Data'!C27</f>
        <v>1363.12</v>
      </c>
      <c r="D18" s="53">
        <f>'Raw Data'!D27</f>
        <v>1847.85</v>
      </c>
      <c r="E18" s="53">
        <f>'Raw Data'!E27</f>
        <v>2850.85</v>
      </c>
      <c r="F18" s="53">
        <f>'Raw Data'!F27</f>
        <v>1993.39</v>
      </c>
      <c r="G18" s="53">
        <f>'Raw Data'!G27</f>
        <v>2360.41</v>
      </c>
      <c r="H18" s="53">
        <f>'Raw Data'!H27</f>
        <v>2056.75</v>
      </c>
      <c r="I18" s="54"/>
      <c r="J18" s="54"/>
      <c r="K18" s="54"/>
      <c r="L18" s="54"/>
      <c r="M18" s="67"/>
    </row>
    <row r="19" spans="1:13" ht="15" customHeight="1" x14ac:dyDescent="0.3">
      <c r="A19" s="66" t="s">
        <v>203</v>
      </c>
      <c r="B19" s="53">
        <f t="shared" ref="B19:H19" si="4">B17+B18</f>
        <v>5630.67</v>
      </c>
      <c r="C19" s="53">
        <f t="shared" si="4"/>
        <v>5725.41</v>
      </c>
      <c r="D19" s="53">
        <f t="shared" si="4"/>
        <v>5945.0499999999993</v>
      </c>
      <c r="E19" s="53">
        <f t="shared" si="4"/>
        <v>8469.49</v>
      </c>
      <c r="F19" s="53">
        <f t="shared" si="4"/>
        <v>6733.2800000000007</v>
      </c>
      <c r="G19" s="53">
        <f t="shared" si="4"/>
        <v>7338.03</v>
      </c>
      <c r="H19" s="53">
        <f t="shared" si="4"/>
        <v>7756.34</v>
      </c>
      <c r="I19" s="54"/>
      <c r="J19" s="54"/>
      <c r="K19" s="54"/>
      <c r="L19" s="54"/>
      <c r="M19" s="67"/>
    </row>
    <row r="20" spans="1:13" ht="15" customHeight="1" x14ac:dyDescent="0.3">
      <c r="A20" s="72" t="s">
        <v>204</v>
      </c>
      <c r="B20" s="56">
        <f t="shared" ref="B20:H20" si="5">B19/B10</f>
        <v>0.45504003956680172</v>
      </c>
      <c r="C20" s="56">
        <f t="shared" si="5"/>
        <v>0.45227444180691434</v>
      </c>
      <c r="D20" s="56">
        <f t="shared" si="5"/>
        <v>0.52598447628931466</v>
      </c>
      <c r="E20" s="56">
        <f t="shared" si="5"/>
        <v>0.64693139746360118</v>
      </c>
      <c r="F20" s="56">
        <f t="shared" si="5"/>
        <v>0.46937054123499344</v>
      </c>
      <c r="G20" s="56">
        <f t="shared" si="5"/>
        <v>0.442734371323383</v>
      </c>
      <c r="H20" s="56">
        <f t="shared" si="5"/>
        <v>0.40726705644833122</v>
      </c>
      <c r="I20" s="57"/>
      <c r="J20" s="57"/>
      <c r="K20" s="57"/>
      <c r="L20" s="57"/>
      <c r="M20" s="69"/>
    </row>
    <row r="21" spans="1:13" ht="15" customHeight="1" x14ac:dyDescent="0.3">
      <c r="A21" s="73" t="s">
        <v>205</v>
      </c>
      <c r="B21" s="56"/>
      <c r="C21" s="56"/>
      <c r="D21" s="56"/>
      <c r="E21" s="56"/>
      <c r="F21" s="56"/>
      <c r="G21" s="56"/>
      <c r="H21" s="56"/>
      <c r="I21" s="60">
        <f>AVERAGE(B20:H20)</f>
        <v>0.48565747487619138</v>
      </c>
      <c r="J21" s="60">
        <f>AVERAGE(C20:H20,I21:I21)</f>
        <v>0.4900313942061042</v>
      </c>
      <c r="K21" s="60">
        <f>AVERAGE(D20:H20,I21:J21)</f>
        <v>0.49542524454884562</v>
      </c>
      <c r="L21" s="60">
        <f>AVERAGE(E20:H20,I21:K21)</f>
        <v>0.49105964001449287</v>
      </c>
      <c r="M21" s="74">
        <f>AVERAGE(F20:H20,I21:L21)</f>
        <v>0.4687922460931917</v>
      </c>
    </row>
    <row r="22" spans="1:13" ht="15" customHeight="1" x14ac:dyDescent="0.3">
      <c r="A22" s="66" t="s">
        <v>206</v>
      </c>
      <c r="B22" s="53">
        <f t="shared" ref="B22:H22" si="6">B19</f>
        <v>5630.67</v>
      </c>
      <c r="C22" s="53">
        <f t="shared" si="6"/>
        <v>5725.41</v>
      </c>
      <c r="D22" s="53">
        <f t="shared" si="6"/>
        <v>5945.0499999999993</v>
      </c>
      <c r="E22" s="53">
        <f t="shared" si="6"/>
        <v>8469.49</v>
      </c>
      <c r="F22" s="53">
        <f t="shared" si="6"/>
        <v>6733.2800000000007</v>
      </c>
      <c r="G22" s="53">
        <f t="shared" si="6"/>
        <v>7338.03</v>
      </c>
      <c r="H22" s="53">
        <f t="shared" si="6"/>
        <v>7756.34</v>
      </c>
      <c r="I22" s="54">
        <f>I10*I21</f>
        <v>9989.2156612274994</v>
      </c>
      <c r="J22" s="54">
        <f>J10*J21</f>
        <v>10885.514777764358</v>
      </c>
      <c r="K22" s="54">
        <f>K10*K21</f>
        <v>11885.759964247096</v>
      </c>
      <c r="L22" s="54">
        <f>L10*L21</f>
        <v>12723.506602554064</v>
      </c>
      <c r="M22" s="67">
        <f>M10*M21</f>
        <v>13118.275689026659</v>
      </c>
    </row>
    <row r="23" spans="1:13" ht="15" customHeight="1" x14ac:dyDescent="0.3">
      <c r="A23" s="66"/>
      <c r="B23" s="53"/>
      <c r="C23" s="53"/>
      <c r="D23" s="53"/>
      <c r="E23" s="53"/>
      <c r="F23" s="53"/>
      <c r="G23" s="53"/>
      <c r="H23" s="53"/>
      <c r="I23" s="54"/>
      <c r="J23" s="54"/>
      <c r="K23" s="54"/>
      <c r="L23" s="54"/>
      <c r="M23" s="67"/>
    </row>
    <row r="24" spans="1:13" x14ac:dyDescent="0.3">
      <c r="A24" s="70"/>
      <c r="B24" s="58"/>
      <c r="C24" s="58"/>
      <c r="D24" s="58"/>
      <c r="E24" s="58"/>
      <c r="F24" s="58"/>
      <c r="G24" s="58"/>
      <c r="H24" s="58"/>
      <c r="I24" s="59"/>
      <c r="J24" s="59"/>
      <c r="K24" s="59"/>
      <c r="L24" s="59"/>
      <c r="M24" s="71"/>
    </row>
    <row r="25" spans="1:13" ht="15" customHeight="1" x14ac:dyDescent="0.3">
      <c r="A25" s="72" t="s">
        <v>207</v>
      </c>
      <c r="B25" s="53">
        <f>'Raw Data'!B32</f>
        <v>1839.84</v>
      </c>
      <c r="C25" s="53">
        <f>'Raw Data'!C32</f>
        <v>1911.08</v>
      </c>
      <c r="D25" s="53">
        <f>'Raw Data'!D32</f>
        <v>1703.58</v>
      </c>
      <c r="E25" s="53">
        <f>'Raw Data'!E32</f>
        <v>1729.16</v>
      </c>
      <c r="F25" s="53">
        <f>'Raw Data'!F32</f>
        <v>2380.6799999999998</v>
      </c>
      <c r="G25" s="53">
        <f>'Raw Data'!G32</f>
        <v>2688.51</v>
      </c>
      <c r="H25" s="53">
        <f>'Raw Data'!H32</f>
        <v>3054.87</v>
      </c>
      <c r="I25" s="54"/>
      <c r="J25" s="54"/>
      <c r="K25" s="54"/>
      <c r="L25" s="54"/>
      <c r="M25" s="67"/>
    </row>
    <row r="26" spans="1:13" ht="15" customHeight="1" x14ac:dyDescent="0.3">
      <c r="A26" s="72" t="s">
        <v>208</v>
      </c>
      <c r="B26" s="56">
        <f t="shared" ref="B26:H26" si="7">B25/B10</f>
        <v>0.14868583426068024</v>
      </c>
      <c r="C26" s="56">
        <f t="shared" si="7"/>
        <v>0.15096432224912415</v>
      </c>
      <c r="D26" s="56">
        <f t="shared" si="7"/>
        <v>0.15072314515722335</v>
      </c>
      <c r="E26" s="56">
        <f t="shared" si="7"/>
        <v>0.13207972324640099</v>
      </c>
      <c r="F26" s="56">
        <f t="shared" si="7"/>
        <v>0.16595493728276917</v>
      </c>
      <c r="G26" s="56">
        <f t="shared" si="7"/>
        <v>0.16220917393995779</v>
      </c>
      <c r="H26" s="56">
        <f t="shared" si="7"/>
        <v>0.16040399373058858</v>
      </c>
      <c r="I26" s="57"/>
      <c r="J26" s="57"/>
      <c r="K26" s="57"/>
      <c r="L26" s="57"/>
      <c r="M26" s="69"/>
    </row>
    <row r="27" spans="1:13" ht="15" customHeight="1" x14ac:dyDescent="0.3">
      <c r="A27" s="73" t="s">
        <v>209</v>
      </c>
      <c r="B27" s="56"/>
      <c r="C27" s="56"/>
      <c r="D27" s="56"/>
      <c r="E27" s="56"/>
      <c r="F27" s="56"/>
      <c r="G27" s="56"/>
      <c r="H27" s="56"/>
      <c r="I27" s="60">
        <f>AVERAGE(B26:H26)</f>
        <v>0.15300301855239204</v>
      </c>
      <c r="J27" s="60">
        <f>AVERAGE(C26:H26,I27:I27)</f>
        <v>0.15361975916549372</v>
      </c>
      <c r="K27" s="60">
        <f>AVERAGE(D26:H26,I27:J27)</f>
        <v>0.15399910729640368</v>
      </c>
      <c r="L27" s="60">
        <f>AVERAGE(E26:H26,I27:K27)</f>
        <v>0.15446710188771515</v>
      </c>
      <c r="M27" s="74">
        <f>AVERAGE(F26:H26,I27:L27)</f>
        <v>0.15766529883647432</v>
      </c>
    </row>
    <row r="28" spans="1:13" ht="15" customHeight="1" x14ac:dyDescent="0.3">
      <c r="A28" s="73"/>
      <c r="B28" s="56"/>
      <c r="C28" s="56"/>
      <c r="D28" s="56"/>
      <c r="E28" s="56"/>
      <c r="F28" s="56"/>
      <c r="G28" s="56"/>
      <c r="H28" s="56"/>
      <c r="I28" s="60"/>
      <c r="J28" s="60"/>
      <c r="K28" s="60"/>
      <c r="L28" s="60"/>
      <c r="M28" s="74"/>
    </row>
    <row r="29" spans="1:13" ht="15" customHeight="1" x14ac:dyDescent="0.3">
      <c r="A29" s="66" t="s">
        <v>210</v>
      </c>
      <c r="B29" s="53">
        <f t="shared" ref="B29:H29" si="8">B25</f>
        <v>1839.84</v>
      </c>
      <c r="C29" s="53">
        <f t="shared" si="8"/>
        <v>1911.08</v>
      </c>
      <c r="D29" s="53">
        <f t="shared" si="8"/>
        <v>1703.58</v>
      </c>
      <c r="E29" s="53">
        <f t="shared" si="8"/>
        <v>1729.16</v>
      </c>
      <c r="F29" s="53">
        <f t="shared" si="8"/>
        <v>2380.6799999999998</v>
      </c>
      <c r="G29" s="53">
        <f t="shared" si="8"/>
        <v>2688.51</v>
      </c>
      <c r="H29" s="53">
        <f t="shared" si="8"/>
        <v>3054.87</v>
      </c>
      <c r="I29" s="54">
        <f>I10*I27</f>
        <v>3147.0331009077249</v>
      </c>
      <c r="J29" s="54">
        <f>J10*J27</f>
        <v>3412.4959713280205</v>
      </c>
      <c r="K29" s="54">
        <f>K10*K27</f>
        <v>3694.5965999375362</v>
      </c>
      <c r="L29" s="54">
        <f>L10*L27</f>
        <v>4002.2902120152457</v>
      </c>
      <c r="M29" s="67">
        <f>M10*M27</f>
        <v>4411.9689989891285</v>
      </c>
    </row>
    <row r="30" spans="1:13" x14ac:dyDescent="0.3">
      <c r="A30" s="70"/>
      <c r="B30" s="58"/>
      <c r="C30" s="58"/>
      <c r="D30" s="58"/>
      <c r="E30" s="58"/>
      <c r="F30" s="58"/>
      <c r="G30" s="58"/>
      <c r="H30" s="58"/>
      <c r="I30" s="59"/>
      <c r="J30" s="59"/>
      <c r="K30" s="59"/>
      <c r="L30" s="59"/>
      <c r="M30" s="71"/>
    </row>
    <row r="31" spans="1:13" ht="15" customHeight="1" x14ac:dyDescent="0.3">
      <c r="A31" s="72" t="s">
        <v>211</v>
      </c>
      <c r="B31" s="53">
        <f>'Raw Data'!B30+'Raw Data'!B37+'Raw Data'!B44+'Raw Data'!B50+'Raw Data'!B57</f>
        <v>3949.9500000000003</v>
      </c>
      <c r="C31" s="53">
        <f>'Raw Data'!C30+'Raw Data'!C37+'Raw Data'!C44+'Raw Data'!C50+'Raw Data'!C57</f>
        <v>4278.7</v>
      </c>
      <c r="D31" s="53">
        <f>'Raw Data'!D30+'Raw Data'!D37+'Raw Data'!D44+'Raw Data'!D50+'Raw Data'!D57</f>
        <v>2899.9900000000002</v>
      </c>
      <c r="E31" s="53">
        <f>'Raw Data'!E30+'Raw Data'!E37+'Raw Data'!E44+'Raw Data'!E50+'Raw Data'!E57</f>
        <v>3448.82</v>
      </c>
      <c r="F31" s="53">
        <f>'Raw Data'!F30+'Raw Data'!F37+'Raw Data'!F44+'Raw Data'!F50+'Raw Data'!F57</f>
        <v>4457.55</v>
      </c>
      <c r="G31" s="53">
        <f>'Raw Data'!G30+'Raw Data'!G37+'Raw Data'!G44+'Raw Data'!G50+'Raw Data'!G57</f>
        <v>4995.5600000000004</v>
      </c>
      <c r="H31" s="53">
        <f>'Raw Data'!H30+'Raw Data'!H37+'Raw Data'!H44+'Raw Data'!H50+'Raw Data'!H57</f>
        <v>5542.32</v>
      </c>
      <c r="I31" s="54"/>
      <c r="J31" s="54"/>
      <c r="K31" s="54"/>
      <c r="L31" s="54"/>
      <c r="M31" s="67"/>
    </row>
    <row r="32" spans="1:13" ht="15" customHeight="1" x14ac:dyDescent="0.3">
      <c r="A32" s="72" t="s">
        <v>212</v>
      </c>
      <c r="B32" s="56">
        <f t="shared" ref="B32:H32" si="9">B31/B10</f>
        <v>0.31921341586114771</v>
      </c>
      <c r="C32" s="56">
        <f t="shared" si="9"/>
        <v>0.33799267723346355</v>
      </c>
      <c r="D32" s="56">
        <f t="shared" si="9"/>
        <v>0.2565747506571433</v>
      </c>
      <c r="E32" s="56">
        <f t="shared" si="9"/>
        <v>0.26343380087826035</v>
      </c>
      <c r="F32" s="56">
        <f t="shared" si="9"/>
        <v>0.3107315685790647</v>
      </c>
      <c r="G32" s="56">
        <f t="shared" si="9"/>
        <v>0.30140325346288299</v>
      </c>
      <c r="H32" s="56">
        <f t="shared" si="9"/>
        <v>0.29101410617568529</v>
      </c>
      <c r="I32" s="57"/>
      <c r="J32" s="57"/>
      <c r="K32" s="57"/>
      <c r="L32" s="57"/>
      <c r="M32" s="69"/>
    </row>
    <row r="33" spans="1:13" ht="15" customHeight="1" x14ac:dyDescent="0.3">
      <c r="A33" s="73" t="s">
        <v>213</v>
      </c>
      <c r="B33" s="56"/>
      <c r="C33" s="56"/>
      <c r="D33" s="56"/>
      <c r="E33" s="56"/>
      <c r="F33" s="56"/>
      <c r="G33" s="56"/>
      <c r="H33" s="56"/>
      <c r="I33" s="60">
        <f>AVERAGE(B32:H32)</f>
        <v>0.29719479612109262</v>
      </c>
      <c r="J33" s="60">
        <f>AVERAGE(C32:H32,I33:I33)</f>
        <v>0.29404927901537042</v>
      </c>
      <c r="K33" s="60">
        <f>AVERAGE(D32:H32,I33:J33)</f>
        <v>0.28777165069849991</v>
      </c>
      <c r="L33" s="60">
        <f>AVERAGE(E32:H32,I33:K33)</f>
        <v>0.292228350704408</v>
      </c>
      <c r="M33" s="74">
        <f>AVERAGE(F32:H32,I33:L33)</f>
        <v>0.29634185782242911</v>
      </c>
    </row>
    <row r="34" spans="1:13" ht="15" customHeight="1" x14ac:dyDescent="0.3">
      <c r="A34" s="66" t="s">
        <v>214</v>
      </c>
      <c r="B34" s="53">
        <f t="shared" ref="B34:H34" si="10">B31</f>
        <v>3949.9500000000003</v>
      </c>
      <c r="C34" s="53">
        <f t="shared" si="10"/>
        <v>4278.7</v>
      </c>
      <c r="D34" s="53">
        <f t="shared" si="10"/>
        <v>2899.9900000000002</v>
      </c>
      <c r="E34" s="53">
        <f t="shared" si="10"/>
        <v>3448.82</v>
      </c>
      <c r="F34" s="53">
        <f t="shared" si="10"/>
        <v>4457.55</v>
      </c>
      <c r="G34" s="53">
        <f t="shared" si="10"/>
        <v>4995.5600000000004</v>
      </c>
      <c r="H34" s="53">
        <f t="shared" si="10"/>
        <v>5542.32</v>
      </c>
      <c r="I34" s="54">
        <f>I10*I33</f>
        <v>6112.8327379393331</v>
      </c>
      <c r="J34" s="54">
        <f>J10*J33</f>
        <v>6531.9851135221352</v>
      </c>
      <c r="K34" s="54">
        <f>K10*K33</f>
        <v>6903.9371779132316</v>
      </c>
      <c r="L34" s="54">
        <f>L10*L33</f>
        <v>7571.7266227199689</v>
      </c>
      <c r="M34" s="67">
        <f>M10*M33</f>
        <v>8292.5735685913351</v>
      </c>
    </row>
    <row r="35" spans="1:13" x14ac:dyDescent="0.3">
      <c r="A35" s="70"/>
      <c r="B35" s="58"/>
      <c r="C35" s="58"/>
      <c r="D35" s="58"/>
      <c r="E35" s="58"/>
      <c r="F35" s="58"/>
      <c r="G35" s="58"/>
      <c r="H35" s="58"/>
      <c r="I35" s="59"/>
      <c r="J35" s="59"/>
      <c r="K35" s="59"/>
      <c r="L35" s="59"/>
      <c r="M35" s="71"/>
    </row>
    <row r="36" spans="1:13" ht="15" customHeight="1" x14ac:dyDescent="0.3">
      <c r="A36" s="72" t="s">
        <v>215</v>
      </c>
      <c r="B36" s="53">
        <f>'Raw Data'!B67</f>
        <v>16.97</v>
      </c>
      <c r="C36" s="53">
        <f>'Raw Data'!C67</f>
        <v>36.049999999999997</v>
      </c>
      <c r="D36" s="53">
        <f>'Raw Data'!D67</f>
        <v>45.07</v>
      </c>
      <c r="E36" s="53">
        <f>'Raw Data'!E67</f>
        <v>26.93</v>
      </c>
      <c r="F36" s="53">
        <f>'Raw Data'!F67</f>
        <v>22.27</v>
      </c>
      <c r="G36" s="53">
        <f>'Raw Data'!G67</f>
        <v>20.25</v>
      </c>
      <c r="H36" s="53">
        <f>'Raw Data'!H67</f>
        <v>15.11</v>
      </c>
      <c r="I36" s="54">
        <v>18</v>
      </c>
      <c r="J36" s="54">
        <v>18</v>
      </c>
      <c r="K36" s="54">
        <v>20</v>
      </c>
      <c r="L36" s="54">
        <v>20</v>
      </c>
      <c r="M36" s="67">
        <v>22</v>
      </c>
    </row>
    <row r="37" spans="1:13" ht="15" customHeight="1" x14ac:dyDescent="0.3">
      <c r="A37" s="72" t="s">
        <v>216</v>
      </c>
      <c r="B37" s="53">
        <f>'Raw Data'!B71</f>
        <v>569.72</v>
      </c>
      <c r="C37" s="53">
        <f>'Raw Data'!C71</f>
        <v>599.78</v>
      </c>
      <c r="D37" s="53">
        <f>'Raw Data'!D71</f>
        <v>468.62</v>
      </c>
      <c r="E37" s="53">
        <f>'Raw Data'!E71</f>
        <v>460.01</v>
      </c>
      <c r="F37" s="53">
        <f>'Raw Data'!F71</f>
        <v>595.91</v>
      </c>
      <c r="G37" s="53">
        <f>'Raw Data'!G71</f>
        <v>587.59</v>
      </c>
      <c r="H37" s="53">
        <f>'Raw Data'!H71</f>
        <v>573.89</v>
      </c>
      <c r="I37" s="54">
        <f>'PPE Schedule'!J12</f>
        <v>704.50559999999996</v>
      </c>
      <c r="J37" s="54">
        <f>'PPE Schedule'!K12</f>
        <v>713.53091962263159</v>
      </c>
      <c r="K37" s="54">
        <f>'PPE Schedule'!L12</f>
        <v>736.83114292239713</v>
      </c>
      <c r="L37" s="54">
        <f>'PPE Schedule'!M12</f>
        <v>721.05845252335723</v>
      </c>
      <c r="M37" s="67">
        <f>'PPE Schedule'!N12</f>
        <v>761.29694113387461</v>
      </c>
    </row>
    <row r="38" spans="1:13" x14ac:dyDescent="0.3">
      <c r="A38" s="70"/>
      <c r="B38" s="58"/>
      <c r="C38" s="58"/>
      <c r="D38" s="58"/>
      <c r="E38" s="58"/>
      <c r="F38" s="58"/>
      <c r="G38" s="58"/>
      <c r="H38" s="58"/>
      <c r="I38" s="59"/>
      <c r="J38" s="59"/>
      <c r="K38" s="59"/>
      <c r="L38" s="59"/>
      <c r="M38" s="71"/>
    </row>
    <row r="39" spans="1:13" ht="15.75" customHeight="1" x14ac:dyDescent="0.3">
      <c r="A39" s="75" t="s">
        <v>217</v>
      </c>
      <c r="B39" s="61"/>
      <c r="C39" s="61"/>
      <c r="D39" s="61"/>
      <c r="E39" s="61"/>
      <c r="F39" s="61"/>
      <c r="G39" s="61"/>
      <c r="H39" s="61"/>
      <c r="I39" s="62"/>
      <c r="J39" s="62"/>
      <c r="K39" s="62"/>
      <c r="L39" s="62"/>
      <c r="M39" s="76"/>
    </row>
    <row r="40" spans="1:13" ht="15" customHeight="1" x14ac:dyDescent="0.3">
      <c r="A40" s="72" t="s">
        <v>218</v>
      </c>
      <c r="B40" s="56">
        <f>'Raw Data'!B73/'Raw Data'!B72</f>
        <v>0.23123518250341979</v>
      </c>
      <c r="C40" s="56">
        <f>'Raw Data'!C73/'Raw Data'!C72</f>
        <v>0.18417776818214021</v>
      </c>
      <c r="D40" s="56">
        <f>'Raw Data'!D73/'Raw Data'!D72</f>
        <v>0.23577220564716003</v>
      </c>
      <c r="E40" s="56">
        <f>'Raw Data'!E73/'Raw Data'!E72</f>
        <v>0.23258020798108406</v>
      </c>
      <c r="F40" s="56">
        <f>'Raw Data'!F73/'Raw Data'!F72</f>
        <v>0.26714883807751677</v>
      </c>
      <c r="G40" s="56">
        <f>'Raw Data'!G73/'Raw Data'!G72</f>
        <v>0.2310137607508809</v>
      </c>
      <c r="H40" s="56">
        <f>'Raw Data'!H73/'Raw Data'!H72</f>
        <v>0.21028873890446789</v>
      </c>
      <c r="I40" s="57"/>
      <c r="J40" s="57"/>
      <c r="K40" s="57"/>
      <c r="L40" s="57"/>
      <c r="M40" s="69"/>
    </row>
    <row r="41" spans="1:13" ht="23.25" customHeight="1" thickBot="1" x14ac:dyDescent="0.35">
      <c r="A41" s="77" t="s">
        <v>219</v>
      </c>
      <c r="B41" s="78"/>
      <c r="C41" s="78"/>
      <c r="D41" s="78"/>
      <c r="E41" s="78"/>
      <c r="F41" s="78"/>
      <c r="G41" s="78"/>
      <c r="H41" s="78"/>
      <c r="I41" s="79">
        <f>AVERAGE(B40:H40)</f>
        <v>0.22745952886380993</v>
      </c>
      <c r="J41" s="79">
        <f>AVERAGE(C40:H40,I41:I41)</f>
        <v>0.2269201497724371</v>
      </c>
      <c r="K41" s="79">
        <f>AVERAGE(D40:H40,I41:J41)</f>
        <v>0.23302620428533666</v>
      </c>
      <c r="L41" s="79">
        <f>AVERAGE(E40:H40,I41:K41)</f>
        <v>0.23263391837650474</v>
      </c>
      <c r="M41" s="80">
        <f>AVERAGE(F40:H40,I41:L41)</f>
        <v>0.23264159129013626</v>
      </c>
    </row>
    <row r="42" spans="1:13" ht="23.25" customHeight="1" x14ac:dyDescent="0.3">
      <c r="A42" s="50"/>
      <c r="B42" s="22"/>
      <c r="C42" s="22"/>
      <c r="D42" s="22"/>
      <c r="E42" s="22"/>
      <c r="F42" s="22"/>
      <c r="G42" s="22"/>
      <c r="H42" s="22"/>
      <c r="I42" s="23"/>
      <c r="J42" s="23"/>
      <c r="K42" s="23"/>
      <c r="L42" s="23"/>
      <c r="M42" s="23"/>
    </row>
    <row r="43" spans="1:13" ht="23.25" customHeight="1" thickBot="1" x14ac:dyDescent="0.35">
      <c r="A43" s="50"/>
      <c r="B43" s="22"/>
      <c r="C43" s="22"/>
      <c r="D43" s="22"/>
      <c r="E43" s="22"/>
      <c r="F43" s="22"/>
      <c r="G43" s="22"/>
      <c r="H43" s="22"/>
      <c r="I43" s="23"/>
      <c r="J43" s="23"/>
      <c r="K43" s="23"/>
      <c r="L43" s="23"/>
      <c r="M43" s="23"/>
    </row>
    <row r="44" spans="1:13" ht="27.6" x14ac:dyDescent="0.3">
      <c r="A44" s="63" t="s">
        <v>163</v>
      </c>
      <c r="B44" s="64" t="s">
        <v>164</v>
      </c>
      <c r="C44" s="64" t="s">
        <v>165</v>
      </c>
      <c r="D44" s="64" t="s">
        <v>166</v>
      </c>
      <c r="E44" s="64" t="s">
        <v>167</v>
      </c>
      <c r="F44" s="64" t="s">
        <v>168</v>
      </c>
      <c r="G44" s="64" t="s">
        <v>169</v>
      </c>
      <c r="H44" s="64" t="s">
        <v>170</v>
      </c>
      <c r="I44" s="64" t="s">
        <v>171</v>
      </c>
      <c r="J44" s="64" t="s">
        <v>172</v>
      </c>
      <c r="K44" s="64" t="s">
        <v>173</v>
      </c>
      <c r="L44" s="64" t="s">
        <v>174</v>
      </c>
      <c r="M44" s="65" t="s">
        <v>175</v>
      </c>
    </row>
    <row r="45" spans="1:13" ht="15.75" customHeight="1" x14ac:dyDescent="0.3">
      <c r="A45" s="371" t="s">
        <v>220</v>
      </c>
      <c r="B45" s="372"/>
      <c r="C45" s="372"/>
      <c r="D45" s="372"/>
      <c r="E45" s="372"/>
      <c r="F45" s="372"/>
      <c r="G45" s="372"/>
      <c r="H45" s="372"/>
      <c r="I45" s="372"/>
      <c r="J45" s="372"/>
      <c r="K45" s="372"/>
      <c r="L45" s="372"/>
      <c r="M45" s="373"/>
    </row>
    <row r="46" spans="1:13" ht="15" customHeight="1" x14ac:dyDescent="0.3">
      <c r="A46" s="72" t="s">
        <v>221</v>
      </c>
      <c r="B46" s="81">
        <f>'Raw Data'!K45/'Raw Data'!B8*365</f>
        <v>84.610376910960952</v>
      </c>
      <c r="C46" s="81">
        <f>'Raw Data'!L45/'Raw Data'!C8*365</f>
        <v>87.11456930362624</v>
      </c>
      <c r="D46" s="81">
        <f>'Raw Data'!M45/'Raw Data'!D8*365</f>
        <v>99.650495323687863</v>
      </c>
      <c r="E46" s="81">
        <f>'Raw Data'!N45/'Raw Data'!E8*365</f>
        <v>97.184621048764143</v>
      </c>
      <c r="F46" s="81">
        <f>'Raw Data'!O45/'Raw Data'!F8*365</f>
        <v>83.388501074216435</v>
      </c>
      <c r="G46" s="81">
        <f>'Raw Data'!P45/'Raw Data'!G8*365</f>
        <v>71.665731486140629</v>
      </c>
      <c r="H46" s="81">
        <f>'Raw Data'!Q45/'Raw Data'!H8*365</f>
        <v>69.131486989921171</v>
      </c>
      <c r="I46" s="85">
        <v>84</v>
      </c>
      <c r="J46" s="85">
        <v>82</v>
      </c>
      <c r="K46" s="85">
        <v>80</v>
      </c>
      <c r="L46" s="85">
        <v>78</v>
      </c>
      <c r="M46" s="86">
        <v>76</v>
      </c>
    </row>
    <row r="47" spans="1:13" ht="15" customHeight="1" x14ac:dyDescent="0.3">
      <c r="A47" s="73" t="s">
        <v>222</v>
      </c>
      <c r="B47" s="81"/>
      <c r="C47" s="81"/>
      <c r="D47" s="81"/>
      <c r="E47" s="81"/>
      <c r="F47" s="81"/>
      <c r="G47" s="81"/>
      <c r="H47" s="81"/>
      <c r="I47" s="87">
        <f>AVERAGE(B46:H46)</f>
        <v>84.677968876759635</v>
      </c>
      <c r="J47" s="87">
        <f>AVERAGE(C46:H46,I47:I47)</f>
        <v>84.687624871873737</v>
      </c>
      <c r="K47" s="87">
        <f>AVERAGE(D46:H46,I47:J47)</f>
        <v>84.340918524480529</v>
      </c>
      <c r="L47" s="87">
        <f>AVERAGE(E46:H46,I47:K47)</f>
        <v>82.153836124593766</v>
      </c>
      <c r="M47" s="88">
        <f>AVERAGE(F46:H46,I47:L47)</f>
        <v>80.006581135426558</v>
      </c>
    </row>
    <row r="48" spans="1:13" ht="15" customHeight="1" x14ac:dyDescent="0.3">
      <c r="A48" s="72" t="s">
        <v>223</v>
      </c>
      <c r="B48" s="81">
        <f>'Raw Data'!K46/'Raw Data'!B8*365</f>
        <v>93.469008833838032</v>
      </c>
      <c r="C48" s="81">
        <f>'Raw Data'!L46/'Raw Data'!C8*365</f>
        <v>102.65290718571153</v>
      </c>
      <c r="D48" s="81">
        <f>'Raw Data'!M46/'Raw Data'!D8*365</f>
        <v>98.021629326064286</v>
      </c>
      <c r="E48" s="81">
        <f>'Raw Data'!N46/'Raw Data'!E8*365</f>
        <v>77.910293397617892</v>
      </c>
      <c r="F48" s="81">
        <f>'Raw Data'!O46/'Raw Data'!F8*365</f>
        <v>73.494169535194004</v>
      </c>
      <c r="G48" s="81">
        <f>'Raw Data'!P46/'Raw Data'!G8*365</f>
        <v>59.057479815184188</v>
      </c>
      <c r="H48" s="81">
        <f>'Raw Data'!Q46/'Raw Data'!H8*365</f>
        <v>73.977812899550273</v>
      </c>
      <c r="I48" s="85">
        <v>72</v>
      </c>
      <c r="J48" s="85">
        <v>70</v>
      </c>
      <c r="K48" s="85">
        <v>68</v>
      </c>
      <c r="L48" s="85">
        <v>66</v>
      </c>
      <c r="M48" s="86">
        <v>65</v>
      </c>
    </row>
    <row r="49" spans="1:13" ht="15" customHeight="1" x14ac:dyDescent="0.3">
      <c r="A49" s="73" t="s">
        <v>224</v>
      </c>
      <c r="B49" s="81"/>
      <c r="C49" s="81"/>
      <c r="D49" s="81"/>
      <c r="E49" s="81"/>
      <c r="F49" s="81"/>
      <c r="G49" s="81"/>
      <c r="H49" s="81"/>
      <c r="I49" s="87">
        <f>AVERAGE(B48:H48)</f>
        <v>82.654757284737187</v>
      </c>
      <c r="J49" s="87">
        <f>AVERAGE(C48:H48,I49:I49)</f>
        <v>81.109864206294191</v>
      </c>
      <c r="K49" s="87">
        <f>AVERAGE(D48:H48,I49:J49)</f>
        <v>78.032286637805996</v>
      </c>
      <c r="L49" s="87">
        <f>AVERAGE(E48:H48,I49:K49)</f>
        <v>75.176666253769099</v>
      </c>
      <c r="M49" s="88">
        <f>AVERAGE(F48:H48,I49:L49)</f>
        <v>74.786148090362147</v>
      </c>
    </row>
    <row r="50" spans="1:13" ht="15" customHeight="1" x14ac:dyDescent="0.3">
      <c r="A50" s="72" t="s">
        <v>225</v>
      </c>
      <c r="B50" s="81">
        <f>'Raw Data'!K23/'Raw Data'!B8*365</f>
        <v>43.695839101471549</v>
      </c>
      <c r="C50" s="81">
        <f>'Raw Data'!L23/'Raw Data'!C8*365</f>
        <v>46.482093979453595</v>
      </c>
      <c r="D50" s="81">
        <f>'Raw Data'!M23/'Raw Data'!D8*365</f>
        <v>48.29406841368133</v>
      </c>
      <c r="E50" s="81">
        <f>'Raw Data'!N23/'Raw Data'!E8*365</f>
        <v>43.76417968818626</v>
      </c>
      <c r="F50" s="81">
        <f>'Raw Data'!O23/'Raw Data'!F8*365</f>
        <v>41.700357049745769</v>
      </c>
      <c r="G50" s="81">
        <f>'Raw Data'!P23/'Raw Data'!G8*365</f>
        <v>37.099130342445008</v>
      </c>
      <c r="H50" s="81">
        <f>'Raw Data'!Q23/'Raw Data'!H8*365</f>
        <v>36.101841180161571</v>
      </c>
      <c r="I50" s="85">
        <v>34</v>
      </c>
      <c r="J50" s="85">
        <v>34</v>
      </c>
      <c r="K50" s="85">
        <v>34</v>
      </c>
      <c r="L50" s="85">
        <v>35</v>
      </c>
      <c r="M50" s="86">
        <v>35</v>
      </c>
    </row>
    <row r="51" spans="1:13" ht="15" customHeight="1" x14ac:dyDescent="0.3">
      <c r="A51" s="73" t="s">
        <v>226</v>
      </c>
      <c r="B51" s="81"/>
      <c r="C51" s="81"/>
      <c r="D51" s="81"/>
      <c r="E51" s="81"/>
      <c r="F51" s="81"/>
      <c r="G51" s="81"/>
      <c r="H51" s="81"/>
      <c r="I51" s="87">
        <f>AVERAGE(B50:H50)</f>
        <v>42.448215679306436</v>
      </c>
      <c r="J51" s="87">
        <f>AVERAGE(C50:H50,I51:I51)</f>
        <v>42.269983761854277</v>
      </c>
      <c r="K51" s="87">
        <f>AVERAGE(D50:H50,I51:J51)</f>
        <v>41.668253730768662</v>
      </c>
      <c r="L51" s="87">
        <f>AVERAGE(E50:H50,I51:K51)</f>
        <v>40.721708776066855</v>
      </c>
      <c r="M51" s="88">
        <f>AVERAGE(F50:H50,I51:L51)</f>
        <v>40.28707007433551</v>
      </c>
    </row>
    <row r="52" spans="1:13" ht="23.25" customHeight="1" x14ac:dyDescent="0.3">
      <c r="A52" s="68" t="s">
        <v>227</v>
      </c>
      <c r="B52" s="56">
        <f>-'Raw Data'!B109/'Raw Data'!B8</f>
        <v>2.5218179070487255E-2</v>
      </c>
      <c r="C52" s="56">
        <f>-'Raw Data'!C109/'Raw Data'!C8</f>
        <v>3.5524502040026384E-2</v>
      </c>
      <c r="D52" s="56">
        <f>-'Raw Data'!D109/'Raw Data'!D8</f>
        <v>4.5738588356243774E-2</v>
      </c>
      <c r="E52" s="56">
        <f>-'Raw Data'!E109/'Raw Data'!E8</f>
        <v>2.5334961834859861E-2</v>
      </c>
      <c r="F52" s="56">
        <f>-'Raw Data'!F109/'Raw Data'!F8</f>
        <v>4.7691445445001653E-2</v>
      </c>
      <c r="G52" s="56">
        <f>-'Raw Data'!G109/'Raw Data'!G8</f>
        <v>4.1190780447366231E-2</v>
      </c>
      <c r="H52" s="56">
        <f>-'Raw Data'!H109/'Raw Data'!H8</f>
        <v>3.826126223099683E-2</v>
      </c>
      <c r="I52" s="60">
        <f>AVERAGE(B52:H52)</f>
        <v>3.699424563214028E-2</v>
      </c>
      <c r="J52" s="60">
        <f>AVERAGE(C52:I52)</f>
        <v>3.8676540855233574E-2</v>
      </c>
      <c r="K52" s="60">
        <f>AVERAGE(D52:J52)</f>
        <v>3.9126832114548885E-2</v>
      </c>
      <c r="L52" s="60">
        <f>AVERAGE(E52:K52)</f>
        <v>3.8182295508592472E-2</v>
      </c>
      <c r="M52" s="74">
        <f>AVERAGE(F52:L52)</f>
        <v>4.0017628890554276E-2</v>
      </c>
    </row>
    <row r="53" spans="1:13" ht="15" customHeight="1" x14ac:dyDescent="0.3">
      <c r="A53" s="72" t="s">
        <v>228</v>
      </c>
      <c r="B53" s="82">
        <f>'Raw Data'!B96</f>
        <v>3</v>
      </c>
      <c r="C53" s="82">
        <f>'Raw Data'!C96</f>
        <v>4</v>
      </c>
      <c r="D53" s="82">
        <f>'Raw Data'!D96</f>
        <v>5</v>
      </c>
      <c r="E53" s="82">
        <f>'Raw Data'!E96</f>
        <v>5</v>
      </c>
      <c r="F53" s="82">
        <f>'Raw Data'!F96</f>
        <v>8.5</v>
      </c>
      <c r="G53" s="82">
        <f>'Raw Data'!G96</f>
        <v>13</v>
      </c>
      <c r="H53" s="82">
        <f>'Raw Data'!H96</f>
        <v>16</v>
      </c>
      <c r="I53" s="89">
        <v>20</v>
      </c>
      <c r="J53" s="89">
        <v>24</v>
      </c>
      <c r="K53" s="89">
        <v>28</v>
      </c>
      <c r="L53" s="89">
        <v>32</v>
      </c>
      <c r="M53" s="90">
        <v>36</v>
      </c>
    </row>
    <row r="54" spans="1:13" ht="15" customHeight="1" thickBot="1" x14ac:dyDescent="0.35">
      <c r="A54" s="83" t="s">
        <v>229</v>
      </c>
      <c r="B54" s="84">
        <v>80.599999999999994</v>
      </c>
      <c r="C54" s="84">
        <v>80.599999999999994</v>
      </c>
      <c r="D54" s="84">
        <v>80.599999999999994</v>
      </c>
      <c r="E54" s="84">
        <v>80.599999999999994</v>
      </c>
      <c r="F54" s="84">
        <v>80.599999999999994</v>
      </c>
      <c r="G54" s="84">
        <v>80.599999999999994</v>
      </c>
      <c r="H54" s="84">
        <v>80.599999999999994</v>
      </c>
      <c r="I54" s="91">
        <v>80.7</v>
      </c>
      <c r="J54" s="91">
        <v>80.7</v>
      </c>
      <c r="K54" s="91">
        <v>80.7</v>
      </c>
      <c r="L54" s="91">
        <v>80.7</v>
      </c>
      <c r="M54" s="92">
        <v>80.7</v>
      </c>
    </row>
  </sheetData>
  <mergeCells count="3">
    <mergeCell ref="A45:M45"/>
    <mergeCell ref="A9:M9"/>
    <mergeCell ref="A1:M1"/>
  </mergeCells>
  <dataValidations count="1">
    <dataValidation type="list" allowBlank="1" showInputMessage="1" showErrorMessage="1" sqref="B4" xr:uid="{D3D55F84-BBC2-4BB6-A548-C25F12224F4C}">
      <formula1>$J$4:$J$6</formula1>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89"/>
  <sheetViews>
    <sheetView zoomScale="112" zoomScaleNormal="100" workbookViewId="0">
      <pane xSplit="2" ySplit="3" topLeftCell="C28" activePane="bottomRight" state="frozen"/>
      <selection pane="topRight" activeCell="C1" sqref="C1"/>
      <selection pane="bottomLeft" activeCell="A5" sqref="A5"/>
      <selection pane="bottomRight" activeCell="B73" sqref="B73"/>
    </sheetView>
  </sheetViews>
  <sheetFormatPr defaultColWidth="8.6640625" defaultRowHeight="14.4" x14ac:dyDescent="0.3"/>
  <cols>
    <col min="1" max="1" width="2" customWidth="1"/>
    <col min="2" max="2" width="44" customWidth="1"/>
    <col min="3" max="14" width="12" customWidth="1"/>
  </cols>
  <sheetData>
    <row r="1" spans="2:14" ht="25.5" customHeight="1" x14ac:dyDescent="0.3">
      <c r="B1" s="378" t="s">
        <v>230</v>
      </c>
      <c r="C1" s="378"/>
      <c r="D1" s="378"/>
      <c r="E1" s="378"/>
      <c r="F1" s="378"/>
      <c r="G1" s="378"/>
      <c r="H1" s="378"/>
      <c r="I1" s="378"/>
      <c r="J1" s="378"/>
      <c r="K1" s="378"/>
      <c r="L1" s="378"/>
      <c r="M1" s="378"/>
      <c r="N1" s="378"/>
    </row>
    <row r="2" spans="2:14" ht="15" customHeight="1" x14ac:dyDescent="0.3">
      <c r="B2" s="379"/>
      <c r="C2" s="380"/>
      <c r="D2" s="380"/>
      <c r="E2" s="380"/>
      <c r="F2" s="380"/>
      <c r="G2" s="380"/>
      <c r="H2" s="380"/>
      <c r="I2" s="380"/>
      <c r="J2" s="380"/>
      <c r="K2" s="380"/>
      <c r="L2" s="380"/>
      <c r="M2" s="380"/>
      <c r="N2" s="380"/>
    </row>
    <row r="3" spans="2:14" ht="15" customHeight="1" x14ac:dyDescent="0.3">
      <c r="B3" s="102"/>
      <c r="C3" s="102"/>
      <c r="D3" s="102"/>
      <c r="E3" s="102"/>
      <c r="F3" s="102"/>
      <c r="G3" s="102"/>
      <c r="H3" s="102"/>
      <c r="I3" s="102"/>
      <c r="J3" s="102"/>
      <c r="K3" s="102"/>
      <c r="L3" s="102"/>
      <c r="M3" s="102"/>
      <c r="N3" s="102"/>
    </row>
    <row r="4" spans="2:14" ht="15" customHeight="1" thickBot="1" x14ac:dyDescent="0.35">
      <c r="B4" s="102"/>
      <c r="C4" s="102"/>
      <c r="D4" s="102"/>
      <c r="E4" s="102"/>
      <c r="F4" s="102"/>
      <c r="G4" s="102"/>
      <c r="H4" s="102"/>
      <c r="I4" s="102"/>
      <c r="J4" s="102"/>
      <c r="K4" s="102"/>
      <c r="L4" s="102"/>
      <c r="M4" s="102"/>
      <c r="N4" s="102"/>
    </row>
    <row r="5" spans="2:14" ht="32.4" customHeight="1" x14ac:dyDescent="0.3">
      <c r="B5" s="63" t="s">
        <v>163</v>
      </c>
      <c r="C5" s="64" t="s">
        <v>164</v>
      </c>
      <c r="D5" s="64" t="s">
        <v>165</v>
      </c>
      <c r="E5" s="64" t="s">
        <v>166</v>
      </c>
      <c r="F5" s="64" t="s">
        <v>167</v>
      </c>
      <c r="G5" s="64" t="s">
        <v>168</v>
      </c>
      <c r="H5" s="64" t="s">
        <v>169</v>
      </c>
      <c r="I5" s="64" t="s">
        <v>170</v>
      </c>
      <c r="J5" s="64" t="s">
        <v>171</v>
      </c>
      <c r="K5" s="64" t="s">
        <v>172</v>
      </c>
      <c r="L5" s="64" t="s">
        <v>173</v>
      </c>
      <c r="M5" s="64" t="s">
        <v>174</v>
      </c>
      <c r="N5" s="65" t="s">
        <v>175</v>
      </c>
    </row>
    <row r="6" spans="2:14" ht="15.75" customHeight="1" x14ac:dyDescent="0.3">
      <c r="B6" s="381" t="s">
        <v>10</v>
      </c>
      <c r="C6" s="382"/>
      <c r="D6" s="382"/>
      <c r="E6" s="382"/>
      <c r="F6" s="382"/>
      <c r="G6" s="382"/>
      <c r="H6" s="382"/>
      <c r="I6" s="382"/>
      <c r="J6" s="382"/>
      <c r="K6" s="382"/>
      <c r="L6" s="382"/>
      <c r="M6" s="382"/>
      <c r="N6" s="383"/>
    </row>
    <row r="7" spans="2:14" ht="15" customHeight="1" x14ac:dyDescent="0.3">
      <c r="B7" s="66" t="s">
        <v>231</v>
      </c>
      <c r="C7" s="53">
        <f>'IS ,BS Assumptions'!B10</f>
        <v>12374.01</v>
      </c>
      <c r="D7" s="53">
        <f>'IS ,BS Assumptions'!C10</f>
        <v>12659.15</v>
      </c>
      <c r="E7" s="53">
        <f>'IS ,BS Assumptions'!D10</f>
        <v>11302.71</v>
      </c>
      <c r="F7" s="53">
        <f>'IS ,BS Assumptions'!E10</f>
        <v>13091.79</v>
      </c>
      <c r="G7" s="53">
        <f>'IS ,BS Assumptions'!F10</f>
        <v>14345.34</v>
      </c>
      <c r="H7" s="53">
        <f>'IS ,BS Assumptions'!G10</f>
        <v>16574.34</v>
      </c>
      <c r="I7" s="53">
        <f>'IS ,BS Assumptions'!H10</f>
        <v>19044.849999999999</v>
      </c>
      <c r="J7" s="53">
        <f>'IS ,BS Assumptions'!I10</f>
        <v>20568.437999999998</v>
      </c>
      <c r="K7" s="53">
        <f>'IS ,BS Assumptions'!J10</f>
        <v>22213.913039999999</v>
      </c>
      <c r="L7" s="53">
        <f>'IS ,BS Assumptions'!K10</f>
        <v>23991.026083200002</v>
      </c>
      <c r="M7" s="53">
        <f>'IS ,BS Assumptions'!L10</f>
        <v>25910.308169856005</v>
      </c>
      <c r="N7" s="105">
        <f>'IS ,BS Assumptions'!M10</f>
        <v>27983.132823444488</v>
      </c>
    </row>
    <row r="8" spans="2:14" ht="15" customHeight="1" x14ac:dyDescent="0.3">
      <c r="B8" s="72" t="s">
        <v>19</v>
      </c>
      <c r="C8" s="53">
        <f>'IS ,BS Assumptions'!B13</f>
        <v>577.52</v>
      </c>
      <c r="D8" s="53">
        <f>'IS ,BS Assumptions'!C13</f>
        <v>892.85</v>
      </c>
      <c r="E8" s="53">
        <f>'IS ,BS Assumptions'!D13</f>
        <v>653.91</v>
      </c>
      <c r="F8" s="53">
        <f>'IS ,BS Assumptions'!E13</f>
        <v>935.24</v>
      </c>
      <c r="G8" s="53">
        <f>'IS ,BS Assumptions'!F13</f>
        <v>826.2</v>
      </c>
      <c r="H8" s="53">
        <f>'IS ,BS Assumptions'!G13</f>
        <v>1433.72</v>
      </c>
      <c r="I8" s="53">
        <f>'IS ,BS Assumptions'!H13</f>
        <v>1279.3800000000001</v>
      </c>
      <c r="J8" s="53">
        <f>'IS ,BS Assumptions'!I13</f>
        <v>1345.0778597870035</v>
      </c>
      <c r="K8" s="53">
        <f>'IS ,BS Assumptions'!J13</f>
        <v>1512.1006558052397</v>
      </c>
      <c r="L8" s="53">
        <f>'IS ,BS Assumptions'!K13</f>
        <v>1624.6374730412356</v>
      </c>
      <c r="M8" s="53">
        <f>'IS ,BS Assumptions'!L13</f>
        <v>1791.1208407321299</v>
      </c>
      <c r="N8" s="105">
        <f>'IS ,BS Assumptions'!M13</f>
        <v>1925.1784516802663</v>
      </c>
    </row>
    <row r="9" spans="2:14" ht="15" customHeight="1" x14ac:dyDescent="0.3">
      <c r="B9" s="72" t="s">
        <v>232</v>
      </c>
      <c r="C9" s="53">
        <f>'IS ,BS Assumptions'!B22</f>
        <v>5630.67</v>
      </c>
      <c r="D9" s="53">
        <f>'IS ,BS Assumptions'!C22</f>
        <v>5725.41</v>
      </c>
      <c r="E9" s="53">
        <f>'IS ,BS Assumptions'!D22</f>
        <v>5945.0499999999993</v>
      </c>
      <c r="F9" s="53">
        <f>'IS ,BS Assumptions'!E22</f>
        <v>8469.49</v>
      </c>
      <c r="G9" s="53">
        <f>'IS ,BS Assumptions'!F22</f>
        <v>6733.2800000000007</v>
      </c>
      <c r="H9" s="53">
        <f>'IS ,BS Assumptions'!G22</f>
        <v>7338.03</v>
      </c>
      <c r="I9" s="53">
        <f>'IS ,BS Assumptions'!H22</f>
        <v>7756.34</v>
      </c>
      <c r="J9" s="53">
        <f>'IS ,BS Assumptions'!I22</f>
        <v>9989.2156612274994</v>
      </c>
      <c r="K9" s="53">
        <f>'IS ,BS Assumptions'!J22</f>
        <v>10885.514777764358</v>
      </c>
      <c r="L9" s="53">
        <f>'IS ,BS Assumptions'!K22</f>
        <v>11885.759964247096</v>
      </c>
      <c r="M9" s="53">
        <f>'IS ,BS Assumptions'!L22</f>
        <v>12723.506602554064</v>
      </c>
      <c r="N9" s="105">
        <f>'IS ,BS Assumptions'!M22</f>
        <v>13118.275689026659</v>
      </c>
    </row>
    <row r="10" spans="2:14" ht="15" customHeight="1" x14ac:dyDescent="0.3">
      <c r="B10" s="72" t="s">
        <v>233</v>
      </c>
      <c r="C10" s="53">
        <f>'IS ,BS Assumptions'!B29</f>
        <v>1839.84</v>
      </c>
      <c r="D10" s="53">
        <f>'IS ,BS Assumptions'!C29</f>
        <v>1911.08</v>
      </c>
      <c r="E10" s="53">
        <f>'IS ,BS Assumptions'!D29</f>
        <v>1703.58</v>
      </c>
      <c r="F10" s="53">
        <f>'IS ,BS Assumptions'!E29</f>
        <v>1729.16</v>
      </c>
      <c r="G10" s="53">
        <f>'IS ,BS Assumptions'!F29</f>
        <v>2380.6799999999998</v>
      </c>
      <c r="H10" s="53">
        <f>'IS ,BS Assumptions'!G29</f>
        <v>2688.51</v>
      </c>
      <c r="I10" s="53">
        <f>'IS ,BS Assumptions'!H29</f>
        <v>3054.87</v>
      </c>
      <c r="J10" s="53">
        <f>'IS ,BS Assumptions'!I29</f>
        <v>3147.0331009077249</v>
      </c>
      <c r="K10" s="53">
        <f>'IS ,BS Assumptions'!J29</f>
        <v>3412.4959713280205</v>
      </c>
      <c r="L10" s="53">
        <f>'IS ,BS Assumptions'!K29</f>
        <v>3694.5965999375362</v>
      </c>
      <c r="M10" s="53">
        <f>'IS ,BS Assumptions'!L29</f>
        <v>4002.2902120152457</v>
      </c>
      <c r="N10" s="105">
        <f>'IS ,BS Assumptions'!M29</f>
        <v>4411.9689989891285</v>
      </c>
    </row>
    <row r="11" spans="2:14" ht="15" customHeight="1" x14ac:dyDescent="0.3">
      <c r="B11" s="72" t="s">
        <v>84</v>
      </c>
      <c r="C11" s="53">
        <f>'IS ,BS Assumptions'!B34</f>
        <v>3949.9500000000003</v>
      </c>
      <c r="D11" s="53">
        <f>'IS ,BS Assumptions'!C34</f>
        <v>4278.7</v>
      </c>
      <c r="E11" s="53">
        <f>'IS ,BS Assumptions'!D34</f>
        <v>2899.9900000000002</v>
      </c>
      <c r="F11" s="53">
        <f>'IS ,BS Assumptions'!E34</f>
        <v>3448.82</v>
      </c>
      <c r="G11" s="53">
        <f>'IS ,BS Assumptions'!F34</f>
        <v>4457.55</v>
      </c>
      <c r="H11" s="53">
        <f>'IS ,BS Assumptions'!G34</f>
        <v>4995.5600000000004</v>
      </c>
      <c r="I11" s="53">
        <f>'IS ,BS Assumptions'!H34</f>
        <v>5542.32</v>
      </c>
      <c r="J11" s="53">
        <f>'IS ,BS Assumptions'!I34</f>
        <v>6112.8327379393331</v>
      </c>
      <c r="K11" s="53">
        <f>'IS ,BS Assumptions'!J34</f>
        <v>6531.9851135221352</v>
      </c>
      <c r="L11" s="53">
        <f>'IS ,BS Assumptions'!K34</f>
        <v>6903.9371779132316</v>
      </c>
      <c r="M11" s="53">
        <f>'IS ,BS Assumptions'!L34</f>
        <v>7571.7266227199689</v>
      </c>
      <c r="N11" s="105">
        <f>'IS ,BS Assumptions'!M34</f>
        <v>8292.5735685913351</v>
      </c>
    </row>
    <row r="12" spans="2:14" ht="15" customHeight="1" x14ac:dyDescent="0.3">
      <c r="B12" s="106" t="s">
        <v>234</v>
      </c>
      <c r="C12" s="103">
        <f t="shared" ref="C12:N12" si="0">C9+C10+C11</f>
        <v>11420.460000000001</v>
      </c>
      <c r="D12" s="103">
        <f t="shared" si="0"/>
        <v>11915.189999999999</v>
      </c>
      <c r="E12" s="103">
        <f t="shared" si="0"/>
        <v>10548.619999999999</v>
      </c>
      <c r="F12" s="103">
        <f t="shared" si="0"/>
        <v>13647.47</v>
      </c>
      <c r="G12" s="103">
        <f t="shared" si="0"/>
        <v>13571.510000000002</v>
      </c>
      <c r="H12" s="103">
        <f t="shared" si="0"/>
        <v>15022.100000000002</v>
      </c>
      <c r="I12" s="103">
        <f t="shared" si="0"/>
        <v>16353.529999999999</v>
      </c>
      <c r="J12" s="103">
        <f t="shared" si="0"/>
        <v>19249.081500074557</v>
      </c>
      <c r="K12" s="103">
        <f t="shared" si="0"/>
        <v>20829.995862614513</v>
      </c>
      <c r="L12" s="103">
        <f t="shared" si="0"/>
        <v>22484.293742097863</v>
      </c>
      <c r="M12" s="103">
        <f t="shared" si="0"/>
        <v>24297.523437289277</v>
      </c>
      <c r="N12" s="107">
        <f t="shared" si="0"/>
        <v>25822.818256607123</v>
      </c>
    </row>
    <row r="13" spans="2:14" x14ac:dyDescent="0.3">
      <c r="B13" s="70"/>
      <c r="C13" s="58"/>
      <c r="D13" s="58"/>
      <c r="E13" s="58"/>
      <c r="F13" s="58"/>
      <c r="G13" s="58"/>
      <c r="H13" s="58"/>
      <c r="I13" s="58"/>
      <c r="J13" s="58"/>
      <c r="K13" s="58"/>
      <c r="L13" s="58"/>
      <c r="M13" s="58"/>
      <c r="N13" s="108"/>
    </row>
    <row r="14" spans="2:14" ht="15" customHeight="1" x14ac:dyDescent="0.3">
      <c r="B14" s="106" t="s">
        <v>235</v>
      </c>
      <c r="C14" s="103">
        <f t="shared" ref="C14:N14" si="1">C7+C8-C12</f>
        <v>1531.0699999999997</v>
      </c>
      <c r="D14" s="103">
        <f t="shared" si="1"/>
        <v>1636.8100000000013</v>
      </c>
      <c r="E14" s="103">
        <f t="shared" si="1"/>
        <v>1408</v>
      </c>
      <c r="F14" s="103">
        <f t="shared" si="1"/>
        <v>379.56000000000131</v>
      </c>
      <c r="G14" s="103">
        <f t="shared" si="1"/>
        <v>1600.0299999999988</v>
      </c>
      <c r="H14" s="103">
        <f t="shared" si="1"/>
        <v>2985.9599999999991</v>
      </c>
      <c r="I14" s="103">
        <f t="shared" si="1"/>
        <v>3970.7000000000007</v>
      </c>
      <c r="J14" s="103">
        <f t="shared" si="1"/>
        <v>2664.4343597124462</v>
      </c>
      <c r="K14" s="103">
        <f t="shared" si="1"/>
        <v>2896.0178331907264</v>
      </c>
      <c r="L14" s="103">
        <f t="shared" si="1"/>
        <v>3131.3698141433742</v>
      </c>
      <c r="M14" s="103">
        <f t="shared" si="1"/>
        <v>3403.9055732988563</v>
      </c>
      <c r="N14" s="107">
        <f t="shared" si="1"/>
        <v>4085.4930185176308</v>
      </c>
    </row>
    <row r="15" spans="2:14" ht="15" customHeight="1" x14ac:dyDescent="0.3">
      <c r="B15" s="72" t="s">
        <v>236</v>
      </c>
      <c r="C15" s="56">
        <f t="shared" ref="C15:N15" si="2">C14/C7</f>
        <v>0.12373272690098033</v>
      </c>
      <c r="D15" s="56">
        <f t="shared" si="2"/>
        <v>0.12929857059913197</v>
      </c>
      <c r="E15" s="56">
        <f t="shared" si="2"/>
        <v>0.12457189470489821</v>
      </c>
      <c r="F15" s="56">
        <f t="shared" si="2"/>
        <v>2.899221573214979E-2</v>
      </c>
      <c r="G15" s="56">
        <f t="shared" si="2"/>
        <v>0.11153656866968638</v>
      </c>
      <c r="H15" s="56">
        <f t="shared" si="2"/>
        <v>0.18015558990584235</v>
      </c>
      <c r="I15" s="56">
        <f t="shared" si="2"/>
        <v>0.20849205953315469</v>
      </c>
      <c r="J15" s="56">
        <f t="shared" si="2"/>
        <v>0.12953994657797768</v>
      </c>
      <c r="K15" s="56">
        <f t="shared" si="2"/>
        <v>0.13036954938897727</v>
      </c>
      <c r="L15" s="56">
        <f t="shared" si="2"/>
        <v>0.13052254635895513</v>
      </c>
      <c r="M15" s="56">
        <f t="shared" si="2"/>
        <v>0.13137263945239186</v>
      </c>
      <c r="N15" s="109">
        <f t="shared" si="2"/>
        <v>0.1459984142695693</v>
      </c>
    </row>
    <row r="16" spans="2:14" x14ac:dyDescent="0.3">
      <c r="B16" s="25"/>
      <c r="C16" s="26"/>
      <c r="D16" s="26"/>
      <c r="E16" s="26"/>
      <c r="F16" s="26"/>
      <c r="G16" s="26"/>
      <c r="H16" s="26"/>
      <c r="I16" s="26"/>
      <c r="J16" s="26"/>
      <c r="K16" s="26"/>
      <c r="L16" s="26"/>
      <c r="M16" s="26"/>
      <c r="N16" s="110"/>
    </row>
    <row r="17" spans="2:14" ht="15" customHeight="1" x14ac:dyDescent="0.3">
      <c r="B17" s="72" t="s">
        <v>237</v>
      </c>
      <c r="C17" s="53">
        <f>'IS ,BS Assumptions'!B37</f>
        <v>569.72</v>
      </c>
      <c r="D17" s="53">
        <f>'IS ,BS Assumptions'!C37</f>
        <v>599.78</v>
      </c>
      <c r="E17" s="53">
        <f>'IS ,BS Assumptions'!D37</f>
        <v>468.62</v>
      </c>
      <c r="F17" s="53">
        <f>'IS ,BS Assumptions'!E37</f>
        <v>460.01</v>
      </c>
      <c r="G17" s="53">
        <f>'IS ,BS Assumptions'!F37</f>
        <v>595.91</v>
      </c>
      <c r="H17" s="53">
        <f>'IS ,BS Assumptions'!G37</f>
        <v>587.59</v>
      </c>
      <c r="I17" s="53">
        <f>'IS ,BS Assumptions'!H37</f>
        <v>573.89</v>
      </c>
      <c r="J17" s="53">
        <f>'IS ,BS Assumptions'!I37</f>
        <v>704.50559999999996</v>
      </c>
      <c r="K17" s="53">
        <f>'IS ,BS Assumptions'!J37</f>
        <v>713.53091962263159</v>
      </c>
      <c r="L17" s="53">
        <f>'IS ,BS Assumptions'!K37</f>
        <v>736.83114292239713</v>
      </c>
      <c r="M17" s="53">
        <f>'IS ,BS Assumptions'!L37</f>
        <v>721.05845252335723</v>
      </c>
      <c r="N17" s="105">
        <f>'IS ,BS Assumptions'!M37</f>
        <v>761.29694113387461</v>
      </c>
    </row>
    <row r="18" spans="2:14" ht="15" customHeight="1" x14ac:dyDescent="0.3">
      <c r="B18" s="72" t="s">
        <v>238</v>
      </c>
      <c r="C18" s="53">
        <f>'IS ,BS Assumptions'!B36</f>
        <v>16.97</v>
      </c>
      <c r="D18" s="53">
        <f>'IS ,BS Assumptions'!C36</f>
        <v>36.049999999999997</v>
      </c>
      <c r="E18" s="53">
        <f>'IS ,BS Assumptions'!D36</f>
        <v>45.07</v>
      </c>
      <c r="F18" s="53">
        <f>'IS ,BS Assumptions'!E36</f>
        <v>26.93</v>
      </c>
      <c r="G18" s="53">
        <f>'IS ,BS Assumptions'!F36</f>
        <v>22.27</v>
      </c>
      <c r="H18" s="53">
        <f>'IS ,BS Assumptions'!G36</f>
        <v>20.25</v>
      </c>
      <c r="I18" s="53">
        <f>'IS ,BS Assumptions'!H36</f>
        <v>15.11</v>
      </c>
      <c r="J18" s="53">
        <f>'IS ,BS Assumptions'!I36</f>
        <v>18</v>
      </c>
      <c r="K18" s="53">
        <f>'IS ,BS Assumptions'!J36</f>
        <v>18</v>
      </c>
      <c r="L18" s="53">
        <f>'IS ,BS Assumptions'!K36</f>
        <v>20</v>
      </c>
      <c r="M18" s="53">
        <f>'IS ,BS Assumptions'!L36</f>
        <v>20</v>
      </c>
      <c r="N18" s="105">
        <f>'IS ,BS Assumptions'!M36</f>
        <v>22</v>
      </c>
    </row>
    <row r="19" spans="2:14" x14ac:dyDescent="0.3">
      <c r="B19" s="70"/>
      <c r="C19" s="58"/>
      <c r="D19" s="58"/>
      <c r="E19" s="58"/>
      <c r="F19" s="58"/>
      <c r="G19" s="58"/>
      <c r="H19" s="58"/>
      <c r="I19" s="58"/>
      <c r="J19" s="58"/>
      <c r="K19" s="58"/>
      <c r="L19" s="58"/>
      <c r="M19" s="58"/>
      <c r="N19" s="108"/>
    </row>
    <row r="20" spans="2:14" ht="15" customHeight="1" x14ac:dyDescent="0.3">
      <c r="B20" s="106" t="s">
        <v>239</v>
      </c>
      <c r="C20" s="103">
        <f t="shared" ref="C20:N20" si="3">C14-C17</f>
        <v>961.34999999999968</v>
      </c>
      <c r="D20" s="103">
        <f t="shared" si="3"/>
        <v>1037.0300000000013</v>
      </c>
      <c r="E20" s="103">
        <f t="shared" si="3"/>
        <v>939.38</v>
      </c>
      <c r="F20" s="103">
        <f t="shared" si="3"/>
        <v>-80.449999999998681</v>
      </c>
      <c r="G20" s="103">
        <f t="shared" si="3"/>
        <v>1004.1199999999989</v>
      </c>
      <c r="H20" s="103">
        <f t="shared" si="3"/>
        <v>2398.369999999999</v>
      </c>
      <c r="I20" s="103">
        <f t="shared" si="3"/>
        <v>3396.8100000000009</v>
      </c>
      <c r="J20" s="103">
        <f t="shared" si="3"/>
        <v>1959.9287597124462</v>
      </c>
      <c r="K20" s="103">
        <f t="shared" si="3"/>
        <v>2182.4869135680947</v>
      </c>
      <c r="L20" s="103">
        <f t="shared" si="3"/>
        <v>2394.538671220977</v>
      </c>
      <c r="M20" s="103">
        <f t="shared" si="3"/>
        <v>2682.8471207754992</v>
      </c>
      <c r="N20" s="107">
        <f t="shared" si="3"/>
        <v>3324.1960773837563</v>
      </c>
    </row>
    <row r="21" spans="2:14" ht="15" customHeight="1" x14ac:dyDescent="0.3">
      <c r="B21" s="72" t="s">
        <v>240</v>
      </c>
      <c r="C21" s="56">
        <f t="shared" ref="C21:N21" si="4">C20/C7</f>
        <v>7.7691063769950053E-2</v>
      </c>
      <c r="D21" s="56">
        <f t="shared" si="4"/>
        <v>8.1919402171551914E-2</v>
      </c>
      <c r="E21" s="56">
        <f t="shared" si="4"/>
        <v>8.3111041511283582E-2</v>
      </c>
      <c r="F21" s="56">
        <f t="shared" si="4"/>
        <v>-6.1450725989340401E-3</v>
      </c>
      <c r="G21" s="56">
        <f t="shared" si="4"/>
        <v>6.9996249653197409E-2</v>
      </c>
      <c r="H21" s="56">
        <f t="shared" si="4"/>
        <v>0.14470380117700005</v>
      </c>
      <c r="I21" s="56">
        <f t="shared" si="4"/>
        <v>0.17835845386023</v>
      </c>
      <c r="J21" s="56">
        <f t="shared" si="4"/>
        <v>9.5288167225554332E-2</v>
      </c>
      <c r="K21" s="56">
        <f t="shared" si="4"/>
        <v>9.8248647576775372E-2</v>
      </c>
      <c r="L21" s="56">
        <f t="shared" si="4"/>
        <v>9.9809764822763491E-2</v>
      </c>
      <c r="M21" s="56">
        <f t="shared" si="4"/>
        <v>0.10354362067745368</v>
      </c>
      <c r="N21" s="109">
        <f t="shared" si="4"/>
        <v>0.11879284919087825</v>
      </c>
    </row>
    <row r="22" spans="2:14" x14ac:dyDescent="0.3">
      <c r="B22" s="70"/>
      <c r="C22" s="58"/>
      <c r="D22" s="58"/>
      <c r="E22" s="58"/>
      <c r="F22" s="58"/>
      <c r="G22" s="58"/>
      <c r="H22" s="58"/>
      <c r="I22" s="58"/>
      <c r="J22" s="58"/>
      <c r="K22" s="58"/>
      <c r="L22" s="58"/>
      <c r="M22" s="58"/>
      <c r="N22" s="108"/>
    </row>
    <row r="23" spans="2:14" ht="15" customHeight="1" x14ac:dyDescent="0.3">
      <c r="B23" s="106" t="s">
        <v>241</v>
      </c>
      <c r="C23" s="103">
        <f>'Raw Data'!B72</f>
        <v>2492.83</v>
      </c>
      <c r="D23" s="103">
        <f>'Raw Data'!C72</f>
        <v>2964.31</v>
      </c>
      <c r="E23" s="103">
        <f>'Raw Data'!D72</f>
        <v>3207.63</v>
      </c>
      <c r="F23" s="103">
        <f>'Raw Data'!E72</f>
        <v>3814.77</v>
      </c>
      <c r="G23" s="103">
        <f>'Raw Data'!F72</f>
        <v>3375.01</v>
      </c>
      <c r="H23" s="103">
        <f>'Raw Data'!G72</f>
        <v>5310.03</v>
      </c>
      <c r="I23" s="103">
        <f>'Raw Data'!H72</f>
        <v>6468.82</v>
      </c>
      <c r="J23" s="103">
        <f>J20-J18</f>
        <v>1941.9287597124462</v>
      </c>
      <c r="K23" s="103">
        <f>K20-K18</f>
        <v>2164.4869135680947</v>
      </c>
      <c r="L23" s="103">
        <f>L20-L18</f>
        <v>2374.538671220977</v>
      </c>
      <c r="M23" s="103">
        <f>M20-M18</f>
        <v>2662.8471207754992</v>
      </c>
      <c r="N23" s="107">
        <f>N20-N18</f>
        <v>3302.1960773837563</v>
      </c>
    </row>
    <row r="24" spans="2:14" ht="15" customHeight="1" x14ac:dyDescent="0.3">
      <c r="B24" s="72" t="s">
        <v>242</v>
      </c>
      <c r="C24" s="53">
        <f>'Raw Data'!B73</f>
        <v>576.42999999999995</v>
      </c>
      <c r="D24" s="53">
        <f>'Raw Data'!C73</f>
        <v>545.96</v>
      </c>
      <c r="E24" s="53">
        <f>'Raw Data'!D73</f>
        <v>756.27</v>
      </c>
      <c r="F24" s="53">
        <f>'Raw Data'!E73</f>
        <v>887.24</v>
      </c>
      <c r="G24" s="53">
        <f>'Raw Data'!F73</f>
        <v>901.63</v>
      </c>
      <c r="H24" s="53">
        <f>'Raw Data'!G73</f>
        <v>1226.69</v>
      </c>
      <c r="I24" s="53">
        <f>'Raw Data'!H73</f>
        <v>1360.32</v>
      </c>
      <c r="J24" s="53">
        <f>J23*'IS ,BS Assumptions'!I41</f>
        <v>441.71020077127577</v>
      </c>
      <c r="K24" s="53">
        <f>K23*'IS ,BS Assumptions'!J41</f>
        <v>491.16569460735218</v>
      </c>
      <c r="L24" s="53">
        <f>L23*'IS ,BS Assumptions'!K41</f>
        <v>553.32973348337123</v>
      </c>
      <c r="M24" s="53">
        <f>M23*'IS ,BS Assumptions'!L41</f>
        <v>619.46855974359812</v>
      </c>
      <c r="N24" s="105">
        <f>N23*'IS ,BS Assumptions'!M41</f>
        <v>768.22815019460302</v>
      </c>
    </row>
    <row r="25" spans="2:14" ht="15" customHeight="1" x14ac:dyDescent="0.3">
      <c r="B25" s="106" t="s">
        <v>243</v>
      </c>
      <c r="C25" s="103">
        <f>'Raw Data'!B77</f>
        <v>1888.41</v>
      </c>
      <c r="D25" s="103">
        <f>'Raw Data'!C77</f>
        <v>2318.17</v>
      </c>
      <c r="E25" s="103">
        <f>'Raw Data'!D77</f>
        <v>2468.2800000000002</v>
      </c>
      <c r="F25" s="103">
        <f>'Raw Data'!E77</f>
        <v>2957.93</v>
      </c>
      <c r="G25" s="103">
        <f>'Raw Data'!F77</f>
        <v>2513.4699999999998</v>
      </c>
      <c r="H25" s="103">
        <f>'Raw Data'!G77</f>
        <v>4077.25</v>
      </c>
      <c r="I25" s="103">
        <f>'Raw Data'!H77</f>
        <v>5157.6499999999996</v>
      </c>
      <c r="J25" s="103">
        <f>J23-J24</f>
        <v>1500.2185589411704</v>
      </c>
      <c r="K25" s="103">
        <f>K23-K24</f>
        <v>1673.3212189607425</v>
      </c>
      <c r="L25" s="103">
        <f>L23-L24</f>
        <v>1821.2089377376058</v>
      </c>
      <c r="M25" s="103">
        <f>M23-M24</f>
        <v>2043.378561031901</v>
      </c>
      <c r="N25" s="107">
        <f>N23-N24</f>
        <v>2533.9679271891532</v>
      </c>
    </row>
    <row r="26" spans="2:14" ht="15" customHeight="1" x14ac:dyDescent="0.3">
      <c r="B26" s="72" t="s">
        <v>244</v>
      </c>
      <c r="C26" s="56">
        <f t="shared" ref="C26:N26" si="5">C25/C7</f>
        <v>0.15261099675852857</v>
      </c>
      <c r="D26" s="56">
        <f t="shared" si="5"/>
        <v>0.18312208955577589</v>
      </c>
      <c r="E26" s="56">
        <f t="shared" si="5"/>
        <v>0.21837948598168053</v>
      </c>
      <c r="F26" s="56">
        <f t="shared" si="5"/>
        <v>0.22593778238117168</v>
      </c>
      <c r="G26" s="56">
        <f t="shared" si="5"/>
        <v>0.17521160181633894</v>
      </c>
      <c r="H26" s="56">
        <f t="shared" si="5"/>
        <v>0.2459977290196774</v>
      </c>
      <c r="I26" s="56">
        <f t="shared" si="5"/>
        <v>0.27081599487525498</v>
      </c>
      <c r="J26" s="56">
        <f t="shared" si="5"/>
        <v>7.2937894406039511E-2</v>
      </c>
      <c r="K26" s="56">
        <f t="shared" si="5"/>
        <v>7.5327620844991949E-2</v>
      </c>
      <c r="L26" s="56">
        <f t="shared" si="5"/>
        <v>7.5912090271659072E-2</v>
      </c>
      <c r="M26" s="56">
        <f t="shared" si="5"/>
        <v>7.8863537540212011E-2</v>
      </c>
      <c r="N26" s="109">
        <f t="shared" si="5"/>
        <v>9.0553403837120586E-2</v>
      </c>
    </row>
    <row r="27" spans="2:14" x14ac:dyDescent="0.3">
      <c r="B27" s="70"/>
      <c r="C27" s="58"/>
      <c r="D27" s="58"/>
      <c r="E27" s="58"/>
      <c r="F27" s="58"/>
      <c r="G27" s="58"/>
      <c r="H27" s="58"/>
      <c r="I27" s="58"/>
      <c r="J27" s="58"/>
      <c r="K27" s="58"/>
      <c r="L27" s="58"/>
      <c r="M27" s="58"/>
      <c r="N27" s="108"/>
    </row>
    <row r="28" spans="2:14" ht="15" customHeight="1" x14ac:dyDescent="0.3">
      <c r="B28" s="72" t="s">
        <v>245</v>
      </c>
      <c r="C28" s="82">
        <f>'Raw Data'!B97</f>
        <v>23.44</v>
      </c>
      <c r="D28" s="82">
        <f>'Raw Data'!C97</f>
        <v>28.75</v>
      </c>
      <c r="E28" s="82">
        <f>'Raw Data'!D97</f>
        <v>30.61</v>
      </c>
      <c r="F28" s="82">
        <f>'Raw Data'!E97</f>
        <v>36.659999999999997</v>
      </c>
      <c r="G28" s="82">
        <f>'Raw Data'!F97</f>
        <v>31.14</v>
      </c>
      <c r="H28" s="82">
        <f>'Raw Data'!G97</f>
        <v>50.5</v>
      </c>
      <c r="I28" s="82">
        <f>'Raw Data'!H97</f>
        <v>63.86</v>
      </c>
      <c r="J28" s="82">
        <f>J25/'IS ,BS Assumptions'!I54</f>
        <v>18.590068884029371</v>
      </c>
      <c r="K28" s="82">
        <f>K25/'IS ,BS Assumptions'!J54</f>
        <v>20.735083258497429</v>
      </c>
      <c r="L28" s="82">
        <f>L25/'IS ,BS Assumptions'!K54</f>
        <v>22.567644829462278</v>
      </c>
      <c r="M28" s="82">
        <f>M25/'IS ,BS Assumptions'!L54</f>
        <v>25.320676097049578</v>
      </c>
      <c r="N28" s="111">
        <f>N25/'IS ,BS Assumptions'!M54</f>
        <v>31.399850398874264</v>
      </c>
    </row>
    <row r="29" spans="2:14" ht="15" customHeight="1" thickBot="1" x14ac:dyDescent="0.35">
      <c r="B29" s="83" t="s">
        <v>246</v>
      </c>
      <c r="C29" s="84">
        <f>'Raw Data'!B96</f>
        <v>3</v>
      </c>
      <c r="D29" s="84">
        <f>'Raw Data'!C96</f>
        <v>4</v>
      </c>
      <c r="E29" s="84">
        <f>'Raw Data'!D96</f>
        <v>5</v>
      </c>
      <c r="F29" s="84">
        <f>'Raw Data'!E96</f>
        <v>5</v>
      </c>
      <c r="G29" s="84">
        <f>'Raw Data'!F96</f>
        <v>8.5</v>
      </c>
      <c r="H29" s="84">
        <f>'Raw Data'!G96</f>
        <v>13</v>
      </c>
      <c r="I29" s="84">
        <f>'Raw Data'!H96</f>
        <v>16</v>
      </c>
      <c r="J29" s="84">
        <f>'IS ,BS Assumptions'!I53</f>
        <v>20</v>
      </c>
      <c r="K29" s="84">
        <f>'IS ,BS Assumptions'!J53</f>
        <v>24</v>
      </c>
      <c r="L29" s="84">
        <f>'IS ,BS Assumptions'!K53</f>
        <v>28</v>
      </c>
      <c r="M29" s="84">
        <f>'IS ,BS Assumptions'!L53</f>
        <v>32</v>
      </c>
      <c r="N29" s="112">
        <f>'IS ,BS Assumptions'!M53</f>
        <v>36</v>
      </c>
    </row>
    <row r="30" spans="2:14" ht="15" customHeight="1" x14ac:dyDescent="0.3">
      <c r="B30" s="100"/>
      <c r="C30" s="101"/>
      <c r="D30" s="101"/>
      <c r="E30" s="101"/>
      <c r="F30" s="101"/>
      <c r="G30" s="101"/>
      <c r="H30" s="101"/>
      <c r="I30" s="101"/>
      <c r="J30" s="101"/>
      <c r="K30" s="101"/>
      <c r="L30" s="101"/>
      <c r="M30" s="101"/>
      <c r="N30" s="101"/>
    </row>
    <row r="31" spans="2:14" ht="15" customHeight="1" x14ac:dyDescent="0.3">
      <c r="B31" s="100"/>
      <c r="C31" s="101"/>
      <c r="D31" s="101"/>
      <c r="E31" s="101"/>
      <c r="F31" s="101"/>
      <c r="G31" s="101"/>
      <c r="H31" s="101"/>
      <c r="I31" s="101"/>
      <c r="J31" s="101"/>
      <c r="K31" s="101"/>
      <c r="L31" s="101"/>
      <c r="M31" s="101"/>
      <c r="N31" s="101"/>
    </row>
    <row r="32" spans="2:14" ht="15" customHeight="1" x14ac:dyDescent="0.3">
      <c r="B32" s="100"/>
      <c r="C32" s="101"/>
      <c r="D32" s="101"/>
      <c r="E32" s="101"/>
      <c r="F32" s="101"/>
      <c r="G32" s="101"/>
      <c r="H32" s="101"/>
      <c r="I32" s="101"/>
      <c r="J32" s="101"/>
      <c r="K32" s="101"/>
      <c r="L32" s="101"/>
      <c r="M32" s="101"/>
      <c r="N32" s="101"/>
    </row>
    <row r="33" spans="2:14" ht="15" customHeight="1" thickBot="1" x14ac:dyDescent="0.35">
      <c r="B33" s="100"/>
      <c r="C33" s="101"/>
      <c r="D33" s="101"/>
      <c r="E33" s="101"/>
      <c r="F33" s="101"/>
      <c r="G33" s="101"/>
      <c r="H33" s="101"/>
      <c r="I33" s="101"/>
      <c r="J33" s="101"/>
      <c r="K33" s="101"/>
      <c r="L33" s="101"/>
      <c r="M33" s="101"/>
      <c r="N33" s="101"/>
    </row>
    <row r="34" spans="2:14" ht="27.6" x14ac:dyDescent="0.3">
      <c r="B34" s="63" t="s">
        <v>163</v>
      </c>
      <c r="C34" s="64" t="s">
        <v>164</v>
      </c>
      <c r="D34" s="64" t="s">
        <v>165</v>
      </c>
      <c r="E34" s="64" t="s">
        <v>166</v>
      </c>
      <c r="F34" s="64" t="s">
        <v>167</v>
      </c>
      <c r="G34" s="64" t="s">
        <v>168</v>
      </c>
      <c r="H34" s="64" t="s">
        <v>169</v>
      </c>
      <c r="I34" s="64" t="s">
        <v>170</v>
      </c>
      <c r="J34" s="64" t="s">
        <v>171</v>
      </c>
      <c r="K34" s="64" t="s">
        <v>172</v>
      </c>
      <c r="L34" s="64" t="s">
        <v>173</v>
      </c>
      <c r="M34" s="64" t="s">
        <v>174</v>
      </c>
      <c r="N34" s="65" t="s">
        <v>175</v>
      </c>
    </row>
    <row r="35" spans="2:14" ht="15.75" customHeight="1" x14ac:dyDescent="0.3">
      <c r="B35" s="381" t="s">
        <v>247</v>
      </c>
      <c r="C35" s="382"/>
      <c r="D35" s="382"/>
      <c r="E35" s="382"/>
      <c r="F35" s="382"/>
      <c r="G35" s="382"/>
      <c r="H35" s="382"/>
      <c r="I35" s="382"/>
      <c r="J35" s="382"/>
      <c r="K35" s="382"/>
      <c r="L35" s="382"/>
      <c r="M35" s="382"/>
      <c r="N35" s="383"/>
    </row>
    <row r="36" spans="2:14" ht="15" customHeight="1" x14ac:dyDescent="0.3">
      <c r="B36" s="72" t="s">
        <v>16</v>
      </c>
      <c r="C36" s="53">
        <f>'Raw Data'!K7</f>
        <v>161.13999999999999</v>
      </c>
      <c r="D36" s="53">
        <f>'Raw Data'!L7</f>
        <v>161.25</v>
      </c>
      <c r="E36" s="53">
        <f>'Raw Data'!M7</f>
        <v>161.29</v>
      </c>
      <c r="F36" s="53">
        <f>'Raw Data'!N7</f>
        <v>161.36000000000001</v>
      </c>
      <c r="G36" s="53">
        <f>'Raw Data'!O7</f>
        <v>161.43</v>
      </c>
      <c r="H36" s="53">
        <f>'Raw Data'!P7</f>
        <v>161.47</v>
      </c>
      <c r="I36" s="53">
        <f>'Raw Data'!Q7</f>
        <v>161.52000000000001</v>
      </c>
      <c r="J36" s="53">
        <v>161.57</v>
      </c>
      <c r="K36" s="53">
        <v>161.62</v>
      </c>
      <c r="L36" s="53">
        <v>161.66999999999999</v>
      </c>
      <c r="M36" s="53">
        <v>161.72</v>
      </c>
      <c r="N36" s="105">
        <v>161.77000000000001</v>
      </c>
    </row>
    <row r="37" spans="2:14" ht="15" customHeight="1" x14ac:dyDescent="0.3">
      <c r="B37" s="72" t="s">
        <v>248</v>
      </c>
      <c r="C37" s="53">
        <f>'Raw Data'!K9</f>
        <v>15620.77</v>
      </c>
      <c r="D37" s="53">
        <f>'Raw Data'!L9</f>
        <v>17241.71</v>
      </c>
      <c r="E37" s="53">
        <f>'Raw Data'!M9</f>
        <v>19766.27</v>
      </c>
      <c r="F37" s="53">
        <f>'Raw Data'!N9</f>
        <v>22352.19</v>
      </c>
      <c r="G37" s="53">
        <f>'Raw Data'!O9</f>
        <v>24476.66</v>
      </c>
      <c r="H37" s="53">
        <f>'Raw Data'!P9</f>
        <v>27812.45</v>
      </c>
      <c r="I37" s="53">
        <f>'Raw Data'!Q9</f>
        <v>31937.72</v>
      </c>
      <c r="J37" s="53">
        <f>I37+J25-J29*'IS ,BS Assumptions'!I54</f>
        <v>31823.938558941169</v>
      </c>
      <c r="K37" s="53">
        <f>J37+K25-K29*'IS ,BS Assumptions'!J54</f>
        <v>31560.459777901913</v>
      </c>
      <c r="L37" s="53">
        <f>K37+L25-L29*'IS ,BS Assumptions'!K54</f>
        <v>31122.068715639522</v>
      </c>
      <c r="M37" s="53">
        <f>L37+M25-M29*'IS ,BS Assumptions'!L54</f>
        <v>30583.047276671423</v>
      </c>
      <c r="N37" s="105">
        <f>M37+N25-N29*'IS ,BS Assumptions'!M54</f>
        <v>30211.815203860573</v>
      </c>
    </row>
    <row r="38" spans="2:14" ht="15" customHeight="1" x14ac:dyDescent="0.3">
      <c r="B38" s="106" t="s">
        <v>249</v>
      </c>
      <c r="C38" s="103">
        <f>'Raw Data'!K10</f>
        <v>15781.91</v>
      </c>
      <c r="D38" s="103">
        <f>'Raw Data'!L10</f>
        <v>17402.96</v>
      </c>
      <c r="E38" s="103">
        <f>'Raw Data'!M10</f>
        <v>19927.560000000001</v>
      </c>
      <c r="F38" s="103">
        <f>'Raw Data'!N10</f>
        <v>22513.55</v>
      </c>
      <c r="G38" s="103">
        <f>'Raw Data'!O10</f>
        <v>24638.09</v>
      </c>
      <c r="H38" s="103">
        <f>'Raw Data'!P10</f>
        <v>27973.919999999998</v>
      </c>
      <c r="I38" s="103">
        <f>'Raw Data'!Q10</f>
        <v>32099.24</v>
      </c>
      <c r="J38" s="103">
        <f>J36+J37</f>
        <v>31985.508558941168</v>
      </c>
      <c r="K38" s="103">
        <f>K36+K37</f>
        <v>31722.079777901912</v>
      </c>
      <c r="L38" s="103">
        <f>L36+L37</f>
        <v>31283.73871563952</v>
      </c>
      <c r="M38" s="103">
        <f>M36+M37</f>
        <v>30744.767276671424</v>
      </c>
      <c r="N38" s="107">
        <f>N36+N37</f>
        <v>30373.585203860574</v>
      </c>
    </row>
    <row r="39" spans="2:14" ht="15" customHeight="1" x14ac:dyDescent="0.3">
      <c r="B39" s="114" t="s">
        <v>24</v>
      </c>
      <c r="C39" s="58"/>
      <c r="D39" s="58"/>
      <c r="E39" s="58"/>
      <c r="F39" s="58"/>
      <c r="G39" s="58"/>
      <c r="H39" s="58"/>
      <c r="I39" s="58"/>
      <c r="J39" s="58"/>
      <c r="K39" s="58"/>
      <c r="L39" s="58"/>
      <c r="M39" s="58"/>
      <c r="N39" s="108"/>
    </row>
    <row r="40" spans="2:14" ht="15" customHeight="1" x14ac:dyDescent="0.3">
      <c r="B40" s="115" t="s">
        <v>250</v>
      </c>
      <c r="C40" s="53">
        <f>'Raw Data'!K12</f>
        <v>0</v>
      </c>
      <c r="D40" s="53">
        <f>'Raw Data'!L12</f>
        <v>0</v>
      </c>
      <c r="E40" s="53">
        <f>'Raw Data'!M12</f>
        <v>0</v>
      </c>
      <c r="F40" s="53">
        <f>'Raw Data'!N12</f>
        <v>0</v>
      </c>
      <c r="G40" s="53">
        <f>'Raw Data'!O12</f>
        <v>0</v>
      </c>
      <c r="H40" s="53">
        <f>'Raw Data'!P12</f>
        <v>0</v>
      </c>
      <c r="I40" s="53">
        <f>'Raw Data'!Q12</f>
        <v>0</v>
      </c>
      <c r="J40" s="53">
        <v>0</v>
      </c>
      <c r="K40" s="53">
        <v>0</v>
      </c>
      <c r="L40" s="53">
        <v>0</v>
      </c>
      <c r="M40" s="53">
        <v>0</v>
      </c>
      <c r="N40" s="105">
        <v>0</v>
      </c>
    </row>
    <row r="41" spans="2:14" ht="15" customHeight="1" x14ac:dyDescent="0.3">
      <c r="B41" s="115" t="s">
        <v>251</v>
      </c>
      <c r="C41" s="53">
        <f>'Raw Data'!K13</f>
        <v>0</v>
      </c>
      <c r="D41" s="53">
        <f>'Raw Data'!L13</f>
        <v>0</v>
      </c>
      <c r="E41" s="53">
        <f>'Raw Data'!M13</f>
        <v>29.46</v>
      </c>
      <c r="F41" s="53">
        <f>'Raw Data'!N13</f>
        <v>15.53</v>
      </c>
      <c r="G41" s="53">
        <f>'Raw Data'!O13</f>
        <v>35.53</v>
      </c>
      <c r="H41" s="53">
        <f>'Raw Data'!P13</f>
        <v>29.55</v>
      </c>
      <c r="I41" s="53">
        <f>'Raw Data'!Q13</f>
        <v>86.18</v>
      </c>
      <c r="J41" s="53">
        <f>I41*1.05</f>
        <v>90.489000000000004</v>
      </c>
      <c r="K41" s="53">
        <f>J41*1.05</f>
        <v>95.013450000000006</v>
      </c>
      <c r="L41" s="53">
        <f>K41*1.05</f>
        <v>99.764122500000013</v>
      </c>
      <c r="M41" s="53">
        <f>L41*1.05</f>
        <v>104.75232862500002</v>
      </c>
      <c r="N41" s="105">
        <f>M41*1.05</f>
        <v>109.98994505625002</v>
      </c>
    </row>
    <row r="42" spans="2:14" ht="15" customHeight="1" x14ac:dyDescent="0.3">
      <c r="B42" s="115" t="s">
        <v>252</v>
      </c>
      <c r="C42" s="53">
        <f>'Raw Data'!K14</f>
        <v>42.84</v>
      </c>
      <c r="D42" s="53">
        <f>'Raw Data'!L14</f>
        <v>112.97</v>
      </c>
      <c r="E42" s="53">
        <f>'Raw Data'!M14</f>
        <v>104.91</v>
      </c>
      <c r="F42" s="53">
        <f>'Raw Data'!N14</f>
        <v>79.25</v>
      </c>
      <c r="G42" s="53">
        <f>'Raw Data'!O14</f>
        <v>36.130000000000003</v>
      </c>
      <c r="H42" s="53">
        <f>'Raw Data'!P14</f>
        <v>32.64</v>
      </c>
      <c r="I42" s="53">
        <f>'Raw Data'!Q14</f>
        <v>0</v>
      </c>
      <c r="J42" s="53">
        <v>0</v>
      </c>
      <c r="K42" s="53">
        <v>0</v>
      </c>
      <c r="L42" s="53">
        <v>0</v>
      </c>
      <c r="M42" s="53">
        <v>0</v>
      </c>
      <c r="N42" s="105">
        <v>0</v>
      </c>
    </row>
    <row r="43" spans="2:14" ht="15" customHeight="1" x14ac:dyDescent="0.3">
      <c r="B43" s="115" t="s">
        <v>253</v>
      </c>
      <c r="C43" s="53">
        <f>'Raw Data'!K17+'Raw Data'!K18</f>
        <v>225.98000000000002</v>
      </c>
      <c r="D43" s="53">
        <f>'Raw Data'!L17+'Raw Data'!L18</f>
        <v>270.44</v>
      </c>
      <c r="E43" s="53">
        <f>'Raw Data'!M17+'Raw Data'!M18</f>
        <v>209.87</v>
      </c>
      <c r="F43" s="53">
        <f>'Raw Data'!N17+'Raw Data'!N18</f>
        <v>181.38</v>
      </c>
      <c r="G43" s="53">
        <f>'Raw Data'!O17+'Raw Data'!O18</f>
        <v>186.98000000000002</v>
      </c>
      <c r="H43" s="53">
        <f>'Raw Data'!P17+'Raw Data'!P18</f>
        <v>154.87</v>
      </c>
      <c r="I43" s="53">
        <f>'Raw Data'!Q17+'Raw Data'!Q18</f>
        <v>196.88</v>
      </c>
      <c r="J43" s="53">
        <f>I43*1.05</f>
        <v>206.72400000000002</v>
      </c>
      <c r="K43" s="53">
        <f>J43*1.05</f>
        <v>217.06020000000004</v>
      </c>
      <c r="L43" s="53">
        <f>K43*1.05</f>
        <v>227.91321000000005</v>
      </c>
      <c r="M43" s="53">
        <f>L43*1.05</f>
        <v>239.30887050000007</v>
      </c>
      <c r="N43" s="105">
        <f>M43*1.05</f>
        <v>251.27431402500008</v>
      </c>
    </row>
    <row r="44" spans="2:14" ht="15" customHeight="1" x14ac:dyDescent="0.3">
      <c r="B44" s="106" t="s">
        <v>254</v>
      </c>
      <c r="C44" s="103">
        <f>'Raw Data'!K19</f>
        <v>268.82</v>
      </c>
      <c r="D44" s="103">
        <f>'Raw Data'!L19</f>
        <v>383.41</v>
      </c>
      <c r="E44" s="103">
        <f>'Raw Data'!M19</f>
        <v>344.24</v>
      </c>
      <c r="F44" s="103">
        <f>'Raw Data'!N19</f>
        <v>276.16000000000003</v>
      </c>
      <c r="G44" s="103">
        <f>'Raw Data'!O19</f>
        <v>258.64</v>
      </c>
      <c r="H44" s="103">
        <f>'Raw Data'!P19</f>
        <v>217.06</v>
      </c>
      <c r="I44" s="103">
        <f>'Raw Data'!Q19</f>
        <v>283.06</v>
      </c>
      <c r="J44" s="103">
        <f>J40+J41+J42+J43</f>
        <v>297.21300000000002</v>
      </c>
      <c r="K44" s="103">
        <f>K40+K41+K42+K43</f>
        <v>312.07365000000004</v>
      </c>
      <c r="L44" s="103">
        <f>L40+L41+L42+L43</f>
        <v>327.67733250000003</v>
      </c>
      <c r="M44" s="103">
        <f>M40+M41+M42+M43</f>
        <v>344.06119912500009</v>
      </c>
      <c r="N44" s="107">
        <f>N40+N41+N42+N43</f>
        <v>361.26425908125009</v>
      </c>
    </row>
    <row r="45" spans="2:14" ht="15" customHeight="1" x14ac:dyDescent="0.3">
      <c r="B45" s="114" t="s">
        <v>42</v>
      </c>
      <c r="C45" s="58"/>
      <c r="D45" s="58"/>
      <c r="E45" s="58"/>
      <c r="F45" s="58"/>
      <c r="G45" s="58"/>
      <c r="H45" s="58"/>
      <c r="I45" s="58"/>
      <c r="J45" s="58"/>
      <c r="K45" s="58"/>
      <c r="L45" s="58"/>
      <c r="M45" s="58"/>
      <c r="N45" s="108"/>
    </row>
    <row r="46" spans="2:14" ht="15" customHeight="1" x14ac:dyDescent="0.3">
      <c r="B46" s="115" t="s">
        <v>255</v>
      </c>
      <c r="C46" s="53">
        <f>'Raw Data'!K21</f>
        <v>0</v>
      </c>
      <c r="D46" s="53">
        <f>'Raw Data'!L21</f>
        <v>6.06</v>
      </c>
      <c r="E46" s="53">
        <f>'Raw Data'!M21</f>
        <v>0</v>
      </c>
      <c r="F46" s="53">
        <f>'Raw Data'!N21</f>
        <v>0</v>
      </c>
      <c r="G46" s="53">
        <f>'Raw Data'!O21</f>
        <v>0</v>
      </c>
      <c r="H46" s="53">
        <f>'Raw Data'!P21</f>
        <v>0</v>
      </c>
      <c r="I46" s="53">
        <f>'Raw Data'!Q21</f>
        <v>0</v>
      </c>
      <c r="J46" s="53">
        <v>0</v>
      </c>
      <c r="K46" s="53">
        <v>0</v>
      </c>
      <c r="L46" s="53">
        <v>0</v>
      </c>
      <c r="M46" s="53">
        <v>0</v>
      </c>
      <c r="N46" s="105">
        <v>0</v>
      </c>
    </row>
    <row r="47" spans="2:14" ht="15" customHeight="1" x14ac:dyDescent="0.3">
      <c r="B47" s="115" t="s">
        <v>256</v>
      </c>
      <c r="C47" s="53">
        <f>'Raw Data'!K23</f>
        <v>1481.35</v>
      </c>
      <c r="D47" s="53">
        <f>'Raw Data'!L23</f>
        <v>1612.12</v>
      </c>
      <c r="E47" s="53">
        <f>'Raw Data'!M23</f>
        <v>1495.49</v>
      </c>
      <c r="F47" s="53">
        <f>'Raw Data'!N23</f>
        <v>1569.73</v>
      </c>
      <c r="G47" s="53">
        <f>'Raw Data'!O23</f>
        <v>1638.92</v>
      </c>
      <c r="H47" s="53">
        <f>'Raw Data'!P23</f>
        <v>1684.64</v>
      </c>
      <c r="I47" s="53">
        <f>'Raw Data'!Q23</f>
        <v>1883.71</v>
      </c>
      <c r="J47" s="53">
        <f>'IS ,BS Assumptions'!I51/365*J7</f>
        <v>2392.0369655080608</v>
      </c>
      <c r="K47" s="53">
        <f>'IS ,BS Assumptions'!J51/365*K7</f>
        <v>2572.5527218850493</v>
      </c>
      <c r="L47" s="53">
        <f>'IS ,BS Assumptions'!K51/365*L7</f>
        <v>2738.8059235514156</v>
      </c>
      <c r="M47" s="53">
        <f>'IS ,BS Assumptions'!L51/365*M7</f>
        <v>2890.7178728521153</v>
      </c>
      <c r="N47" s="105">
        <f>'IS ,BS Assumptions'!M51/365*N7</f>
        <v>3088.6532409795786</v>
      </c>
    </row>
    <row r="48" spans="2:14" ht="15" customHeight="1" x14ac:dyDescent="0.3">
      <c r="B48" s="115" t="s">
        <v>257</v>
      </c>
      <c r="C48" s="53">
        <f>'Raw Data'!K24</f>
        <v>406.59</v>
      </c>
      <c r="D48" s="53">
        <f>'Raw Data'!L24</f>
        <v>455.04</v>
      </c>
      <c r="E48" s="53">
        <f>'Raw Data'!M24</f>
        <v>548.66</v>
      </c>
      <c r="F48" s="53">
        <f>'Raw Data'!N24</f>
        <v>450.3</v>
      </c>
      <c r="G48" s="53">
        <f>'Raw Data'!O24</f>
        <v>399.52</v>
      </c>
      <c r="H48" s="53">
        <f>'Raw Data'!P24</f>
        <v>407.08</v>
      </c>
      <c r="I48" s="53">
        <f>'Raw Data'!Q24</f>
        <v>435.65</v>
      </c>
      <c r="J48" s="53">
        <f t="shared" ref="J48:N49" si="6">I48*1.06</f>
        <v>461.78899999999999</v>
      </c>
      <c r="K48" s="53">
        <f t="shared" si="6"/>
        <v>489.49634000000003</v>
      </c>
      <c r="L48" s="53">
        <f t="shared" si="6"/>
        <v>518.86612040000011</v>
      </c>
      <c r="M48" s="53">
        <f t="shared" si="6"/>
        <v>549.99808762400016</v>
      </c>
      <c r="N48" s="105">
        <f t="shared" si="6"/>
        <v>582.99797288144021</v>
      </c>
    </row>
    <row r="49" spans="2:14" ht="15" customHeight="1" x14ac:dyDescent="0.3">
      <c r="B49" s="115" t="s">
        <v>258</v>
      </c>
      <c r="C49" s="53">
        <f>'Raw Data'!K25</f>
        <v>480.14</v>
      </c>
      <c r="D49" s="53">
        <f>'Raw Data'!L25</f>
        <v>546.07000000000005</v>
      </c>
      <c r="E49" s="53">
        <f>'Raw Data'!M25</f>
        <v>625.13</v>
      </c>
      <c r="F49" s="53">
        <f>'Raw Data'!N25</f>
        <v>631.39</v>
      </c>
      <c r="G49" s="53">
        <f>'Raw Data'!O25</f>
        <v>646.74</v>
      </c>
      <c r="H49" s="53">
        <f>'Raw Data'!P25</f>
        <v>754.53</v>
      </c>
      <c r="I49" s="53">
        <f>'Raw Data'!Q25</f>
        <v>832.86</v>
      </c>
      <c r="J49" s="53">
        <f t="shared" si="6"/>
        <v>882.83160000000009</v>
      </c>
      <c r="K49" s="53">
        <f t="shared" si="6"/>
        <v>935.80149600000016</v>
      </c>
      <c r="L49" s="53">
        <f t="shared" si="6"/>
        <v>991.94958576000022</v>
      </c>
      <c r="M49" s="53">
        <f t="shared" si="6"/>
        <v>1051.4665609056003</v>
      </c>
      <c r="N49" s="105">
        <f t="shared" si="6"/>
        <v>1114.5545545599364</v>
      </c>
    </row>
    <row r="50" spans="2:14" ht="15" customHeight="1" x14ac:dyDescent="0.3">
      <c r="B50" s="106" t="s">
        <v>53</v>
      </c>
      <c r="C50" s="103">
        <f>'Raw Data'!K26</f>
        <v>2368.08</v>
      </c>
      <c r="D50" s="103">
        <f>'Raw Data'!L26</f>
        <v>2619.29</v>
      </c>
      <c r="E50" s="103">
        <f>'Raw Data'!M26</f>
        <v>2691.94</v>
      </c>
      <c r="F50" s="103">
        <f>'Raw Data'!N26</f>
        <v>2659.34</v>
      </c>
      <c r="G50" s="103">
        <f>'Raw Data'!O26</f>
        <v>2699.74</v>
      </c>
      <c r="H50" s="103">
        <f>'Raw Data'!P26</f>
        <v>2862.25</v>
      </c>
      <c r="I50" s="103">
        <f>'Raw Data'!Q26</f>
        <v>3183.42</v>
      </c>
      <c r="J50" s="103">
        <f>J46+J47+J48+J49</f>
        <v>3736.657565508061</v>
      </c>
      <c r="K50" s="103">
        <f>K46+K47+K48+K49</f>
        <v>3997.8505578850495</v>
      </c>
      <c r="L50" s="103">
        <f>L46+L47+L48+L49</f>
        <v>4249.6216297114161</v>
      </c>
      <c r="M50" s="103">
        <f>M46+M47+M48+M49</f>
        <v>4492.1825213817156</v>
      </c>
      <c r="N50" s="107">
        <f>N46+N47+N48+N49</f>
        <v>4786.2057684209549</v>
      </c>
    </row>
    <row r="51" spans="2:14" x14ac:dyDescent="0.3">
      <c r="B51" s="70"/>
      <c r="C51" s="58"/>
      <c r="D51" s="58"/>
      <c r="E51" s="58"/>
      <c r="F51" s="58"/>
      <c r="G51" s="58"/>
      <c r="H51" s="58"/>
      <c r="I51" s="58"/>
      <c r="J51" s="58"/>
      <c r="K51" s="58"/>
      <c r="L51" s="58"/>
      <c r="M51" s="58"/>
      <c r="N51" s="108"/>
    </row>
    <row r="52" spans="2:14" ht="15" customHeight="1" x14ac:dyDescent="0.3">
      <c r="B52" s="104" t="s">
        <v>259</v>
      </c>
      <c r="C52" s="113">
        <f>'Raw Data'!K28</f>
        <v>18418.810000000001</v>
      </c>
      <c r="D52" s="113">
        <f>'Raw Data'!L28</f>
        <v>20405.66</v>
      </c>
      <c r="E52" s="113">
        <f>'Raw Data'!M28</f>
        <v>22963.74</v>
      </c>
      <c r="F52" s="113">
        <f>'Raw Data'!N28</f>
        <v>25449.05</v>
      </c>
      <c r="G52" s="113">
        <f>'Raw Data'!O28</f>
        <v>27596.47</v>
      </c>
      <c r="H52" s="113">
        <f>'Raw Data'!P28</f>
        <v>31053.23</v>
      </c>
      <c r="I52" s="113">
        <f>'Raw Data'!Q28</f>
        <v>35565.72</v>
      </c>
      <c r="J52" s="113">
        <f>J38+J44+J50</f>
        <v>36019.379124449231</v>
      </c>
      <c r="K52" s="113">
        <f>K38+K44+K50</f>
        <v>36032.003985786963</v>
      </c>
      <c r="L52" s="113">
        <f>L38+L44+L50</f>
        <v>35861.037677850938</v>
      </c>
      <c r="M52" s="113">
        <f>M38+M44+M50</f>
        <v>35581.010997178142</v>
      </c>
      <c r="N52" s="116">
        <f>N38+N44+N50</f>
        <v>35521.055231362778</v>
      </c>
    </row>
    <row r="53" spans="2:14" x14ac:dyDescent="0.3">
      <c r="B53" s="25"/>
      <c r="C53" s="26"/>
      <c r="D53" s="26"/>
      <c r="E53" s="26"/>
      <c r="F53" s="26"/>
      <c r="G53" s="26"/>
      <c r="H53" s="26"/>
      <c r="I53" s="26"/>
      <c r="J53" s="26"/>
      <c r="K53" s="26"/>
      <c r="L53" s="26"/>
      <c r="M53" s="26"/>
      <c r="N53" s="110"/>
    </row>
    <row r="54" spans="2:14" ht="15.75" customHeight="1" x14ac:dyDescent="0.3">
      <c r="B54" s="381" t="s">
        <v>260</v>
      </c>
      <c r="C54" s="382"/>
      <c r="D54" s="382"/>
      <c r="E54" s="382"/>
      <c r="F54" s="382"/>
      <c r="G54" s="382"/>
      <c r="H54" s="382"/>
      <c r="I54" s="382"/>
      <c r="J54" s="382"/>
      <c r="K54" s="382"/>
      <c r="L54" s="382"/>
      <c r="M54" s="382"/>
      <c r="N54" s="383"/>
    </row>
    <row r="55" spans="2:14" ht="15" customHeight="1" x14ac:dyDescent="0.3">
      <c r="B55" s="114" t="s">
        <v>59</v>
      </c>
      <c r="C55" s="58"/>
      <c r="D55" s="58"/>
      <c r="E55" s="58"/>
      <c r="F55" s="58"/>
      <c r="G55" s="58"/>
      <c r="H55" s="58"/>
      <c r="I55" s="58"/>
      <c r="J55" s="58"/>
      <c r="K55" s="58"/>
      <c r="L55" s="58"/>
      <c r="M55" s="58"/>
      <c r="N55" s="108"/>
    </row>
    <row r="56" spans="2:14" ht="15" customHeight="1" x14ac:dyDescent="0.3">
      <c r="B56" s="115" t="s">
        <v>261</v>
      </c>
      <c r="C56" s="53">
        <f>'Raw Data'!K30</f>
        <v>4424.79</v>
      </c>
      <c r="D56" s="53">
        <f>'Raw Data'!L30</f>
        <v>4344.2700000000004</v>
      </c>
      <c r="E56" s="53">
        <f>'Raw Data'!M30</f>
        <v>4297.7700000000004</v>
      </c>
      <c r="F56" s="53">
        <f>'Raw Data'!N30</f>
        <v>4114.25</v>
      </c>
      <c r="G56" s="53">
        <f>'Raw Data'!O30</f>
        <v>4251.53</v>
      </c>
      <c r="H56" s="53">
        <f>'Raw Data'!P30</f>
        <v>4273.41</v>
      </c>
      <c r="I56" s="53">
        <f>'Raw Data'!Q30</f>
        <v>4403.16</v>
      </c>
      <c r="J56" s="53">
        <f>'PPE Schedule'!J10</f>
        <v>4459.5682476414477</v>
      </c>
      <c r="K56" s="53">
        <f>'PPE Schedule'!K10</f>
        <v>4605.194643264982</v>
      </c>
      <c r="L56" s="53">
        <f>'PPE Schedule'!L10</f>
        <v>4807.0563501557153</v>
      </c>
      <c r="M56" s="53">
        <f>'PPE Schedule'!M10</f>
        <v>5075.3129408924979</v>
      </c>
      <c r="N56" s="105">
        <f>'PPE Schedule'!N10</f>
        <v>5433.8346242823136</v>
      </c>
    </row>
    <row r="57" spans="2:14" ht="15" customHeight="1" x14ac:dyDescent="0.3">
      <c r="B57" s="115" t="s">
        <v>262</v>
      </c>
      <c r="C57" s="53">
        <f>'Raw Data'!K36</f>
        <v>3865.46</v>
      </c>
      <c r="D57" s="53">
        <f>'Raw Data'!L36</f>
        <v>6481.76</v>
      </c>
      <c r="E57" s="53">
        <f>'Raw Data'!M36</f>
        <v>7844.78</v>
      </c>
      <c r="F57" s="53">
        <f>'Raw Data'!N36</f>
        <v>8998.23</v>
      </c>
      <c r="G57" s="53">
        <f>'Raw Data'!O36</f>
        <v>9199.6299999999992</v>
      </c>
      <c r="H57" s="53">
        <f>'Raw Data'!P36</f>
        <v>9525.66</v>
      </c>
      <c r="I57" s="53">
        <f>'Raw Data'!Q36</f>
        <v>10614.55</v>
      </c>
      <c r="J57" s="53">
        <f>I57*1.08</f>
        <v>11463.714</v>
      </c>
      <c r="K57" s="53">
        <f>J57*1.08</f>
        <v>12380.81112</v>
      </c>
      <c r="L57" s="53">
        <f>K57*1.08</f>
        <v>13371.276009600002</v>
      </c>
      <c r="M57" s="53">
        <f>L57*1.08</f>
        <v>14440.978090368004</v>
      </c>
      <c r="N57" s="105">
        <f>M57*1.08</f>
        <v>15596.256337597446</v>
      </c>
    </row>
    <row r="58" spans="2:14" ht="15" customHeight="1" x14ac:dyDescent="0.3">
      <c r="B58" s="115" t="s">
        <v>263</v>
      </c>
      <c r="C58" s="53">
        <f>'Raw Data'!K40</f>
        <v>609.23</v>
      </c>
      <c r="D58" s="53">
        <f>'Raw Data'!L40</f>
        <v>539.32000000000005</v>
      </c>
      <c r="E58" s="53">
        <f>'Raw Data'!M40</f>
        <v>615.26</v>
      </c>
      <c r="F58" s="53">
        <f>'Raw Data'!N40</f>
        <v>555.67999999999995</v>
      </c>
      <c r="G58" s="53">
        <f>'Raw Data'!O40</f>
        <v>748.77</v>
      </c>
      <c r="H58" s="53">
        <f>'Raw Data'!P40</f>
        <v>1904.67</v>
      </c>
      <c r="I58" s="53">
        <f>'Raw Data'!Q40</f>
        <v>1735.25</v>
      </c>
      <c r="J58" s="53">
        <f t="shared" ref="J58:N59" si="7">I58*1.03</f>
        <v>1787.3075000000001</v>
      </c>
      <c r="K58" s="53">
        <f t="shared" si="7"/>
        <v>1840.9267250000003</v>
      </c>
      <c r="L58" s="53">
        <f t="shared" si="7"/>
        <v>1896.1545267500003</v>
      </c>
      <c r="M58" s="53">
        <f t="shared" si="7"/>
        <v>1953.0391625525003</v>
      </c>
      <c r="N58" s="105">
        <f t="shared" si="7"/>
        <v>2011.6303374290753</v>
      </c>
    </row>
    <row r="59" spans="2:14" ht="15" customHeight="1" x14ac:dyDescent="0.3">
      <c r="B59" s="117" t="s">
        <v>264</v>
      </c>
      <c r="C59" s="53">
        <f>'Raw Data'!K37+'Raw Data'!K41</f>
        <v>40.68</v>
      </c>
      <c r="D59" s="53">
        <f>'Raw Data'!L37+'Raw Data'!L41</f>
        <v>13.25</v>
      </c>
      <c r="E59" s="53">
        <f>'Raw Data'!M37+'Raw Data'!M41</f>
        <v>13.75</v>
      </c>
      <c r="F59" s="53">
        <f>'Raw Data'!N37+'Raw Data'!N41</f>
        <v>346.98</v>
      </c>
      <c r="G59" s="53">
        <f>'Raw Data'!O37+'Raw Data'!O41</f>
        <v>25.41</v>
      </c>
      <c r="H59" s="53">
        <f>'Raw Data'!P37+'Raw Data'!P41</f>
        <v>442.69</v>
      </c>
      <c r="I59" s="53">
        <f>'Raw Data'!Q37+'Raw Data'!Q41</f>
        <v>403.99</v>
      </c>
      <c r="J59" s="53">
        <f t="shared" si="7"/>
        <v>416.10970000000003</v>
      </c>
      <c r="K59" s="53">
        <f t="shared" si="7"/>
        <v>428.59299100000004</v>
      </c>
      <c r="L59" s="53">
        <f t="shared" si="7"/>
        <v>441.45078073000008</v>
      </c>
      <c r="M59" s="53">
        <f t="shared" si="7"/>
        <v>454.6943041519001</v>
      </c>
      <c r="N59" s="105">
        <f t="shared" si="7"/>
        <v>468.3351332764571</v>
      </c>
    </row>
    <row r="60" spans="2:14" ht="15" customHeight="1" x14ac:dyDescent="0.3">
      <c r="B60" s="106" t="s">
        <v>265</v>
      </c>
      <c r="C60" s="103">
        <f>'Raw Data'!K42</f>
        <v>8940.16</v>
      </c>
      <c r="D60" s="103">
        <f>'Raw Data'!L42</f>
        <v>11378.6</v>
      </c>
      <c r="E60" s="103">
        <f>'Raw Data'!M42</f>
        <v>12771.56</v>
      </c>
      <c r="F60" s="103">
        <f>'Raw Data'!N42</f>
        <v>14015.14</v>
      </c>
      <c r="G60" s="103">
        <f>'Raw Data'!O42</f>
        <v>14225.34</v>
      </c>
      <c r="H60" s="103">
        <f>'Raw Data'!P42</f>
        <v>16146.43</v>
      </c>
      <c r="I60" s="103">
        <f>'Raw Data'!Q42</f>
        <v>17156.95</v>
      </c>
      <c r="J60" s="103">
        <f>J56+J57+J58+J59</f>
        <v>18126.699447641447</v>
      </c>
      <c r="K60" s="103">
        <f>K56+K57+K58+K59</f>
        <v>19255.525479264987</v>
      </c>
      <c r="L60" s="103">
        <f>L56+L57+L58+L59</f>
        <v>20515.937667235718</v>
      </c>
      <c r="M60" s="103">
        <f>M56+M57+M58+M59</f>
        <v>21924.024497964903</v>
      </c>
      <c r="N60" s="107">
        <f>N56+N57+N58+N59</f>
        <v>23510.056432585294</v>
      </c>
    </row>
    <row r="61" spans="2:14" ht="15" customHeight="1" x14ac:dyDescent="0.3">
      <c r="B61" s="114" t="s">
        <v>85</v>
      </c>
      <c r="C61" s="58"/>
      <c r="D61" s="58"/>
      <c r="E61" s="58"/>
      <c r="F61" s="58"/>
      <c r="G61" s="58"/>
      <c r="H61" s="58"/>
      <c r="I61" s="58"/>
      <c r="J61" s="58"/>
      <c r="K61" s="58"/>
      <c r="L61" s="58"/>
      <c r="M61" s="58"/>
      <c r="N61" s="108"/>
    </row>
    <row r="62" spans="2:14" ht="15" customHeight="1" x14ac:dyDescent="0.3">
      <c r="B62" s="115" t="s">
        <v>266</v>
      </c>
      <c r="C62" s="53">
        <f>'Raw Data'!K45</f>
        <v>2868.41</v>
      </c>
      <c r="D62" s="53">
        <f>'Raw Data'!L45</f>
        <v>3021.36</v>
      </c>
      <c r="E62" s="53">
        <f>'Raw Data'!M45</f>
        <v>3085.81</v>
      </c>
      <c r="F62" s="53">
        <f>'Raw Data'!N45</f>
        <v>3485.81</v>
      </c>
      <c r="G62" s="53">
        <f>'Raw Data'!O45</f>
        <v>3277.36</v>
      </c>
      <c r="H62" s="53">
        <f>'Raw Data'!P45</f>
        <v>3254.28</v>
      </c>
      <c r="I62" s="53">
        <f>'Raw Data'!Q45</f>
        <v>3607.12</v>
      </c>
      <c r="J62" s="53">
        <f>'IS ,BS Assumptions'!I47/365*J7</f>
        <v>4771.7631583768771</v>
      </c>
      <c r="K62" s="53">
        <f>'IS ,BS Assumptions'!J47/365*K7</f>
        <v>5154.0918752546422</v>
      </c>
      <c r="L62" s="53">
        <f>'IS ,BS Assumptions'!K47/365*L7</f>
        <v>5543.6306197311196</v>
      </c>
      <c r="M62" s="53">
        <f>'IS ,BS Assumptions'!L47/365*M7</f>
        <v>5831.8663323947212</v>
      </c>
      <c r="N62" s="105">
        <f>'IS ,BS Assumptions'!M47/365*N7</f>
        <v>6133.7939360611772</v>
      </c>
    </row>
    <row r="63" spans="2:14" ht="15" customHeight="1" x14ac:dyDescent="0.3">
      <c r="B63" s="115" t="s">
        <v>267</v>
      </c>
      <c r="C63" s="53">
        <f>'Raw Data'!K46</f>
        <v>3168.73</v>
      </c>
      <c r="D63" s="53">
        <f>'Raw Data'!L46</f>
        <v>3560.27</v>
      </c>
      <c r="E63" s="53">
        <f>'Raw Data'!M46</f>
        <v>3035.37</v>
      </c>
      <c r="F63" s="53">
        <f>'Raw Data'!N46</f>
        <v>2794.48</v>
      </c>
      <c r="G63" s="53">
        <f>'Raw Data'!O46</f>
        <v>2888.49</v>
      </c>
      <c r="H63" s="53">
        <f>'Raw Data'!P46</f>
        <v>2681.75</v>
      </c>
      <c r="I63" s="53">
        <f>'Raw Data'!Q46</f>
        <v>3859.99</v>
      </c>
      <c r="J63" s="53">
        <f>'IS ,BS Assumptions'!I49/365*J7</f>
        <v>4657.7513715511368</v>
      </c>
      <c r="K63" s="53">
        <f>'IS ,BS Assumptions'!J49/365*K7</f>
        <v>4936.3492333282948</v>
      </c>
      <c r="L63" s="53">
        <f>'IS ,BS Assumptions'!K49/365*L7</f>
        <v>5128.9715727653229</v>
      </c>
      <c r="M63" s="53">
        <f>'IS ,BS Assumptions'!L49/365*M7</f>
        <v>5336.5769584043064</v>
      </c>
      <c r="N63" s="105">
        <f>'IS ,BS Assumptions'!M49/365*N7</f>
        <v>5733.5636037435434</v>
      </c>
    </row>
    <row r="64" spans="2:14" ht="15" customHeight="1" x14ac:dyDescent="0.3">
      <c r="B64" s="115" t="s">
        <v>268</v>
      </c>
      <c r="C64" s="53">
        <f>'Raw Data'!K44</f>
        <v>2011.58</v>
      </c>
      <c r="D64" s="53">
        <f>'Raw Data'!L44</f>
        <v>834.43</v>
      </c>
      <c r="E64" s="53">
        <f>'Raw Data'!M44</f>
        <v>2004.84</v>
      </c>
      <c r="F64" s="53">
        <f>'Raw Data'!N44</f>
        <v>2038.8</v>
      </c>
      <c r="G64" s="53">
        <f>'Raw Data'!O44</f>
        <v>2771.44</v>
      </c>
      <c r="H64" s="53">
        <f>'Raw Data'!P44</f>
        <v>4383.59</v>
      </c>
      <c r="I64" s="53">
        <f>'Raw Data'!Q44</f>
        <v>6849.31</v>
      </c>
      <c r="J64" s="53">
        <f>I64*1.15</f>
        <v>7876.7065000000002</v>
      </c>
      <c r="K64" s="53">
        <f>J64*1.15</f>
        <v>9058.2124750000003</v>
      </c>
      <c r="L64" s="53">
        <f>K64*1.15</f>
        <v>10416.94434625</v>
      </c>
      <c r="M64" s="53">
        <f>L64*1.15</f>
        <v>11979.4859981875</v>
      </c>
      <c r="N64" s="105">
        <f>M64*1.15</f>
        <v>13776.408897915624</v>
      </c>
    </row>
    <row r="65" spans="2:14" ht="15" customHeight="1" x14ac:dyDescent="0.3">
      <c r="B65" s="115" t="s">
        <v>269</v>
      </c>
      <c r="C65" s="53">
        <f>'Raw Data'!K48</f>
        <v>992.7</v>
      </c>
      <c r="D65" s="53">
        <f>'Raw Data'!L48</f>
        <v>834.5</v>
      </c>
      <c r="E65" s="53">
        <f>'Raw Data'!M48</f>
        <v>904.65</v>
      </c>
      <c r="F65" s="53">
        <f>'Raw Data'!N48</f>
        <v>1376.26</v>
      </c>
      <c r="G65" s="53">
        <f>'Raw Data'!O48</f>
        <v>3143.24</v>
      </c>
      <c r="H65" s="53">
        <f>'Raw Data'!P48</f>
        <v>3714.46</v>
      </c>
      <c r="I65" s="53">
        <f>'Raw Data'!Q48</f>
        <v>3349.67</v>
      </c>
      <c r="J65" s="53">
        <f t="shared" ref="J65:N66" si="8">I65*1.05</f>
        <v>3517.1535000000003</v>
      </c>
      <c r="K65" s="53">
        <f t="shared" si="8"/>
        <v>3693.0111750000005</v>
      </c>
      <c r="L65" s="53">
        <f t="shared" si="8"/>
        <v>3877.6617337500006</v>
      </c>
      <c r="M65" s="53">
        <f t="shared" si="8"/>
        <v>4071.5448204375007</v>
      </c>
      <c r="N65" s="105">
        <f t="shared" si="8"/>
        <v>4275.1220614593758</v>
      </c>
    </row>
    <row r="66" spans="2:14" ht="15" customHeight="1" x14ac:dyDescent="0.3">
      <c r="B66" s="117" t="s">
        <v>270</v>
      </c>
      <c r="C66" s="53">
        <f>'Raw Data'!K49+'Raw Data'!K51</f>
        <v>262.67</v>
      </c>
      <c r="D66" s="53">
        <f>'Raw Data'!L49+'Raw Data'!L51</f>
        <v>253.43</v>
      </c>
      <c r="E66" s="53">
        <f>'Raw Data'!M49+'Raw Data'!M51</f>
        <v>286.70999999999998</v>
      </c>
      <c r="F66" s="53">
        <f>'Raw Data'!N49+'Raw Data'!N51</f>
        <v>310.52999999999997</v>
      </c>
      <c r="G66" s="53">
        <f>'Raw Data'!O49+'Raw Data'!O51</f>
        <v>324.14</v>
      </c>
      <c r="H66" s="53">
        <f>'Raw Data'!P49+'Raw Data'!P51</f>
        <v>539.52</v>
      </c>
      <c r="I66" s="53">
        <f>'Raw Data'!Q49+'Raw Data'!Q51</f>
        <v>464.23</v>
      </c>
      <c r="J66" s="53">
        <f t="shared" si="8"/>
        <v>487.44150000000002</v>
      </c>
      <c r="K66" s="53">
        <f t="shared" si="8"/>
        <v>511.81357500000001</v>
      </c>
      <c r="L66" s="53">
        <f t="shared" si="8"/>
        <v>537.40425375000007</v>
      </c>
      <c r="M66" s="53">
        <f t="shared" si="8"/>
        <v>564.27446643750011</v>
      </c>
      <c r="N66" s="105">
        <f t="shared" si="8"/>
        <v>592.48818975937513</v>
      </c>
    </row>
    <row r="67" spans="2:14" ht="15" customHeight="1" x14ac:dyDescent="0.3">
      <c r="B67" s="117" t="s">
        <v>271</v>
      </c>
      <c r="C67" s="53">
        <f>'Raw Data'!K47</f>
        <v>174.56</v>
      </c>
      <c r="D67" s="53">
        <f>'Raw Data'!L47</f>
        <v>523.07000000000005</v>
      </c>
      <c r="E67" s="53">
        <f>'Raw Data'!M47</f>
        <v>874.8</v>
      </c>
      <c r="F67" s="53">
        <f>'Raw Data'!N47</f>
        <v>1428.03</v>
      </c>
      <c r="G67" s="53">
        <f>'Raw Data'!O47</f>
        <v>966.46</v>
      </c>
      <c r="H67" s="53">
        <f>'Raw Data'!P47</f>
        <v>333.2</v>
      </c>
      <c r="I67" s="53">
        <f>'Raw Data'!Q47</f>
        <v>278.45</v>
      </c>
      <c r="J67" s="53">
        <f>J52-J60-J62-J63-J64-J65-J66</f>
        <v>-3418.1363531202323</v>
      </c>
      <c r="K67" s="53">
        <f>K52-K60-K62-K63-K64-K65-K66</f>
        <v>-6576.9998270609613</v>
      </c>
      <c r="L67" s="53">
        <f>L52-L60-L62-L63-L64-L65-L66</f>
        <v>-10159.512515631224</v>
      </c>
      <c r="M67" s="53">
        <f>M52-M60-M62-M63-M64-M65-M66</f>
        <v>-14126.762076648291</v>
      </c>
      <c r="N67" s="105">
        <f>N52-N60-N62-N63-N64-N65-N66</f>
        <v>-18500.377890161613</v>
      </c>
    </row>
    <row r="68" spans="2:14" ht="15" customHeight="1" x14ac:dyDescent="0.3">
      <c r="B68" s="106" t="s">
        <v>99</v>
      </c>
      <c r="C68" s="103">
        <f>'Raw Data'!K50</f>
        <v>9478.65</v>
      </c>
      <c r="D68" s="103">
        <f>'Raw Data'!L50</f>
        <v>9027.06</v>
      </c>
      <c r="E68" s="103">
        <f>'Raw Data'!M50</f>
        <v>10192.18</v>
      </c>
      <c r="F68" s="103">
        <f>'Raw Data'!N50</f>
        <v>11335.04</v>
      </c>
      <c r="G68" s="103">
        <f>'Raw Data'!O50</f>
        <v>13371.13</v>
      </c>
      <c r="H68" s="103">
        <f>'Raw Data'!P50</f>
        <v>14857.84</v>
      </c>
      <c r="I68" s="103">
        <f>'Raw Data'!Q50</f>
        <v>18369.22</v>
      </c>
      <c r="J68" s="103">
        <f>J62+J63+J64+J67+J65+J66</f>
        <v>17892.67967680778</v>
      </c>
      <c r="K68" s="103">
        <f>K62+K63+K64+K67+K65+K66</f>
        <v>16776.478506521977</v>
      </c>
      <c r="L68" s="103">
        <f>L62+L63+L64+L67+L65+L66</f>
        <v>15345.100010615221</v>
      </c>
      <c r="M68" s="103">
        <f>M62+M63+M64+M67+M65+M66</f>
        <v>13656.986499213235</v>
      </c>
      <c r="N68" s="107">
        <f>N62+N63+N64+N67+N65+N66</f>
        <v>12010.998798777486</v>
      </c>
    </row>
    <row r="69" spans="2:14" x14ac:dyDescent="0.3">
      <c r="B69" s="25"/>
      <c r="C69" s="26"/>
      <c r="D69" s="26"/>
      <c r="E69" s="26"/>
      <c r="F69" s="26"/>
      <c r="G69" s="26"/>
      <c r="H69" s="26"/>
      <c r="I69" s="26"/>
      <c r="J69" s="26"/>
      <c r="K69" s="26"/>
      <c r="L69" s="26"/>
      <c r="M69" s="26"/>
      <c r="N69" s="110"/>
    </row>
    <row r="70" spans="2:14" ht="15" customHeight="1" thickBot="1" x14ac:dyDescent="0.35">
      <c r="B70" s="118" t="s">
        <v>103</v>
      </c>
      <c r="C70" s="119">
        <f>'Raw Data'!K52</f>
        <v>18418.810000000001</v>
      </c>
      <c r="D70" s="119">
        <f>'Raw Data'!L52</f>
        <v>20405.66</v>
      </c>
      <c r="E70" s="119">
        <f>'Raw Data'!M52</f>
        <v>22963.74</v>
      </c>
      <c r="F70" s="119">
        <f>'Raw Data'!N52</f>
        <v>25449.05</v>
      </c>
      <c r="G70" s="119">
        <f>'Raw Data'!O52</f>
        <v>27596.47</v>
      </c>
      <c r="H70" s="119">
        <f>'Raw Data'!P52</f>
        <v>31053.23</v>
      </c>
      <c r="I70" s="119">
        <f>'Raw Data'!Q52</f>
        <v>35565.72</v>
      </c>
      <c r="J70" s="119">
        <f>J60+J68</f>
        <v>36019.379124449231</v>
      </c>
      <c r="K70" s="119">
        <f>K60+K68</f>
        <v>36032.003985786963</v>
      </c>
      <c r="L70" s="119">
        <f>L60+L68</f>
        <v>35861.037677850938</v>
      </c>
      <c r="M70" s="119">
        <f>M60+M68</f>
        <v>35581.010997178135</v>
      </c>
      <c r="N70" s="120">
        <f>N60+N68</f>
        <v>35521.055231362778</v>
      </c>
    </row>
    <row r="73" spans="2:14" x14ac:dyDescent="0.3">
      <c r="B73" s="134" t="s">
        <v>460</v>
      </c>
      <c r="C73" s="135"/>
      <c r="D73" s="135"/>
      <c r="E73" s="135"/>
      <c r="F73" s="135"/>
      <c r="G73" s="135"/>
      <c r="H73" s="136"/>
      <c r="I73" s="136"/>
      <c r="J73" s="136"/>
      <c r="K73" s="136"/>
      <c r="L73" s="136"/>
    </row>
    <row r="74" spans="2:14" ht="15" thickBot="1" x14ac:dyDescent="0.35">
      <c r="B74" s="137"/>
      <c r="C74" s="135"/>
      <c r="D74" s="135"/>
      <c r="E74" s="135"/>
      <c r="F74" s="135"/>
      <c r="G74" s="135"/>
      <c r="H74" s="136"/>
      <c r="I74" s="136"/>
      <c r="J74" s="136"/>
      <c r="K74" s="136"/>
      <c r="L74" s="136"/>
    </row>
    <row r="75" spans="2:14" ht="27.6" x14ac:dyDescent="0.3">
      <c r="B75" s="63" t="s">
        <v>163</v>
      </c>
      <c r="C75" s="64" t="s">
        <v>164</v>
      </c>
      <c r="D75" s="64" t="s">
        <v>165</v>
      </c>
      <c r="E75" s="64" t="s">
        <v>166</v>
      </c>
      <c r="F75" s="64" t="s">
        <v>167</v>
      </c>
      <c r="G75" s="64" t="s">
        <v>168</v>
      </c>
      <c r="H75" s="64" t="s">
        <v>169</v>
      </c>
      <c r="I75" s="64" t="s">
        <v>170</v>
      </c>
      <c r="J75" s="64" t="s">
        <v>171</v>
      </c>
      <c r="K75" s="64" t="s">
        <v>172</v>
      </c>
      <c r="L75" s="64" t="s">
        <v>173</v>
      </c>
      <c r="M75" s="64" t="s">
        <v>174</v>
      </c>
      <c r="N75" s="65" t="s">
        <v>175</v>
      </c>
    </row>
    <row r="76" spans="2:14" x14ac:dyDescent="0.3">
      <c r="B76" s="138" t="s">
        <v>461</v>
      </c>
      <c r="C76" s="139">
        <f t="shared" ref="C76:H76" si="9">C23</f>
        <v>2492.83</v>
      </c>
      <c r="D76" s="139">
        <f t="shared" si="9"/>
        <v>2964.31</v>
      </c>
      <c r="E76" s="139">
        <f t="shared" si="9"/>
        <v>3207.63</v>
      </c>
      <c r="F76" s="139">
        <f t="shared" si="9"/>
        <v>3814.77</v>
      </c>
      <c r="G76" s="139">
        <f t="shared" si="9"/>
        <v>3375.01</v>
      </c>
      <c r="H76" s="139">
        <f t="shared" si="9"/>
        <v>5310.03</v>
      </c>
      <c r="I76" s="139">
        <f>I23</f>
        <v>6468.82</v>
      </c>
      <c r="J76" s="139">
        <f>J23</f>
        <v>1941.9287597124462</v>
      </c>
      <c r="K76" s="139">
        <f t="shared" ref="K76:N76" si="10">K23</f>
        <v>2164.4869135680947</v>
      </c>
      <c r="L76" s="139">
        <f t="shared" si="10"/>
        <v>2374.538671220977</v>
      </c>
      <c r="M76" s="139">
        <f t="shared" si="10"/>
        <v>2662.8471207754992</v>
      </c>
      <c r="N76" s="139">
        <f t="shared" si="10"/>
        <v>3302.1960773837563</v>
      </c>
    </row>
    <row r="77" spans="2:14" x14ac:dyDescent="0.3">
      <c r="B77" s="138" t="s">
        <v>462</v>
      </c>
      <c r="C77" s="139">
        <f t="shared" ref="C77:H77" si="11">C17</f>
        <v>569.72</v>
      </c>
      <c r="D77" s="139">
        <f t="shared" si="11"/>
        <v>599.78</v>
      </c>
      <c r="E77" s="139">
        <f t="shared" si="11"/>
        <v>468.62</v>
      </c>
      <c r="F77" s="139">
        <f t="shared" si="11"/>
        <v>460.01</v>
      </c>
      <c r="G77" s="139">
        <f t="shared" si="11"/>
        <v>595.91</v>
      </c>
      <c r="H77" s="139">
        <f t="shared" si="11"/>
        <v>587.59</v>
      </c>
      <c r="I77" s="139">
        <f>I17</f>
        <v>573.89</v>
      </c>
      <c r="J77" s="139">
        <f>J17</f>
        <v>704.50559999999996</v>
      </c>
      <c r="K77" s="139">
        <f t="shared" ref="K77:N77" si="12">K17</f>
        <v>713.53091962263159</v>
      </c>
      <c r="L77" s="139">
        <f t="shared" si="12"/>
        <v>736.83114292239713</v>
      </c>
      <c r="M77" s="139">
        <f t="shared" si="12"/>
        <v>721.05845252335723</v>
      </c>
      <c r="N77" s="139">
        <f t="shared" si="12"/>
        <v>761.29694113387461</v>
      </c>
    </row>
    <row r="78" spans="2:14" x14ac:dyDescent="0.3">
      <c r="B78" s="140" t="s">
        <v>463</v>
      </c>
      <c r="C78" s="141">
        <f t="shared" ref="C78:H78" si="13">C18</f>
        <v>16.97</v>
      </c>
      <c r="D78" s="141">
        <f t="shared" si="13"/>
        <v>36.049999999999997</v>
      </c>
      <c r="E78" s="141">
        <f t="shared" si="13"/>
        <v>45.07</v>
      </c>
      <c r="F78" s="141">
        <f t="shared" si="13"/>
        <v>26.93</v>
      </c>
      <c r="G78" s="141">
        <f t="shared" si="13"/>
        <v>22.27</v>
      </c>
      <c r="H78" s="141">
        <f t="shared" si="13"/>
        <v>20.25</v>
      </c>
      <c r="I78" s="141">
        <f>I18</f>
        <v>15.11</v>
      </c>
      <c r="J78" s="141">
        <f>J18</f>
        <v>18</v>
      </c>
      <c r="K78" s="141">
        <f t="shared" ref="K78:N78" si="14">K18</f>
        <v>18</v>
      </c>
      <c r="L78" s="141">
        <f t="shared" si="14"/>
        <v>20</v>
      </c>
      <c r="M78" s="141">
        <f t="shared" si="14"/>
        <v>20</v>
      </c>
      <c r="N78" s="141">
        <f t="shared" si="14"/>
        <v>22</v>
      </c>
    </row>
    <row r="79" spans="2:14" x14ac:dyDescent="0.3">
      <c r="B79" s="138" t="s">
        <v>464</v>
      </c>
      <c r="C79" s="139">
        <f t="shared" ref="C79:H79" si="15">SUM(C76:C78)</f>
        <v>3079.52</v>
      </c>
      <c r="D79" s="139">
        <f t="shared" si="15"/>
        <v>3600.1400000000003</v>
      </c>
      <c r="E79" s="139">
        <f t="shared" si="15"/>
        <v>3721.32</v>
      </c>
      <c r="F79" s="139">
        <f t="shared" si="15"/>
        <v>4301.71</v>
      </c>
      <c r="G79" s="139">
        <f t="shared" si="15"/>
        <v>3993.19</v>
      </c>
      <c r="H79" s="139">
        <f t="shared" si="15"/>
        <v>5917.87</v>
      </c>
      <c r="I79" s="139">
        <f>SUM(I76:I78)</f>
        <v>7057.82</v>
      </c>
      <c r="J79" s="139">
        <f>SUM(J76:J78)</f>
        <v>2664.4343597124462</v>
      </c>
      <c r="K79" s="139">
        <f t="shared" ref="K79:N79" si="16">SUM(K76:K78)</f>
        <v>2896.0178331907264</v>
      </c>
      <c r="L79" s="139">
        <f t="shared" si="16"/>
        <v>3131.3698141433742</v>
      </c>
      <c r="M79" s="139">
        <f t="shared" si="16"/>
        <v>3403.9055732988563</v>
      </c>
      <c r="N79" s="139">
        <f t="shared" si="16"/>
        <v>4085.4930185176308</v>
      </c>
    </row>
    <row r="80" spans="2:14" x14ac:dyDescent="0.3">
      <c r="B80" s="138" t="s">
        <v>465</v>
      </c>
      <c r="C80" s="139"/>
      <c r="D80" s="139"/>
      <c r="E80" s="139"/>
      <c r="F80" s="139"/>
      <c r="G80" s="139"/>
      <c r="H80" s="139"/>
      <c r="I80" s="139"/>
      <c r="J80" s="139"/>
      <c r="K80" s="139"/>
      <c r="L80" s="139"/>
      <c r="M80" s="139"/>
      <c r="N80" s="139"/>
    </row>
    <row r="81" spans="2:14" x14ac:dyDescent="0.3">
      <c r="B81" s="138" t="s">
        <v>89</v>
      </c>
      <c r="C81" s="139">
        <f t="shared" ref="C81:H81" si="17">C62</f>
        <v>2868.41</v>
      </c>
      <c r="D81" s="139">
        <f t="shared" si="17"/>
        <v>3021.36</v>
      </c>
      <c r="E81" s="139">
        <f t="shared" si="17"/>
        <v>3085.81</v>
      </c>
      <c r="F81" s="139">
        <f t="shared" si="17"/>
        <v>3485.81</v>
      </c>
      <c r="G81" s="139">
        <f t="shared" si="17"/>
        <v>3277.36</v>
      </c>
      <c r="H81" s="139">
        <f t="shared" si="17"/>
        <v>3254.28</v>
      </c>
      <c r="I81" s="139">
        <f>I62</f>
        <v>3607.12</v>
      </c>
      <c r="J81" s="139">
        <f t="shared" ref="J81:N81" si="18">J62</f>
        <v>4771.7631583768771</v>
      </c>
      <c r="K81" s="139">
        <f t="shared" si="18"/>
        <v>5154.0918752546422</v>
      </c>
      <c r="L81" s="139">
        <f t="shared" si="18"/>
        <v>5543.6306197311196</v>
      </c>
      <c r="M81" s="139">
        <f t="shared" si="18"/>
        <v>5831.8663323947212</v>
      </c>
      <c r="N81" s="139">
        <f t="shared" si="18"/>
        <v>6133.7939360611772</v>
      </c>
    </row>
    <row r="82" spans="2:14" x14ac:dyDescent="0.3">
      <c r="B82" s="142" t="s">
        <v>466</v>
      </c>
      <c r="C82" s="139">
        <f t="shared" ref="C82:H82" si="19">C63</f>
        <v>3168.73</v>
      </c>
      <c r="D82" s="139">
        <f t="shared" si="19"/>
        <v>3560.27</v>
      </c>
      <c r="E82" s="139">
        <f t="shared" si="19"/>
        <v>3035.37</v>
      </c>
      <c r="F82" s="139">
        <f t="shared" si="19"/>
        <v>2794.48</v>
      </c>
      <c r="G82" s="139">
        <f t="shared" si="19"/>
        <v>2888.49</v>
      </c>
      <c r="H82" s="139">
        <f t="shared" si="19"/>
        <v>2681.75</v>
      </c>
      <c r="I82" s="139">
        <f>I63</f>
        <v>3859.99</v>
      </c>
      <c r="J82" s="139">
        <f t="shared" ref="J82:N82" si="20">J63</f>
        <v>4657.7513715511368</v>
      </c>
      <c r="K82" s="139">
        <f t="shared" si="20"/>
        <v>4936.3492333282948</v>
      </c>
      <c r="L82" s="139">
        <f t="shared" si="20"/>
        <v>5128.9715727653229</v>
      </c>
      <c r="M82" s="139">
        <f t="shared" si="20"/>
        <v>5336.5769584043064</v>
      </c>
      <c r="N82" s="139">
        <f t="shared" si="20"/>
        <v>5733.5636037435434</v>
      </c>
    </row>
    <row r="83" spans="2:14" x14ac:dyDescent="0.3">
      <c r="B83" s="142" t="s">
        <v>467</v>
      </c>
      <c r="C83" s="139">
        <f t="shared" ref="C83:H83" si="21">C66</f>
        <v>262.67</v>
      </c>
      <c r="D83" s="139">
        <f t="shared" si="21"/>
        <v>253.43</v>
      </c>
      <c r="E83" s="139">
        <f t="shared" si="21"/>
        <v>286.70999999999998</v>
      </c>
      <c r="F83" s="139">
        <f t="shared" si="21"/>
        <v>310.52999999999997</v>
      </c>
      <c r="G83" s="139">
        <f t="shared" si="21"/>
        <v>324.14</v>
      </c>
      <c r="H83" s="139">
        <f t="shared" si="21"/>
        <v>539.52</v>
      </c>
      <c r="I83" s="139">
        <f>I66</f>
        <v>464.23</v>
      </c>
      <c r="J83" s="139">
        <f t="shared" ref="J83:N83" si="22">J66</f>
        <v>487.44150000000002</v>
      </c>
      <c r="K83" s="139">
        <f t="shared" si="22"/>
        <v>511.81357500000001</v>
      </c>
      <c r="L83" s="139">
        <f t="shared" si="22"/>
        <v>537.40425375000007</v>
      </c>
      <c r="M83" s="139">
        <f t="shared" si="22"/>
        <v>564.27446643750011</v>
      </c>
      <c r="N83" s="139">
        <f t="shared" si="22"/>
        <v>592.48818975937513</v>
      </c>
    </row>
    <row r="84" spans="2:14" x14ac:dyDescent="0.3">
      <c r="B84" s="142" t="s">
        <v>472</v>
      </c>
      <c r="C84" s="139">
        <f t="shared" ref="C84:H84" si="23">SUM(C81:C83)</f>
        <v>6299.8099999999995</v>
      </c>
      <c r="D84" s="139">
        <f t="shared" si="23"/>
        <v>6835.06</v>
      </c>
      <c r="E84" s="139">
        <f t="shared" si="23"/>
        <v>6407.89</v>
      </c>
      <c r="F84" s="139">
        <f t="shared" si="23"/>
        <v>6590.82</v>
      </c>
      <c r="G84" s="139">
        <f t="shared" si="23"/>
        <v>6489.9900000000007</v>
      </c>
      <c r="H84" s="139">
        <f t="shared" si="23"/>
        <v>6475.5500000000011</v>
      </c>
      <c r="I84" s="139">
        <f>SUM(I81:I83)</f>
        <v>7931.34</v>
      </c>
      <c r="J84" s="139">
        <f t="shared" ref="J84:N84" si="24">SUM(J81:J83)</f>
        <v>9916.9560299280147</v>
      </c>
      <c r="K84" s="139">
        <f t="shared" si="24"/>
        <v>10602.254683582938</v>
      </c>
      <c r="L84" s="139">
        <f t="shared" si="24"/>
        <v>11210.006446246443</v>
      </c>
      <c r="M84" s="139">
        <f t="shared" si="24"/>
        <v>11732.717757236527</v>
      </c>
      <c r="N84" s="139">
        <f t="shared" si="24"/>
        <v>12459.845729564096</v>
      </c>
    </row>
    <row r="85" spans="2:14" x14ac:dyDescent="0.3">
      <c r="B85" s="142" t="s">
        <v>468</v>
      </c>
      <c r="C85" s="139">
        <f t="shared" ref="C85:H85" si="25">C47</f>
        <v>1481.35</v>
      </c>
      <c r="D85" s="139">
        <f t="shared" si="25"/>
        <v>1612.12</v>
      </c>
      <c r="E85" s="139">
        <f t="shared" si="25"/>
        <v>1495.49</v>
      </c>
      <c r="F85" s="139">
        <f t="shared" si="25"/>
        <v>1569.73</v>
      </c>
      <c r="G85" s="139">
        <f t="shared" si="25"/>
        <v>1638.92</v>
      </c>
      <c r="H85" s="139">
        <f t="shared" si="25"/>
        <v>1684.64</v>
      </c>
      <c r="I85" s="139">
        <f>I47</f>
        <v>1883.71</v>
      </c>
      <c r="J85" s="139">
        <f t="shared" ref="J85:N85" si="26">J47</f>
        <v>2392.0369655080608</v>
      </c>
      <c r="K85" s="139">
        <f t="shared" si="26"/>
        <v>2572.5527218850493</v>
      </c>
      <c r="L85" s="139">
        <f t="shared" si="26"/>
        <v>2738.8059235514156</v>
      </c>
      <c r="M85" s="139">
        <f t="shared" si="26"/>
        <v>2890.7178728521153</v>
      </c>
      <c r="N85" s="139">
        <f t="shared" si="26"/>
        <v>3088.6532409795786</v>
      </c>
    </row>
    <row r="86" spans="2:14" x14ac:dyDescent="0.3">
      <c r="B86" s="142" t="s">
        <v>469</v>
      </c>
      <c r="C86" s="139">
        <f t="shared" ref="C86:H86" si="27">C48</f>
        <v>406.59</v>
      </c>
      <c r="D86" s="139">
        <f t="shared" si="27"/>
        <v>455.04</v>
      </c>
      <c r="E86" s="139">
        <f t="shared" si="27"/>
        <v>548.66</v>
      </c>
      <c r="F86" s="139">
        <f t="shared" si="27"/>
        <v>450.3</v>
      </c>
      <c r="G86" s="139">
        <f t="shared" si="27"/>
        <v>399.52</v>
      </c>
      <c r="H86" s="139">
        <f t="shared" si="27"/>
        <v>407.08</v>
      </c>
      <c r="I86" s="139">
        <f>I48</f>
        <v>435.65</v>
      </c>
      <c r="J86" s="139">
        <f t="shared" ref="J86:N86" si="28">J48</f>
        <v>461.78899999999999</v>
      </c>
      <c r="K86" s="139">
        <f t="shared" si="28"/>
        <v>489.49634000000003</v>
      </c>
      <c r="L86" s="139">
        <f t="shared" si="28"/>
        <v>518.86612040000011</v>
      </c>
      <c r="M86" s="139">
        <f t="shared" si="28"/>
        <v>549.99808762400016</v>
      </c>
      <c r="N86" s="139">
        <f t="shared" si="28"/>
        <v>582.99797288144021</v>
      </c>
    </row>
    <row r="87" spans="2:14" x14ac:dyDescent="0.3">
      <c r="B87" s="142" t="s">
        <v>474</v>
      </c>
      <c r="C87" s="139">
        <f t="shared" ref="C87:H87" si="29">C49</f>
        <v>480.14</v>
      </c>
      <c r="D87" s="139">
        <f t="shared" si="29"/>
        <v>546.07000000000005</v>
      </c>
      <c r="E87" s="139">
        <f t="shared" si="29"/>
        <v>625.13</v>
      </c>
      <c r="F87" s="139">
        <f t="shared" si="29"/>
        <v>631.39</v>
      </c>
      <c r="G87" s="139">
        <f t="shared" si="29"/>
        <v>646.74</v>
      </c>
      <c r="H87" s="139">
        <f t="shared" si="29"/>
        <v>754.53</v>
      </c>
      <c r="I87" s="139">
        <f>I49</f>
        <v>832.86</v>
      </c>
      <c r="J87" s="139">
        <f t="shared" ref="J87:N87" si="30">J49</f>
        <v>882.83160000000009</v>
      </c>
      <c r="K87" s="139">
        <f t="shared" si="30"/>
        <v>935.80149600000016</v>
      </c>
      <c r="L87" s="139">
        <f t="shared" si="30"/>
        <v>991.94958576000022</v>
      </c>
      <c r="M87" s="139">
        <f t="shared" si="30"/>
        <v>1051.4665609056003</v>
      </c>
      <c r="N87" s="139">
        <f t="shared" si="30"/>
        <v>1114.5545545599364</v>
      </c>
    </row>
    <row r="88" spans="2:14" x14ac:dyDescent="0.3">
      <c r="B88" s="142" t="s">
        <v>473</v>
      </c>
      <c r="C88" s="139">
        <f t="shared" ref="C88:H88" si="31">SUM(C85:C87)</f>
        <v>2368.08</v>
      </c>
      <c r="D88" s="139">
        <f t="shared" si="31"/>
        <v>2613.23</v>
      </c>
      <c r="E88" s="139">
        <f t="shared" si="31"/>
        <v>2669.28</v>
      </c>
      <c r="F88" s="139">
        <f t="shared" si="31"/>
        <v>2651.42</v>
      </c>
      <c r="G88" s="139">
        <f t="shared" si="31"/>
        <v>2685.1800000000003</v>
      </c>
      <c r="H88" s="139">
        <f t="shared" si="31"/>
        <v>2846.25</v>
      </c>
      <c r="I88" s="139">
        <f>SUM(I85:I87)</f>
        <v>3152.2200000000003</v>
      </c>
      <c r="J88" s="139">
        <f t="shared" ref="J88:N88" si="32">SUM(J85:J87)</f>
        <v>3736.657565508061</v>
      </c>
      <c r="K88" s="139">
        <f t="shared" si="32"/>
        <v>3997.8505578850495</v>
      </c>
      <c r="L88" s="139">
        <f t="shared" si="32"/>
        <v>4249.6216297114161</v>
      </c>
      <c r="M88" s="139">
        <f t="shared" si="32"/>
        <v>4492.1825213817156</v>
      </c>
      <c r="N88" s="139">
        <f t="shared" si="32"/>
        <v>4786.2057684209549</v>
      </c>
    </row>
    <row r="89" spans="2:14" x14ac:dyDescent="0.3">
      <c r="B89" s="142" t="s">
        <v>470</v>
      </c>
      <c r="C89" s="139">
        <f t="shared" ref="C89:H89" si="33">C84-C88</f>
        <v>3931.7299999999996</v>
      </c>
      <c r="D89" s="139">
        <f t="shared" si="33"/>
        <v>4221.83</v>
      </c>
      <c r="E89" s="139">
        <f t="shared" si="33"/>
        <v>3738.61</v>
      </c>
      <c r="F89" s="139">
        <f t="shared" si="33"/>
        <v>3939.3999999999996</v>
      </c>
      <c r="G89" s="139">
        <f t="shared" si="33"/>
        <v>3804.8100000000004</v>
      </c>
      <c r="H89" s="139">
        <f t="shared" si="33"/>
        <v>3629.3000000000011</v>
      </c>
      <c r="I89" s="139">
        <f>I84-I88</f>
        <v>4779.12</v>
      </c>
      <c r="J89" s="139">
        <f t="shared" ref="J89:N89" si="34">J84-J88</f>
        <v>6180.2984644199532</v>
      </c>
      <c r="K89" s="139">
        <f t="shared" si="34"/>
        <v>6604.404125697889</v>
      </c>
      <c r="L89" s="139">
        <f t="shared" si="34"/>
        <v>6960.3848165350273</v>
      </c>
      <c r="M89" s="139">
        <f t="shared" si="34"/>
        <v>7240.5352358548116</v>
      </c>
      <c r="N89" s="139">
        <f t="shared" si="34"/>
        <v>7673.6399611431416</v>
      </c>
    </row>
  </sheetData>
  <mergeCells count="5">
    <mergeCell ref="B1:N1"/>
    <mergeCell ref="B2:N2"/>
    <mergeCell ref="B6:N6"/>
    <mergeCell ref="B35:N35"/>
    <mergeCell ref="B54:N5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13"/>
  <sheetViews>
    <sheetView zoomScaleNormal="100" workbookViewId="0">
      <pane xSplit="2" ySplit="4" topLeftCell="C5" activePane="bottomRight" state="frozen"/>
      <selection pane="topRight" activeCell="C1" sqref="C1"/>
      <selection pane="bottomLeft" activeCell="A5" sqref="A5"/>
      <selection pane="bottomRight" activeCell="B4" sqref="B4:N4"/>
    </sheetView>
  </sheetViews>
  <sheetFormatPr defaultColWidth="8.6640625" defaultRowHeight="14.4" x14ac:dyDescent="0.3"/>
  <cols>
    <col min="1" max="1" width="0.109375" customWidth="1"/>
    <col min="2" max="2" width="37" customWidth="1"/>
    <col min="3" max="14" width="12" customWidth="1"/>
  </cols>
  <sheetData>
    <row r="1" spans="2:14" ht="25.5" customHeight="1" x14ac:dyDescent="0.3">
      <c r="B1" s="384" t="s">
        <v>411</v>
      </c>
      <c r="C1" s="378"/>
      <c r="D1" s="378"/>
      <c r="E1" s="378"/>
      <c r="F1" s="378"/>
      <c r="G1" s="378"/>
      <c r="H1" s="378"/>
      <c r="I1" s="378"/>
      <c r="J1" s="378"/>
      <c r="K1" s="378"/>
      <c r="L1" s="378"/>
      <c r="M1" s="378"/>
      <c r="N1" s="378"/>
    </row>
    <row r="2" spans="2:14" ht="15" customHeight="1" x14ac:dyDescent="0.3">
      <c r="B2" s="379"/>
      <c r="C2" s="380"/>
      <c r="D2" s="380"/>
      <c r="E2" s="380"/>
      <c r="F2" s="380"/>
      <c r="G2" s="380"/>
      <c r="H2" s="380"/>
      <c r="I2" s="380"/>
      <c r="J2" s="380"/>
      <c r="K2" s="380"/>
      <c r="L2" s="380"/>
      <c r="M2" s="380"/>
      <c r="N2" s="380"/>
    </row>
    <row r="3" spans="2:14" ht="15" thickBot="1" x14ac:dyDescent="0.35"/>
    <row r="4" spans="2:14" ht="30" customHeight="1" x14ac:dyDescent="0.3">
      <c r="B4" s="63" t="s">
        <v>163</v>
      </c>
      <c r="C4" s="64" t="s">
        <v>164</v>
      </c>
      <c r="D4" s="64" t="s">
        <v>165</v>
      </c>
      <c r="E4" s="64" t="s">
        <v>166</v>
      </c>
      <c r="F4" s="64" t="s">
        <v>167</v>
      </c>
      <c r="G4" s="64" t="s">
        <v>168</v>
      </c>
      <c r="H4" s="64" t="s">
        <v>169</v>
      </c>
      <c r="I4" s="64" t="s">
        <v>170</v>
      </c>
      <c r="J4" s="64" t="s">
        <v>171</v>
      </c>
      <c r="K4" s="64" t="s">
        <v>172</v>
      </c>
      <c r="L4" s="64" t="s">
        <v>173</v>
      </c>
      <c r="M4" s="64" t="s">
        <v>174</v>
      </c>
      <c r="N4" s="65" t="s">
        <v>175</v>
      </c>
    </row>
    <row r="5" spans="2:14" ht="15" customHeight="1" x14ac:dyDescent="0.3">
      <c r="B5" s="94" t="s">
        <v>272</v>
      </c>
      <c r="C5" s="53">
        <f>'Financial Statements'!C7</f>
        <v>12374.01</v>
      </c>
      <c r="D5" s="53">
        <f>'Financial Statements'!D7</f>
        <v>12659.15</v>
      </c>
      <c r="E5" s="53">
        <f>'Financial Statements'!E7</f>
        <v>11302.71</v>
      </c>
      <c r="F5" s="53">
        <f>'Financial Statements'!F7</f>
        <v>13091.79</v>
      </c>
      <c r="G5" s="53">
        <f>'Financial Statements'!G7</f>
        <v>14345.34</v>
      </c>
      <c r="H5" s="53">
        <f>'Financial Statements'!H7</f>
        <v>16574.34</v>
      </c>
      <c r="I5" s="53">
        <f>'Financial Statements'!I7</f>
        <v>19044.849999999999</v>
      </c>
      <c r="J5" s="54">
        <f>'Financial Statements'!J7</f>
        <v>20568.437999999998</v>
      </c>
      <c r="K5" s="54">
        <f>'Financial Statements'!K7</f>
        <v>22213.913039999999</v>
      </c>
      <c r="L5" s="54">
        <f>'Financial Statements'!L7</f>
        <v>23991.026083200002</v>
      </c>
      <c r="M5" s="54">
        <f>'Financial Statements'!M7</f>
        <v>25910.308169856005</v>
      </c>
      <c r="N5" s="67">
        <f>'Financial Statements'!N7</f>
        <v>27983.132823444488</v>
      </c>
    </row>
    <row r="6" spans="2:14" x14ac:dyDescent="0.3">
      <c r="B6" s="25"/>
      <c r="C6" s="58"/>
      <c r="D6" s="58"/>
      <c r="E6" s="58"/>
      <c r="F6" s="58"/>
      <c r="G6" s="58"/>
      <c r="H6" s="58"/>
      <c r="I6" s="58"/>
      <c r="J6" s="59"/>
      <c r="K6" s="59"/>
      <c r="L6" s="59"/>
      <c r="M6" s="59"/>
      <c r="N6" s="71"/>
    </row>
    <row r="7" spans="2:14" ht="15" customHeight="1" x14ac:dyDescent="0.3">
      <c r="B7" s="95" t="s">
        <v>273</v>
      </c>
      <c r="C7" s="53">
        <v>4212</v>
      </c>
      <c r="D7" s="53">
        <f>'Financial Statements'!C56</f>
        <v>4424.79</v>
      </c>
      <c r="E7" s="53">
        <f>'Financial Statements'!D56</f>
        <v>4344.2700000000004</v>
      </c>
      <c r="F7" s="53">
        <f>'Financial Statements'!E56</f>
        <v>4297.7700000000004</v>
      </c>
      <c r="G7" s="53">
        <f>'Financial Statements'!F56</f>
        <v>4114.25</v>
      </c>
      <c r="H7" s="53">
        <f>'Financial Statements'!G56</f>
        <v>4251.53</v>
      </c>
      <c r="I7" s="53">
        <f>'Financial Statements'!H56</f>
        <v>4273.41</v>
      </c>
      <c r="J7" s="54">
        <f>I10</f>
        <v>4403.16</v>
      </c>
      <c r="K7" s="54">
        <f>J10</f>
        <v>4459.5682476414477</v>
      </c>
      <c r="L7" s="54">
        <f>K10</f>
        <v>4605.194643264982</v>
      </c>
      <c r="M7" s="54">
        <f>L10</f>
        <v>4807.0563501557153</v>
      </c>
      <c r="N7" s="67">
        <f>M10</f>
        <v>5075.3129408924979</v>
      </c>
    </row>
    <row r="8" spans="2:14" ht="58.8" customHeight="1" x14ac:dyDescent="0.3">
      <c r="B8" s="96" t="s">
        <v>274</v>
      </c>
      <c r="C8" s="53">
        <f>-'Raw Data'!B109</f>
        <v>312.05</v>
      </c>
      <c r="D8" s="53">
        <f>-'Raw Data'!C109</f>
        <v>449.71</v>
      </c>
      <c r="E8" s="53">
        <f>-'Raw Data'!D109</f>
        <v>516.97</v>
      </c>
      <c r="F8" s="53">
        <f>-'Raw Data'!E109</f>
        <v>331.68</v>
      </c>
      <c r="G8" s="53">
        <f>-'Raw Data'!F109</f>
        <v>684.15</v>
      </c>
      <c r="H8" s="53">
        <f>-'Raw Data'!G109</f>
        <v>682.71</v>
      </c>
      <c r="I8" s="53">
        <f>-'Raw Data'!H109</f>
        <v>728.68</v>
      </c>
      <c r="J8" s="54">
        <f>'IS ,BS Assumptions'!I52*J5</f>
        <v>760.91384764144811</v>
      </c>
      <c r="K8" s="54">
        <f>'IS ,BS Assumptions'!J52*K5</f>
        <v>859.15731524616581</v>
      </c>
      <c r="L8" s="54">
        <f>'IS ,BS Assumptions'!K52*L5</f>
        <v>938.69284981312978</v>
      </c>
      <c r="M8" s="54">
        <f>'IS ,BS Assumptions'!L52*M5</f>
        <v>989.31504326013976</v>
      </c>
      <c r="N8" s="67">
        <f>'IS ,BS Assumptions'!M52*N5</f>
        <v>1119.8186245236898</v>
      </c>
    </row>
    <row r="9" spans="2:14" ht="15" customHeight="1" x14ac:dyDescent="0.3">
      <c r="B9" s="95" t="s">
        <v>275</v>
      </c>
      <c r="C9" s="53">
        <f>'Raw Data'!B71</f>
        <v>569.72</v>
      </c>
      <c r="D9" s="53">
        <f>'Raw Data'!C71</f>
        <v>599.78</v>
      </c>
      <c r="E9" s="53">
        <f>'Raw Data'!D71</f>
        <v>468.62</v>
      </c>
      <c r="F9" s="53">
        <f>'Raw Data'!E71</f>
        <v>460.01</v>
      </c>
      <c r="G9" s="53">
        <f>'Raw Data'!F71</f>
        <v>595.91</v>
      </c>
      <c r="H9" s="53">
        <f>'Raw Data'!G71</f>
        <v>587.59</v>
      </c>
      <c r="I9" s="53">
        <f>'Raw Data'!H71</f>
        <v>573.89</v>
      </c>
      <c r="J9" s="54">
        <f>J7*J11</f>
        <v>704.50559999999996</v>
      </c>
      <c r="K9" s="54">
        <f>K7*K11</f>
        <v>713.53091962263159</v>
      </c>
      <c r="L9" s="54">
        <f>L7*L11</f>
        <v>736.83114292239713</v>
      </c>
      <c r="M9" s="54">
        <f>M7*M11</f>
        <v>721.05845252335723</v>
      </c>
      <c r="N9" s="67">
        <f>N7*N11</f>
        <v>761.29694113387461</v>
      </c>
    </row>
    <row r="10" spans="2:14" ht="15" customHeight="1" x14ac:dyDescent="0.3">
      <c r="B10" s="95" t="s">
        <v>276</v>
      </c>
      <c r="C10" s="53">
        <f>'Financial Statements'!C56</f>
        <v>4424.79</v>
      </c>
      <c r="D10" s="53">
        <f>'Financial Statements'!D56</f>
        <v>4344.2700000000004</v>
      </c>
      <c r="E10" s="53">
        <f>'Financial Statements'!E56</f>
        <v>4297.7700000000004</v>
      </c>
      <c r="F10" s="53">
        <f>'Financial Statements'!F56</f>
        <v>4114.25</v>
      </c>
      <c r="G10" s="53">
        <f>'Financial Statements'!G56</f>
        <v>4251.53</v>
      </c>
      <c r="H10" s="53">
        <f>'Financial Statements'!H56</f>
        <v>4273.41</v>
      </c>
      <c r="I10" s="53">
        <f>'Financial Statements'!I56</f>
        <v>4403.16</v>
      </c>
      <c r="J10" s="54">
        <f>J7+J8-J9</f>
        <v>4459.5682476414477</v>
      </c>
      <c r="K10" s="54">
        <f>K7+K8-K9</f>
        <v>4605.194643264982</v>
      </c>
      <c r="L10" s="54">
        <f>L7+L8-L9</f>
        <v>4807.0563501557153</v>
      </c>
      <c r="M10" s="54">
        <f>M7+M8-M9</f>
        <v>5075.3129408924979</v>
      </c>
      <c r="N10" s="67">
        <f>N7+N8-N9</f>
        <v>5433.8346242823136</v>
      </c>
    </row>
    <row r="11" spans="2:14" ht="15" customHeight="1" x14ac:dyDescent="0.3">
      <c r="B11" s="95" t="s">
        <v>277</v>
      </c>
      <c r="C11" s="93" t="s">
        <v>198</v>
      </c>
      <c r="D11" s="56">
        <f>'Raw Data'!C71/'Raw Data'!B31</f>
        <v>2.2639187709961122</v>
      </c>
      <c r="E11" s="56">
        <f>'Raw Data'!D71/'Raw Data'!C31</f>
        <v>1.8453238826540659</v>
      </c>
      <c r="F11" s="56">
        <f>'Raw Data'!E71/'Raw Data'!D31</f>
        <v>1.9609941171455365</v>
      </c>
      <c r="G11" s="56">
        <f>'Raw Data'!F71/'Raw Data'!E31</f>
        <v>2.406939171176993</v>
      </c>
      <c r="H11" s="56">
        <f>'Raw Data'!G71/'Raw Data'!F31</f>
        <v>2.2857198428443617</v>
      </c>
      <c r="I11" s="56">
        <f>'Raw Data'!H71/'Raw Data'!G31</f>
        <v>2.1125303688434069</v>
      </c>
      <c r="J11" s="57">
        <v>0.16</v>
      </c>
      <c r="K11" s="57">
        <v>0.16</v>
      </c>
      <c r="L11" s="57">
        <v>0.16</v>
      </c>
      <c r="M11" s="57">
        <v>0.15</v>
      </c>
      <c r="N11" s="69">
        <v>0.15</v>
      </c>
    </row>
    <row r="12" spans="2:14" ht="30" customHeight="1" x14ac:dyDescent="0.3">
      <c r="B12" s="66" t="s">
        <v>410</v>
      </c>
      <c r="C12" s="58"/>
      <c r="D12" s="58"/>
      <c r="E12" s="58"/>
      <c r="F12" s="58"/>
      <c r="G12" s="58"/>
      <c r="H12" s="58"/>
      <c r="I12" s="58"/>
      <c r="J12" s="54">
        <f>J9</f>
        <v>704.50559999999996</v>
      </c>
      <c r="K12" s="54">
        <f>K9</f>
        <v>713.53091962263159</v>
      </c>
      <c r="L12" s="54">
        <f>L9</f>
        <v>736.83114292239713</v>
      </c>
      <c r="M12" s="54">
        <f>M9</f>
        <v>721.05845252335723</v>
      </c>
      <c r="N12" s="67">
        <f>N9</f>
        <v>761.29694113387461</v>
      </c>
    </row>
    <row r="13" spans="2:14" ht="15" customHeight="1" thickBot="1" x14ac:dyDescent="0.35">
      <c r="B13" s="97" t="s">
        <v>278</v>
      </c>
      <c r="C13" s="78">
        <f t="shared" ref="C13:N13" si="0">C8/C5</f>
        <v>2.5218179070487255E-2</v>
      </c>
      <c r="D13" s="78">
        <f t="shared" si="0"/>
        <v>3.5524502040026384E-2</v>
      </c>
      <c r="E13" s="78">
        <f t="shared" si="0"/>
        <v>4.5738588356243774E-2</v>
      </c>
      <c r="F13" s="78">
        <f t="shared" si="0"/>
        <v>2.5334961834859861E-2</v>
      </c>
      <c r="G13" s="78">
        <f t="shared" si="0"/>
        <v>4.7691445445001653E-2</v>
      </c>
      <c r="H13" s="78">
        <f t="shared" si="0"/>
        <v>4.1190780447366231E-2</v>
      </c>
      <c r="I13" s="78">
        <f t="shared" si="0"/>
        <v>3.826126223099683E-2</v>
      </c>
      <c r="J13" s="98">
        <f t="shared" si="0"/>
        <v>3.699424563214028E-2</v>
      </c>
      <c r="K13" s="98">
        <f t="shared" si="0"/>
        <v>3.8676540855233574E-2</v>
      </c>
      <c r="L13" s="98">
        <f t="shared" si="0"/>
        <v>3.9126832114548885E-2</v>
      </c>
      <c r="M13" s="98">
        <f t="shared" si="0"/>
        <v>3.8182295508592472E-2</v>
      </c>
      <c r="N13" s="99">
        <f t="shared" si="0"/>
        <v>4.0017628890554276E-2</v>
      </c>
    </row>
  </sheetData>
  <mergeCells count="2">
    <mergeCell ref="B1:N1"/>
    <mergeCell ref="B2:N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52E24-4C2E-4002-9135-7D7EBDCBE927}">
  <dimension ref="A1:K2482"/>
  <sheetViews>
    <sheetView workbookViewId="0">
      <selection activeCell="N11" sqref="N11"/>
    </sheetView>
  </sheetViews>
  <sheetFormatPr defaultRowHeight="14.4" x14ac:dyDescent="0.3"/>
  <cols>
    <col min="1" max="1" width="9.88671875" bestFit="1" customWidth="1"/>
    <col min="2" max="2" width="13.44140625" customWidth="1"/>
    <col min="5" max="5" width="9.88671875" bestFit="1" customWidth="1"/>
    <col min="6" max="6" width="11.88671875" customWidth="1"/>
    <col min="9" max="9" width="20.5546875" bestFit="1" customWidth="1"/>
  </cols>
  <sheetData>
    <row r="1" spans="1:11" ht="21" x14ac:dyDescent="0.4">
      <c r="A1" s="387" t="s">
        <v>305</v>
      </c>
      <c r="B1" s="387"/>
      <c r="C1" s="387"/>
      <c r="D1" s="387"/>
      <c r="E1" s="387"/>
      <c r="F1" s="387"/>
      <c r="G1" s="387"/>
      <c r="H1" s="387"/>
      <c r="I1" s="387"/>
      <c r="J1" s="387"/>
      <c r="K1" s="387"/>
    </row>
    <row r="2" spans="1:11" ht="15" thickBot="1" x14ac:dyDescent="0.35"/>
    <row r="3" spans="1:11" ht="16.2" thickBot="1" x14ac:dyDescent="0.35">
      <c r="A3" s="388" t="s">
        <v>306</v>
      </c>
      <c r="B3" s="388"/>
      <c r="C3" s="388"/>
      <c r="E3" s="388" t="s">
        <v>307</v>
      </c>
      <c r="F3" s="388"/>
      <c r="G3" s="388"/>
      <c r="I3" s="389" t="s">
        <v>308</v>
      </c>
      <c r="J3" s="390"/>
    </row>
    <row r="4" spans="1:11" ht="15.6" x14ac:dyDescent="0.3">
      <c r="A4" s="31" t="s">
        <v>309</v>
      </c>
      <c r="B4" s="31" t="s">
        <v>310</v>
      </c>
      <c r="C4" s="32" t="s">
        <v>311</v>
      </c>
      <c r="E4" s="31" t="s">
        <v>309</v>
      </c>
      <c r="F4" s="31" t="s">
        <v>312</v>
      </c>
      <c r="G4" s="31" t="s">
        <v>311</v>
      </c>
      <c r="I4" s="391" t="s">
        <v>313</v>
      </c>
      <c r="J4" s="392"/>
    </row>
    <row r="5" spans="1:11" ht="15" thickBot="1" x14ac:dyDescent="0.35">
      <c r="A5" s="33">
        <v>42370</v>
      </c>
      <c r="B5" s="34">
        <v>654.70000000000005</v>
      </c>
      <c r="C5" s="34"/>
      <c r="E5" s="33">
        <v>42370</v>
      </c>
      <c r="F5" s="34">
        <v>26160.9</v>
      </c>
      <c r="G5" s="34"/>
      <c r="I5" s="393"/>
      <c r="J5" s="394"/>
    </row>
    <row r="6" spans="1:11" ht="15" thickBot="1" x14ac:dyDescent="0.35">
      <c r="A6" s="33">
        <v>42373</v>
      </c>
      <c r="B6" s="34">
        <v>645.54999999999995</v>
      </c>
      <c r="C6" s="34">
        <f>LN(B6/B5)</f>
        <v>-1.4074448826318149E-2</v>
      </c>
      <c r="E6" s="33">
        <v>42373</v>
      </c>
      <c r="F6" s="34">
        <v>25623.35</v>
      </c>
      <c r="G6" s="34">
        <f>LN(F6/F5)</f>
        <v>-2.0761884525401099E-2</v>
      </c>
      <c r="I6" s="35" t="s">
        <v>314</v>
      </c>
      <c r="J6" s="36">
        <f>SLOPE(C6:C2482,G6:G2482)</f>
        <v>0.44183817163777678</v>
      </c>
    </row>
    <row r="7" spans="1:11" x14ac:dyDescent="0.3">
      <c r="A7" s="33">
        <v>42374</v>
      </c>
      <c r="B7" s="34">
        <v>641.15</v>
      </c>
      <c r="C7" s="34">
        <f t="shared" ref="C7:C70" si="0">LN(B7/B6)</f>
        <v>-6.8392277156027496E-3</v>
      </c>
      <c r="E7" s="33">
        <v>42374</v>
      </c>
      <c r="F7" s="34">
        <v>25580.34</v>
      </c>
      <c r="G7" s="34">
        <f t="shared" ref="G7:G70" si="1">LN(F7/F6)</f>
        <v>-1.6799574450762243E-3</v>
      </c>
    </row>
    <row r="8" spans="1:11" x14ac:dyDescent="0.3">
      <c r="A8" s="33">
        <v>42375</v>
      </c>
      <c r="B8" s="34">
        <v>652.4</v>
      </c>
      <c r="C8" s="34">
        <f t="shared" si="0"/>
        <v>1.7394431841734073E-2</v>
      </c>
      <c r="E8" s="33">
        <v>42375</v>
      </c>
      <c r="F8" s="34">
        <v>25406.33</v>
      </c>
      <c r="G8" s="34">
        <f t="shared" si="1"/>
        <v>-6.8257321218379114E-3</v>
      </c>
    </row>
    <row r="9" spans="1:11" ht="15" thickBot="1" x14ac:dyDescent="0.35">
      <c r="A9" s="33">
        <v>42376</v>
      </c>
      <c r="B9" s="34">
        <v>639.15</v>
      </c>
      <c r="C9" s="34">
        <f t="shared" si="0"/>
        <v>-2.0518702132828043E-2</v>
      </c>
      <c r="E9" s="33">
        <v>42376</v>
      </c>
      <c r="F9" s="34">
        <v>24851.83</v>
      </c>
      <c r="G9" s="34">
        <f t="shared" si="1"/>
        <v>-2.206696389229848E-2</v>
      </c>
    </row>
    <row r="10" spans="1:11" ht="15.6" x14ac:dyDescent="0.3">
      <c r="A10" s="33">
        <v>42377</v>
      </c>
      <c r="B10" s="34">
        <v>622.45000000000005</v>
      </c>
      <c r="C10" s="34">
        <f t="shared" si="0"/>
        <v>-2.647586478623571E-2</v>
      </c>
      <c r="E10" s="33">
        <v>42377</v>
      </c>
      <c r="F10" s="34">
        <v>24934.33</v>
      </c>
      <c r="G10" s="34">
        <f t="shared" si="1"/>
        <v>3.3141770931279686E-3</v>
      </c>
      <c r="I10" s="385" t="s">
        <v>315</v>
      </c>
      <c r="J10" s="386"/>
    </row>
    <row r="11" spans="1:11" x14ac:dyDescent="0.3">
      <c r="A11" s="33">
        <v>42380</v>
      </c>
      <c r="B11" s="34">
        <v>610.25</v>
      </c>
      <c r="C11" s="34">
        <f t="shared" si="0"/>
        <v>-1.9794594554725535E-2</v>
      </c>
      <c r="E11" s="33">
        <v>42380</v>
      </c>
      <c r="F11" s="34">
        <v>24825.040000000001</v>
      </c>
      <c r="G11" s="34">
        <f t="shared" si="1"/>
        <v>-4.3927475665536354E-3</v>
      </c>
      <c r="I11" s="37"/>
      <c r="J11" s="38"/>
    </row>
    <row r="12" spans="1:11" x14ac:dyDescent="0.3">
      <c r="A12" s="33">
        <v>42381</v>
      </c>
      <c r="B12" s="34">
        <v>611.65</v>
      </c>
      <c r="C12" s="34">
        <f t="shared" si="0"/>
        <v>2.2915142198558017E-3</v>
      </c>
      <c r="E12" s="33">
        <v>42381</v>
      </c>
      <c r="F12" s="34">
        <v>24682.03</v>
      </c>
      <c r="G12" s="34">
        <f t="shared" si="1"/>
        <v>-5.7773727179781954E-3</v>
      </c>
      <c r="I12" s="39" t="s">
        <v>316</v>
      </c>
      <c r="J12" s="40">
        <f>AVERAGE(C6:C2482)</f>
        <v>3.3761956532044762E-4</v>
      </c>
    </row>
    <row r="13" spans="1:11" ht="15" thickBot="1" x14ac:dyDescent="0.35">
      <c r="A13" s="33">
        <v>42382</v>
      </c>
      <c r="B13" s="34">
        <v>608.70000000000005</v>
      </c>
      <c r="C13" s="34">
        <f t="shared" si="0"/>
        <v>-4.8346879930465684E-3</v>
      </c>
      <c r="E13" s="33">
        <v>42382</v>
      </c>
      <c r="F13" s="34">
        <v>24854.11</v>
      </c>
      <c r="G13" s="34">
        <f t="shared" si="1"/>
        <v>6.9476827300423427E-3</v>
      </c>
      <c r="I13" s="41" t="s">
        <v>317</v>
      </c>
      <c r="J13" s="42">
        <f>AVERAGE(G6:G2482)</f>
        <v>4.7677725433219512E-4</v>
      </c>
    </row>
    <row r="14" spans="1:11" x14ac:dyDescent="0.3">
      <c r="A14" s="33">
        <v>42383</v>
      </c>
      <c r="B14" s="34">
        <v>613.9</v>
      </c>
      <c r="C14" s="34">
        <f t="shared" si="0"/>
        <v>8.5065129335718526E-3</v>
      </c>
      <c r="E14" s="33">
        <v>42383</v>
      </c>
      <c r="F14" s="34">
        <v>24772.97</v>
      </c>
      <c r="G14" s="34">
        <f t="shared" si="1"/>
        <v>-3.2699917988908206E-3</v>
      </c>
    </row>
    <row r="15" spans="1:11" x14ac:dyDescent="0.3">
      <c r="A15" s="33">
        <v>42384</v>
      </c>
      <c r="B15" s="34">
        <v>607.4</v>
      </c>
      <c r="C15" s="34">
        <f t="shared" si="0"/>
        <v>-1.0644495821802213E-2</v>
      </c>
      <c r="E15" s="33">
        <v>42384</v>
      </c>
      <c r="F15" s="34">
        <v>24455.040000000001</v>
      </c>
      <c r="G15" s="34">
        <f t="shared" si="1"/>
        <v>-1.29168097747515E-2</v>
      </c>
    </row>
    <row r="16" spans="1:11" x14ac:dyDescent="0.3">
      <c r="A16" s="33">
        <v>42387</v>
      </c>
      <c r="B16" s="34">
        <v>590.85</v>
      </c>
      <c r="C16" s="34">
        <f t="shared" si="0"/>
        <v>-2.7625374526623742E-2</v>
      </c>
      <c r="E16" s="33">
        <v>42387</v>
      </c>
      <c r="F16" s="34">
        <v>24188.37</v>
      </c>
      <c r="G16" s="34">
        <f t="shared" si="1"/>
        <v>-1.0964390511932737E-2</v>
      </c>
    </row>
    <row r="17" spans="1:7" x14ac:dyDescent="0.3">
      <c r="A17" s="33">
        <v>42388</v>
      </c>
      <c r="B17" s="34">
        <v>597.1</v>
      </c>
      <c r="C17" s="34">
        <f t="shared" si="0"/>
        <v>1.0522425467922191E-2</v>
      </c>
      <c r="E17" s="33">
        <v>42388</v>
      </c>
      <c r="F17" s="34">
        <v>24479.84</v>
      </c>
      <c r="G17" s="34">
        <f t="shared" si="1"/>
        <v>1.1977982539673677E-2</v>
      </c>
    </row>
    <row r="18" spans="1:7" x14ac:dyDescent="0.3">
      <c r="A18" s="33">
        <v>42389</v>
      </c>
      <c r="B18" s="34">
        <v>593.5</v>
      </c>
      <c r="C18" s="34">
        <f t="shared" si="0"/>
        <v>-6.0473895032239966E-3</v>
      </c>
      <c r="E18" s="33">
        <v>42389</v>
      </c>
      <c r="F18" s="34">
        <v>24062.04</v>
      </c>
      <c r="G18" s="34">
        <f t="shared" si="1"/>
        <v>-1.7214426692897279E-2</v>
      </c>
    </row>
    <row r="19" spans="1:7" x14ac:dyDescent="0.3">
      <c r="A19" s="33">
        <v>42390</v>
      </c>
      <c r="B19" s="34">
        <v>581.65</v>
      </c>
      <c r="C19" s="34">
        <f t="shared" si="0"/>
        <v>-2.0168321786947389E-2</v>
      </c>
      <c r="E19" s="33">
        <v>42390</v>
      </c>
      <c r="F19" s="34">
        <v>23962.21</v>
      </c>
      <c r="G19" s="34">
        <f t="shared" si="1"/>
        <v>-4.1574889267142045E-3</v>
      </c>
    </row>
    <row r="20" spans="1:7" x14ac:dyDescent="0.3">
      <c r="A20" s="33">
        <v>42391</v>
      </c>
      <c r="B20" s="34">
        <v>583.35</v>
      </c>
      <c r="C20" s="34">
        <f t="shared" si="0"/>
        <v>2.9184570070906039E-3</v>
      </c>
      <c r="E20" s="33">
        <v>42391</v>
      </c>
      <c r="F20" s="34">
        <v>24435.66</v>
      </c>
      <c r="G20" s="34">
        <f t="shared" si="1"/>
        <v>1.9565534737751071E-2</v>
      </c>
    </row>
    <row r="21" spans="1:7" x14ac:dyDescent="0.3">
      <c r="A21" s="33">
        <v>42394</v>
      </c>
      <c r="B21" s="34">
        <v>581.5</v>
      </c>
      <c r="C21" s="34">
        <f t="shared" si="0"/>
        <v>-3.1763773111469508E-3</v>
      </c>
      <c r="E21" s="33">
        <v>42394</v>
      </c>
      <c r="F21" s="34">
        <v>24485.95</v>
      </c>
      <c r="G21" s="34">
        <f t="shared" si="1"/>
        <v>2.0559428732717386E-3</v>
      </c>
    </row>
    <row r="22" spans="1:7" x14ac:dyDescent="0.3">
      <c r="A22" s="33">
        <v>42396</v>
      </c>
      <c r="B22" s="34">
        <v>580.5</v>
      </c>
      <c r="C22" s="34">
        <f t="shared" si="0"/>
        <v>-1.7211708207729157E-3</v>
      </c>
      <c r="E22" s="33">
        <v>42396</v>
      </c>
      <c r="F22" s="34">
        <v>24492.39</v>
      </c>
      <c r="G22" s="34">
        <f t="shared" si="1"/>
        <v>2.6297338934350042E-4</v>
      </c>
    </row>
    <row r="23" spans="1:7" x14ac:dyDescent="0.3">
      <c r="A23" s="33">
        <v>42397</v>
      </c>
      <c r="B23" s="34">
        <v>578</v>
      </c>
      <c r="C23" s="34">
        <f t="shared" si="0"/>
        <v>-4.3159324655687014E-3</v>
      </c>
      <c r="E23" s="33">
        <v>42397</v>
      </c>
      <c r="F23" s="34">
        <v>24469.57</v>
      </c>
      <c r="G23" s="34">
        <f t="shared" si="1"/>
        <v>-9.3215229342835865E-4</v>
      </c>
    </row>
    <row r="24" spans="1:7" x14ac:dyDescent="0.3">
      <c r="A24" s="33">
        <v>42398</v>
      </c>
      <c r="B24" s="34">
        <v>585.70000000000005</v>
      </c>
      <c r="C24" s="34">
        <f t="shared" si="0"/>
        <v>1.3233844423359269E-2</v>
      </c>
      <c r="E24" s="33">
        <v>42398</v>
      </c>
      <c r="F24" s="34">
        <v>24870.69</v>
      </c>
      <c r="G24" s="34">
        <f t="shared" si="1"/>
        <v>1.6259696938273095E-2</v>
      </c>
    </row>
    <row r="25" spans="1:7" x14ac:dyDescent="0.3">
      <c r="A25" s="33">
        <v>42401</v>
      </c>
      <c r="B25" s="34">
        <v>597.79999999999995</v>
      </c>
      <c r="C25" s="34">
        <f t="shared" si="0"/>
        <v>2.0448536754100695E-2</v>
      </c>
      <c r="E25" s="33">
        <v>42401</v>
      </c>
      <c r="F25" s="34">
        <v>24824.83</v>
      </c>
      <c r="G25" s="34">
        <f t="shared" si="1"/>
        <v>-1.8456397284128756E-3</v>
      </c>
    </row>
    <row r="26" spans="1:7" x14ac:dyDescent="0.3">
      <c r="A26" s="33">
        <v>42402</v>
      </c>
      <c r="B26" s="34">
        <v>574</v>
      </c>
      <c r="C26" s="34">
        <f t="shared" si="0"/>
        <v>-4.0626853530270998E-2</v>
      </c>
      <c r="E26" s="33">
        <v>42402</v>
      </c>
      <c r="F26" s="34">
        <v>24539</v>
      </c>
      <c r="G26" s="34">
        <f t="shared" si="1"/>
        <v>-1.1580673316021422E-2</v>
      </c>
    </row>
    <row r="27" spans="1:7" x14ac:dyDescent="0.3">
      <c r="A27" s="33">
        <v>42403</v>
      </c>
      <c r="B27" s="34">
        <v>561.35</v>
      </c>
      <c r="C27" s="34">
        <f t="shared" si="0"/>
        <v>-2.2284799414777862E-2</v>
      </c>
      <c r="E27" s="33">
        <v>42403</v>
      </c>
      <c r="F27" s="34">
        <v>24223.32</v>
      </c>
      <c r="G27" s="34">
        <f t="shared" si="1"/>
        <v>-1.2947883129401901E-2</v>
      </c>
    </row>
    <row r="28" spans="1:7" x14ac:dyDescent="0.3">
      <c r="A28" s="33">
        <v>42404</v>
      </c>
      <c r="B28" s="34">
        <v>550.25</v>
      </c>
      <c r="C28" s="34">
        <f t="shared" si="0"/>
        <v>-1.9971876498217418E-2</v>
      </c>
      <c r="E28" s="33">
        <v>42404</v>
      </c>
      <c r="F28" s="34">
        <v>24338.43</v>
      </c>
      <c r="G28" s="34">
        <f t="shared" si="1"/>
        <v>4.7407770762397713E-3</v>
      </c>
    </row>
    <row r="29" spans="1:7" x14ac:dyDescent="0.3">
      <c r="A29" s="33">
        <v>42405</v>
      </c>
      <c r="B29" s="34">
        <v>569.95000000000005</v>
      </c>
      <c r="C29" s="34">
        <f t="shared" si="0"/>
        <v>3.5175917276216564E-2</v>
      </c>
      <c r="E29" s="33">
        <v>42405</v>
      </c>
      <c r="F29" s="34">
        <v>24616.97</v>
      </c>
      <c r="G29" s="34">
        <f t="shared" si="1"/>
        <v>1.1379459905185397E-2</v>
      </c>
    </row>
    <row r="30" spans="1:7" x14ac:dyDescent="0.3">
      <c r="A30" s="33">
        <v>42408</v>
      </c>
      <c r="B30" s="34">
        <v>567</v>
      </c>
      <c r="C30" s="34">
        <f t="shared" si="0"/>
        <v>-5.1893339550355593E-3</v>
      </c>
      <c r="E30" s="33">
        <v>42408</v>
      </c>
      <c r="F30" s="34">
        <v>24287.42</v>
      </c>
      <c r="G30" s="34">
        <f t="shared" si="1"/>
        <v>-1.3477521685558831E-2</v>
      </c>
    </row>
    <row r="31" spans="1:7" x14ac:dyDescent="0.3">
      <c r="A31" s="33">
        <v>42409</v>
      </c>
      <c r="B31" s="34">
        <v>556.5</v>
      </c>
      <c r="C31" s="34">
        <f t="shared" si="0"/>
        <v>-1.8692133012152522E-2</v>
      </c>
      <c r="E31" s="33">
        <v>42409</v>
      </c>
      <c r="F31" s="34">
        <v>24020.98</v>
      </c>
      <c r="G31" s="34">
        <f t="shared" si="1"/>
        <v>-1.1030905669227493E-2</v>
      </c>
    </row>
    <row r="32" spans="1:7" x14ac:dyDescent="0.3">
      <c r="A32" s="33">
        <v>42410</v>
      </c>
      <c r="B32" s="34">
        <v>538.85</v>
      </c>
      <c r="C32" s="34">
        <f t="shared" si="0"/>
        <v>-3.222993167275881E-2</v>
      </c>
      <c r="E32" s="33">
        <v>42410</v>
      </c>
      <c r="F32" s="34">
        <v>23758.9</v>
      </c>
      <c r="G32" s="34">
        <f t="shared" si="1"/>
        <v>-1.0970418027014376E-2</v>
      </c>
    </row>
    <row r="33" spans="1:7" x14ac:dyDescent="0.3">
      <c r="A33" s="33">
        <v>42411</v>
      </c>
      <c r="B33" s="34">
        <v>541</v>
      </c>
      <c r="C33" s="34">
        <f t="shared" si="0"/>
        <v>3.9820398036406841E-3</v>
      </c>
      <c r="E33" s="33">
        <v>42411</v>
      </c>
      <c r="F33" s="34">
        <v>22951.83</v>
      </c>
      <c r="G33" s="34">
        <f t="shared" si="1"/>
        <v>-3.4559525236745728E-2</v>
      </c>
    </row>
    <row r="34" spans="1:7" x14ac:dyDescent="0.3">
      <c r="A34" s="33">
        <v>42412</v>
      </c>
      <c r="B34" s="34">
        <v>528.6</v>
      </c>
      <c r="C34" s="34">
        <f t="shared" si="0"/>
        <v>-2.3187276676292608E-2</v>
      </c>
      <c r="E34" s="33">
        <v>42412</v>
      </c>
      <c r="F34" s="34">
        <v>22986.12</v>
      </c>
      <c r="G34" s="34">
        <f t="shared" si="1"/>
        <v>1.4928836122861779E-3</v>
      </c>
    </row>
    <row r="35" spans="1:7" x14ac:dyDescent="0.3">
      <c r="A35" s="33">
        <v>42415</v>
      </c>
      <c r="B35" s="34">
        <v>540.20000000000005</v>
      </c>
      <c r="C35" s="34">
        <f t="shared" si="0"/>
        <v>2.1707439188326464E-2</v>
      </c>
      <c r="E35" s="33">
        <v>42415</v>
      </c>
      <c r="F35" s="34">
        <v>23554.12</v>
      </c>
      <c r="G35" s="34">
        <f t="shared" si="1"/>
        <v>2.4410196580460647E-2</v>
      </c>
    </row>
    <row r="36" spans="1:7" x14ac:dyDescent="0.3">
      <c r="A36" s="33">
        <v>42416</v>
      </c>
      <c r="B36" s="34">
        <v>524.04999999999995</v>
      </c>
      <c r="C36" s="34">
        <f t="shared" si="0"/>
        <v>-3.0352341742329009E-2</v>
      </c>
      <c r="E36" s="33">
        <v>42416</v>
      </c>
      <c r="F36" s="34">
        <v>23191.97</v>
      </c>
      <c r="G36" s="34">
        <f t="shared" si="1"/>
        <v>-1.549465401342438E-2</v>
      </c>
    </row>
    <row r="37" spans="1:7" x14ac:dyDescent="0.3">
      <c r="A37" s="33">
        <v>42417</v>
      </c>
      <c r="B37" s="34">
        <v>519.70000000000005</v>
      </c>
      <c r="C37" s="34">
        <f t="shared" si="0"/>
        <v>-8.3353776017900082E-3</v>
      </c>
      <c r="E37" s="33">
        <v>42417</v>
      </c>
      <c r="F37" s="34">
        <v>23381.87</v>
      </c>
      <c r="G37" s="34">
        <f t="shared" si="1"/>
        <v>8.1548376678036664E-3</v>
      </c>
    </row>
    <row r="38" spans="1:7" x14ac:dyDescent="0.3">
      <c r="A38" s="33">
        <v>42418</v>
      </c>
      <c r="B38" s="34">
        <v>525.35</v>
      </c>
      <c r="C38" s="34">
        <f t="shared" si="0"/>
        <v>1.0812985120387962E-2</v>
      </c>
      <c r="E38" s="33">
        <v>42418</v>
      </c>
      <c r="F38" s="34">
        <v>23649.22</v>
      </c>
      <c r="G38" s="34">
        <f t="shared" si="1"/>
        <v>1.1369197684720462E-2</v>
      </c>
    </row>
    <row r="39" spans="1:7" x14ac:dyDescent="0.3">
      <c r="A39" s="33">
        <v>42419</v>
      </c>
      <c r="B39" s="34">
        <v>523.04999999999995</v>
      </c>
      <c r="C39" s="34">
        <f t="shared" si="0"/>
        <v>-4.3876453450145689E-3</v>
      </c>
      <c r="E39" s="33">
        <v>42419</v>
      </c>
      <c r="F39" s="34">
        <v>23709.15</v>
      </c>
      <c r="G39" s="34">
        <f t="shared" si="1"/>
        <v>2.5309161607678593E-3</v>
      </c>
    </row>
    <row r="40" spans="1:7" x14ac:dyDescent="0.3">
      <c r="A40" s="33">
        <v>42422</v>
      </c>
      <c r="B40" s="34">
        <v>530.5</v>
      </c>
      <c r="C40" s="34">
        <f t="shared" si="0"/>
        <v>1.4142896264268061E-2</v>
      </c>
      <c r="E40" s="33">
        <v>42422</v>
      </c>
      <c r="F40" s="34">
        <v>23788.79</v>
      </c>
      <c r="G40" s="34">
        <f t="shared" si="1"/>
        <v>3.3534117324565214E-3</v>
      </c>
    </row>
    <row r="41" spans="1:7" x14ac:dyDescent="0.3">
      <c r="A41" s="33">
        <v>42423</v>
      </c>
      <c r="B41" s="34">
        <v>522.6</v>
      </c>
      <c r="C41" s="34">
        <f t="shared" si="0"/>
        <v>-1.5003604967525695E-2</v>
      </c>
      <c r="E41" s="33">
        <v>42423</v>
      </c>
      <c r="F41" s="34">
        <v>23410.18</v>
      </c>
      <c r="G41" s="34">
        <f t="shared" si="1"/>
        <v>-1.6043490819721853E-2</v>
      </c>
    </row>
    <row r="42" spans="1:7" x14ac:dyDescent="0.3">
      <c r="A42" s="33">
        <v>42424</v>
      </c>
      <c r="B42" s="34">
        <v>513.79999999999995</v>
      </c>
      <c r="C42" s="34">
        <f t="shared" si="0"/>
        <v>-1.6982268410729067E-2</v>
      </c>
      <c r="E42" s="33">
        <v>42424</v>
      </c>
      <c r="F42" s="34">
        <v>23088.93</v>
      </c>
      <c r="G42" s="34">
        <f t="shared" si="1"/>
        <v>-1.381768860949302E-2</v>
      </c>
    </row>
    <row r="43" spans="1:7" x14ac:dyDescent="0.3">
      <c r="A43" s="33">
        <v>42425</v>
      </c>
      <c r="B43" s="34">
        <v>518.25</v>
      </c>
      <c r="C43" s="34">
        <f t="shared" si="0"/>
        <v>8.623666640105913E-3</v>
      </c>
      <c r="E43" s="33">
        <v>42425</v>
      </c>
      <c r="F43" s="34">
        <v>22976</v>
      </c>
      <c r="G43" s="34">
        <f t="shared" si="1"/>
        <v>-4.9030890197378045E-3</v>
      </c>
    </row>
    <row r="44" spans="1:7" x14ac:dyDescent="0.3">
      <c r="A44" s="33">
        <v>42426</v>
      </c>
      <c r="B44" s="34">
        <v>523.75</v>
      </c>
      <c r="C44" s="34">
        <f t="shared" si="0"/>
        <v>1.0556719920458547E-2</v>
      </c>
      <c r="E44" s="33">
        <v>42426</v>
      </c>
      <c r="F44" s="34">
        <v>23154.3</v>
      </c>
      <c r="G44" s="34">
        <f t="shared" si="1"/>
        <v>7.7303155583253172E-3</v>
      </c>
    </row>
    <row r="45" spans="1:7" x14ac:dyDescent="0.3">
      <c r="A45" s="33">
        <v>42429</v>
      </c>
      <c r="B45" s="34">
        <v>515</v>
      </c>
      <c r="C45" s="34">
        <f t="shared" si="0"/>
        <v>-1.6847570572611357E-2</v>
      </c>
      <c r="E45" s="33">
        <v>42429</v>
      </c>
      <c r="F45" s="34">
        <v>23002</v>
      </c>
      <c r="G45" s="34">
        <f t="shared" si="1"/>
        <v>-6.599339753749431E-3</v>
      </c>
    </row>
    <row r="46" spans="1:7" x14ac:dyDescent="0.3">
      <c r="A46" s="33">
        <v>42430</v>
      </c>
      <c r="B46" s="34">
        <v>517.5</v>
      </c>
      <c r="C46" s="34">
        <f t="shared" si="0"/>
        <v>4.8426244757879908E-3</v>
      </c>
      <c r="E46" s="33">
        <v>42430</v>
      </c>
      <c r="F46" s="34">
        <v>23779.35</v>
      </c>
      <c r="G46" s="34">
        <f t="shared" si="1"/>
        <v>3.3236388324639883E-2</v>
      </c>
    </row>
    <row r="47" spans="1:7" x14ac:dyDescent="0.3">
      <c r="A47" s="33">
        <v>42431</v>
      </c>
      <c r="B47" s="34">
        <v>525.15</v>
      </c>
      <c r="C47" s="34">
        <f t="shared" si="0"/>
        <v>1.4674410929260239E-2</v>
      </c>
      <c r="E47" s="33">
        <v>42431</v>
      </c>
      <c r="F47" s="34">
        <v>24242.98</v>
      </c>
      <c r="G47" s="34">
        <f t="shared" si="1"/>
        <v>1.9309533943643778E-2</v>
      </c>
    </row>
    <row r="48" spans="1:7" x14ac:dyDescent="0.3">
      <c r="A48" s="33">
        <v>42432</v>
      </c>
      <c r="B48" s="34">
        <v>528.20000000000005</v>
      </c>
      <c r="C48" s="34">
        <f t="shared" si="0"/>
        <v>5.7910637942475791E-3</v>
      </c>
      <c r="E48" s="33">
        <v>42432</v>
      </c>
      <c r="F48" s="34">
        <v>24606.99</v>
      </c>
      <c r="G48" s="34">
        <f t="shared" si="1"/>
        <v>1.4903457979181294E-2</v>
      </c>
    </row>
    <row r="49" spans="1:7" x14ac:dyDescent="0.3">
      <c r="A49" s="33">
        <v>42433</v>
      </c>
      <c r="B49" s="34">
        <v>539.1</v>
      </c>
      <c r="C49" s="34">
        <f t="shared" si="0"/>
        <v>2.0426082594591204E-2</v>
      </c>
      <c r="E49" s="33">
        <v>42433</v>
      </c>
      <c r="F49" s="34">
        <v>24646.48</v>
      </c>
      <c r="G49" s="34">
        <f t="shared" si="1"/>
        <v>1.6035421854286847E-3</v>
      </c>
    </row>
    <row r="50" spans="1:7" x14ac:dyDescent="0.3">
      <c r="A50" s="33">
        <v>42437</v>
      </c>
      <c r="B50" s="34">
        <v>531.5</v>
      </c>
      <c r="C50" s="34">
        <f t="shared" si="0"/>
        <v>-1.4197884675620434E-2</v>
      </c>
      <c r="E50" s="33">
        <v>42437</v>
      </c>
      <c r="F50" s="34">
        <v>24659.23</v>
      </c>
      <c r="G50" s="34">
        <f t="shared" si="1"/>
        <v>5.1718149010305462E-4</v>
      </c>
    </row>
    <row r="51" spans="1:7" x14ac:dyDescent="0.3">
      <c r="A51" s="33">
        <v>42438</v>
      </c>
      <c r="B51" s="34">
        <v>529.95000000000005</v>
      </c>
      <c r="C51" s="34">
        <f t="shared" si="0"/>
        <v>-2.9205353087386572E-3</v>
      </c>
      <c r="E51" s="33">
        <v>42438</v>
      </c>
      <c r="F51" s="34">
        <v>24793.96</v>
      </c>
      <c r="G51" s="34">
        <f t="shared" si="1"/>
        <v>5.4488025277285822E-3</v>
      </c>
    </row>
    <row r="52" spans="1:7" x14ac:dyDescent="0.3">
      <c r="A52" s="33">
        <v>42439</v>
      </c>
      <c r="B52" s="34">
        <v>534.45000000000005</v>
      </c>
      <c r="C52" s="34">
        <f t="shared" si="0"/>
        <v>8.4555182466908886E-3</v>
      </c>
      <c r="E52" s="33">
        <v>42439</v>
      </c>
      <c r="F52" s="34">
        <v>24623.34</v>
      </c>
      <c r="G52" s="34">
        <f t="shared" si="1"/>
        <v>-6.9053015027098902E-3</v>
      </c>
    </row>
    <row r="53" spans="1:7" x14ac:dyDescent="0.3">
      <c r="A53" s="33">
        <v>42440</v>
      </c>
      <c r="B53" s="34">
        <v>534.70000000000005</v>
      </c>
      <c r="C53" s="34">
        <f t="shared" si="0"/>
        <v>4.6766123473109748E-4</v>
      </c>
      <c r="E53" s="33">
        <v>42440</v>
      </c>
      <c r="F53" s="34">
        <v>24717.99</v>
      </c>
      <c r="G53" s="34">
        <f t="shared" si="1"/>
        <v>3.8365449855808534E-3</v>
      </c>
    </row>
    <row r="54" spans="1:7" x14ac:dyDescent="0.3">
      <c r="A54" s="33">
        <v>42443</v>
      </c>
      <c r="B54" s="34">
        <v>538.04999999999995</v>
      </c>
      <c r="C54" s="34">
        <f t="shared" si="0"/>
        <v>6.2456506917151601E-3</v>
      </c>
      <c r="E54" s="33">
        <v>42443</v>
      </c>
      <c r="F54" s="34">
        <v>24804.28</v>
      </c>
      <c r="G54" s="34">
        <f t="shared" si="1"/>
        <v>3.4849003217853609E-3</v>
      </c>
    </row>
    <row r="55" spans="1:7" x14ac:dyDescent="0.3">
      <c r="A55" s="33">
        <v>42444</v>
      </c>
      <c r="B55" s="34">
        <v>524.70000000000005</v>
      </c>
      <c r="C55" s="34">
        <f t="shared" si="0"/>
        <v>-2.5124821953734999E-2</v>
      </c>
      <c r="E55" s="33">
        <v>42444</v>
      </c>
      <c r="F55" s="34">
        <v>24551.17</v>
      </c>
      <c r="G55" s="34">
        <f t="shared" si="1"/>
        <v>-1.0256707979700111E-2</v>
      </c>
    </row>
    <row r="56" spans="1:7" x14ac:dyDescent="0.3">
      <c r="A56" s="33">
        <v>42445</v>
      </c>
      <c r="B56" s="34">
        <v>532.65</v>
      </c>
      <c r="C56" s="34">
        <f t="shared" si="0"/>
        <v>1.5037877364540283E-2</v>
      </c>
      <c r="E56" s="33">
        <v>42445</v>
      </c>
      <c r="F56" s="34">
        <v>24682.48</v>
      </c>
      <c r="G56" s="34">
        <f t="shared" si="1"/>
        <v>5.3341692663763868E-3</v>
      </c>
    </row>
    <row r="57" spans="1:7" x14ac:dyDescent="0.3">
      <c r="A57" s="33">
        <v>42446</v>
      </c>
      <c r="B57" s="34">
        <v>524.45000000000005</v>
      </c>
      <c r="C57" s="34">
        <f t="shared" si="0"/>
        <v>-1.5514453649593541E-2</v>
      </c>
      <c r="E57" s="33">
        <v>42446</v>
      </c>
      <c r="F57" s="34">
        <v>24677.37</v>
      </c>
      <c r="G57" s="34">
        <f t="shared" si="1"/>
        <v>-2.0705087305805916E-4</v>
      </c>
    </row>
    <row r="58" spans="1:7" x14ac:dyDescent="0.3">
      <c r="A58" s="33">
        <v>42447</v>
      </c>
      <c r="B58" s="34">
        <v>528.35</v>
      </c>
      <c r="C58" s="34">
        <f t="shared" si="0"/>
        <v>7.4088484794267726E-3</v>
      </c>
      <c r="E58" s="33">
        <v>42447</v>
      </c>
      <c r="F58" s="34">
        <v>24952.74</v>
      </c>
      <c r="G58" s="34">
        <f t="shared" si="1"/>
        <v>1.1097006467681587E-2</v>
      </c>
    </row>
    <row r="59" spans="1:7" x14ac:dyDescent="0.3">
      <c r="A59" s="33">
        <v>42450</v>
      </c>
      <c r="B59" s="34">
        <v>535.95000000000005</v>
      </c>
      <c r="C59" s="34">
        <f t="shared" si="0"/>
        <v>1.4281930250488798E-2</v>
      </c>
      <c r="E59" s="33">
        <v>42450</v>
      </c>
      <c r="F59" s="34">
        <v>25285.37</v>
      </c>
      <c r="G59" s="34">
        <f t="shared" si="1"/>
        <v>1.3242331799539556E-2</v>
      </c>
    </row>
    <row r="60" spans="1:7" x14ac:dyDescent="0.3">
      <c r="A60" s="33">
        <v>42451</v>
      </c>
      <c r="B60" s="34">
        <v>536.5</v>
      </c>
      <c r="C60" s="34">
        <f t="shared" si="0"/>
        <v>1.0256889332244867E-3</v>
      </c>
      <c r="E60" s="33">
        <v>42451</v>
      </c>
      <c r="F60" s="34">
        <v>25330.49</v>
      </c>
      <c r="G60" s="34">
        <f t="shared" si="1"/>
        <v>1.7828408704799199E-3</v>
      </c>
    </row>
    <row r="61" spans="1:7" x14ac:dyDescent="0.3">
      <c r="A61" s="33">
        <v>42452</v>
      </c>
      <c r="B61" s="34">
        <v>532.5</v>
      </c>
      <c r="C61" s="34">
        <f t="shared" si="0"/>
        <v>-7.4836644871729965E-3</v>
      </c>
      <c r="E61" s="33">
        <v>42452</v>
      </c>
      <c r="F61" s="34">
        <v>25337.56</v>
      </c>
      <c r="G61" s="34">
        <f t="shared" si="1"/>
        <v>2.7907132979801863E-4</v>
      </c>
    </row>
    <row r="62" spans="1:7" x14ac:dyDescent="0.3">
      <c r="A62" s="33">
        <v>42457</v>
      </c>
      <c r="B62" s="34">
        <v>524.45000000000005</v>
      </c>
      <c r="C62" s="34">
        <f t="shared" si="0"/>
        <v>-1.5232803175967197E-2</v>
      </c>
      <c r="E62" s="33">
        <v>42457</v>
      </c>
      <c r="F62" s="34">
        <v>24966.400000000001</v>
      </c>
      <c r="G62" s="34">
        <f t="shared" si="1"/>
        <v>-1.4756958916742748E-2</v>
      </c>
    </row>
    <row r="63" spans="1:7" x14ac:dyDescent="0.3">
      <c r="A63" s="33">
        <v>42458</v>
      </c>
      <c r="B63" s="34">
        <v>504.35</v>
      </c>
      <c r="C63" s="34">
        <f t="shared" si="0"/>
        <v>-3.9079622906768495E-2</v>
      </c>
      <c r="E63" s="33">
        <v>42458</v>
      </c>
      <c r="F63" s="34">
        <v>24900.46</v>
      </c>
      <c r="G63" s="34">
        <f t="shared" si="1"/>
        <v>-2.644643694541789E-3</v>
      </c>
    </row>
    <row r="64" spans="1:7" x14ac:dyDescent="0.3">
      <c r="A64" s="33">
        <v>42459</v>
      </c>
      <c r="B64" s="34">
        <v>512.1</v>
      </c>
      <c r="C64" s="34">
        <f t="shared" si="0"/>
        <v>1.5249446967660184E-2</v>
      </c>
      <c r="E64" s="33">
        <v>42459</v>
      </c>
      <c r="F64" s="34">
        <v>25338.58</v>
      </c>
      <c r="G64" s="34">
        <f t="shared" si="1"/>
        <v>1.7441858242441023E-2</v>
      </c>
    </row>
    <row r="65" spans="1:7" x14ac:dyDescent="0.3">
      <c r="A65" s="33">
        <v>42460</v>
      </c>
      <c r="B65" s="34">
        <v>512.20000000000005</v>
      </c>
      <c r="C65" s="34">
        <f t="shared" si="0"/>
        <v>1.9525529692028407E-4</v>
      </c>
      <c r="E65" s="33">
        <v>42460</v>
      </c>
      <c r="F65" s="34">
        <v>25341.86</v>
      </c>
      <c r="G65" s="34">
        <f t="shared" si="1"/>
        <v>1.2943849755765014E-4</v>
      </c>
    </row>
    <row r="66" spans="1:7" x14ac:dyDescent="0.3">
      <c r="A66" s="33">
        <v>42461</v>
      </c>
      <c r="B66" s="34">
        <v>513.45000000000005</v>
      </c>
      <c r="C66" s="34">
        <f t="shared" si="0"/>
        <v>2.4374798788790505E-3</v>
      </c>
      <c r="E66" s="33">
        <v>42461</v>
      </c>
      <c r="F66" s="34">
        <v>25269.64</v>
      </c>
      <c r="G66" s="34">
        <f t="shared" si="1"/>
        <v>-2.8538987786469582E-3</v>
      </c>
    </row>
    <row r="67" spans="1:7" x14ac:dyDescent="0.3">
      <c r="A67" s="33">
        <v>42464</v>
      </c>
      <c r="B67" s="34">
        <v>513.9</v>
      </c>
      <c r="C67" s="34">
        <f t="shared" si="0"/>
        <v>8.7604035387981848E-4</v>
      </c>
      <c r="E67" s="33">
        <v>42464</v>
      </c>
      <c r="F67" s="34">
        <v>25399.65</v>
      </c>
      <c r="G67" s="34">
        <f t="shared" si="1"/>
        <v>5.1317192450376116E-3</v>
      </c>
    </row>
    <row r="68" spans="1:7" x14ac:dyDescent="0.3">
      <c r="A68" s="33">
        <v>42465</v>
      </c>
      <c r="B68" s="34">
        <v>504</v>
      </c>
      <c r="C68" s="34">
        <f t="shared" si="0"/>
        <v>-1.9452425926815294E-2</v>
      </c>
      <c r="E68" s="33">
        <v>42465</v>
      </c>
      <c r="F68" s="34">
        <v>24883.59</v>
      </c>
      <c r="G68" s="34">
        <f t="shared" si="1"/>
        <v>-2.0526844335689562E-2</v>
      </c>
    </row>
    <row r="69" spans="1:7" x14ac:dyDescent="0.3">
      <c r="A69" s="33">
        <v>42466</v>
      </c>
      <c r="B69" s="34">
        <v>506</v>
      </c>
      <c r="C69" s="34">
        <f t="shared" si="0"/>
        <v>3.9604012160969143E-3</v>
      </c>
      <c r="E69" s="33">
        <v>42466</v>
      </c>
      <c r="F69" s="34">
        <v>24900.63</v>
      </c>
      <c r="G69" s="34">
        <f t="shared" si="1"/>
        <v>6.8455428910744499E-4</v>
      </c>
    </row>
    <row r="70" spans="1:7" x14ac:dyDescent="0.3">
      <c r="A70" s="33">
        <v>42467</v>
      </c>
      <c r="B70" s="34">
        <v>507.6</v>
      </c>
      <c r="C70" s="34">
        <f t="shared" si="0"/>
        <v>3.1570665527670331E-3</v>
      </c>
      <c r="E70" s="33">
        <v>42467</v>
      </c>
      <c r="F70" s="34">
        <v>24685.42</v>
      </c>
      <c r="G70" s="34">
        <f t="shared" si="1"/>
        <v>-8.6803184081248284E-3</v>
      </c>
    </row>
    <row r="71" spans="1:7" x14ac:dyDescent="0.3">
      <c r="A71" s="33">
        <v>42468</v>
      </c>
      <c r="B71" s="34">
        <v>505.55</v>
      </c>
      <c r="C71" s="34">
        <f t="shared" ref="C71:C134" si="2">LN(B71/B70)</f>
        <v>-4.0467903028245057E-3</v>
      </c>
      <c r="E71" s="33">
        <v>42468</v>
      </c>
      <c r="F71" s="34">
        <v>24673.84</v>
      </c>
      <c r="G71" s="34">
        <f t="shared" ref="G71:G134" si="3">LN(F71/F70)</f>
        <v>-4.6921287768309677E-4</v>
      </c>
    </row>
    <row r="72" spans="1:7" x14ac:dyDescent="0.3">
      <c r="A72" s="33">
        <v>42471</v>
      </c>
      <c r="B72" s="34">
        <v>502.6</v>
      </c>
      <c r="C72" s="34">
        <f t="shared" si="2"/>
        <v>-5.8523204279162183E-3</v>
      </c>
      <c r="E72" s="33">
        <v>42471</v>
      </c>
      <c r="F72" s="34">
        <v>25022.16</v>
      </c>
      <c r="G72" s="34">
        <f t="shared" si="3"/>
        <v>1.401825917811292E-2</v>
      </c>
    </row>
    <row r="73" spans="1:7" x14ac:dyDescent="0.3">
      <c r="A73" s="33">
        <v>42472</v>
      </c>
      <c r="B73" s="34">
        <v>503</v>
      </c>
      <c r="C73" s="34">
        <f t="shared" si="2"/>
        <v>7.955449902472641E-4</v>
      </c>
      <c r="E73" s="33">
        <v>42472</v>
      </c>
      <c r="F73" s="34">
        <v>25145.59</v>
      </c>
      <c r="G73" s="34">
        <f t="shared" si="3"/>
        <v>4.9207010102646888E-3</v>
      </c>
    </row>
    <row r="74" spans="1:7" x14ac:dyDescent="0.3">
      <c r="A74" s="33">
        <v>42473</v>
      </c>
      <c r="B74" s="34">
        <v>511.75</v>
      </c>
      <c r="C74" s="34">
        <f t="shared" si="2"/>
        <v>1.724605444165973E-2</v>
      </c>
      <c r="E74" s="33">
        <v>42473</v>
      </c>
      <c r="F74" s="34">
        <v>25626.75</v>
      </c>
      <c r="G74" s="34">
        <f t="shared" si="3"/>
        <v>1.8954194551679102E-2</v>
      </c>
    </row>
    <row r="75" spans="1:7" x14ac:dyDescent="0.3">
      <c r="A75" s="33">
        <v>42478</v>
      </c>
      <c r="B75" s="34">
        <v>524.15</v>
      </c>
      <c r="C75" s="34">
        <f t="shared" si="2"/>
        <v>2.3941678357182708E-2</v>
      </c>
      <c r="E75" s="33">
        <v>42478</v>
      </c>
      <c r="F75" s="34">
        <v>25816.36</v>
      </c>
      <c r="G75" s="34">
        <f t="shared" si="3"/>
        <v>7.3716716831814504E-3</v>
      </c>
    </row>
    <row r="76" spans="1:7" x14ac:dyDescent="0.3">
      <c r="A76" s="33">
        <v>42480</v>
      </c>
      <c r="B76" s="34">
        <v>527.25</v>
      </c>
      <c r="C76" s="34">
        <f t="shared" si="2"/>
        <v>5.8969164603022636E-3</v>
      </c>
      <c r="E76" s="33">
        <v>42480</v>
      </c>
      <c r="F76" s="34">
        <v>25844.18</v>
      </c>
      <c r="G76" s="34">
        <f t="shared" si="3"/>
        <v>1.0770310449429018E-3</v>
      </c>
    </row>
    <row r="77" spans="1:7" x14ac:dyDescent="0.3">
      <c r="A77" s="33">
        <v>42481</v>
      </c>
      <c r="B77" s="34">
        <v>531.95000000000005</v>
      </c>
      <c r="C77" s="34">
        <f t="shared" si="2"/>
        <v>8.8746806034912407E-3</v>
      </c>
      <c r="E77" s="33">
        <v>42481</v>
      </c>
      <c r="F77" s="34">
        <v>25880.38</v>
      </c>
      <c r="G77" s="34">
        <f t="shared" si="3"/>
        <v>1.3997221401329794E-3</v>
      </c>
    </row>
    <row r="78" spans="1:7" x14ac:dyDescent="0.3">
      <c r="A78" s="33">
        <v>42482</v>
      </c>
      <c r="B78" s="34">
        <v>531.5</v>
      </c>
      <c r="C78" s="34">
        <f t="shared" si="2"/>
        <v>-8.4630218037250985E-4</v>
      </c>
      <c r="E78" s="33">
        <v>42482</v>
      </c>
      <c r="F78" s="34">
        <v>25838.14</v>
      </c>
      <c r="G78" s="34">
        <f t="shared" si="3"/>
        <v>-1.6334577784519247E-3</v>
      </c>
    </row>
    <row r="79" spans="1:7" x14ac:dyDescent="0.3">
      <c r="A79" s="33">
        <v>42485</v>
      </c>
      <c r="B79" s="34">
        <v>525.9</v>
      </c>
      <c r="C79" s="34">
        <f t="shared" si="2"/>
        <v>-1.0592117186704138E-2</v>
      </c>
      <c r="E79" s="33">
        <v>42485</v>
      </c>
      <c r="F79" s="34">
        <v>25678.93</v>
      </c>
      <c r="G79" s="34">
        <f t="shared" si="3"/>
        <v>-6.1808836124513308E-3</v>
      </c>
    </row>
    <row r="80" spans="1:7" x14ac:dyDescent="0.3">
      <c r="A80" s="33">
        <v>42486</v>
      </c>
      <c r="B80" s="34">
        <v>540.35</v>
      </c>
      <c r="C80" s="34">
        <f t="shared" si="2"/>
        <v>2.71059971538762E-2</v>
      </c>
      <c r="E80" s="33">
        <v>42486</v>
      </c>
      <c r="F80" s="34">
        <v>26007.3</v>
      </c>
      <c r="G80" s="34">
        <f t="shared" si="3"/>
        <v>1.2706456556932848E-2</v>
      </c>
    </row>
    <row r="81" spans="1:7" x14ac:dyDescent="0.3">
      <c r="A81" s="33">
        <v>42487</v>
      </c>
      <c r="B81" s="34">
        <v>538.5</v>
      </c>
      <c r="C81" s="34">
        <f t="shared" si="2"/>
        <v>-3.4295811527314422E-3</v>
      </c>
      <c r="E81" s="33">
        <v>42487</v>
      </c>
      <c r="F81" s="34">
        <v>26064.12</v>
      </c>
      <c r="G81" s="34">
        <f t="shared" si="3"/>
        <v>2.1823880567089461E-3</v>
      </c>
    </row>
    <row r="82" spans="1:7" x14ac:dyDescent="0.3">
      <c r="A82" s="33">
        <v>42488</v>
      </c>
      <c r="B82" s="34">
        <v>527.04999999999995</v>
      </c>
      <c r="C82" s="34">
        <f t="shared" si="2"/>
        <v>-2.1492075895245193E-2</v>
      </c>
      <c r="E82" s="33">
        <v>42488</v>
      </c>
      <c r="F82" s="34">
        <v>25603.1</v>
      </c>
      <c r="G82" s="34">
        <f t="shared" si="3"/>
        <v>-1.7846217996395658E-2</v>
      </c>
    </row>
    <row r="83" spans="1:7" x14ac:dyDescent="0.3">
      <c r="A83" s="33">
        <v>42489</v>
      </c>
      <c r="B83" s="34">
        <v>537</v>
      </c>
      <c r="C83" s="34">
        <f t="shared" si="2"/>
        <v>1.8702673807666579E-2</v>
      </c>
      <c r="E83" s="33">
        <v>42489</v>
      </c>
      <c r="F83" s="34">
        <v>25606.62</v>
      </c>
      <c r="G83" s="34">
        <f t="shared" si="3"/>
        <v>1.3747390165559013E-4</v>
      </c>
    </row>
    <row r="84" spans="1:7" x14ac:dyDescent="0.3">
      <c r="A84" s="33">
        <v>42492</v>
      </c>
      <c r="B84" s="34">
        <v>538.29999999999995</v>
      </c>
      <c r="C84" s="34">
        <f t="shared" si="2"/>
        <v>2.4179310580467669E-3</v>
      </c>
      <c r="E84" s="33">
        <v>42492</v>
      </c>
      <c r="F84" s="34">
        <v>25436.97</v>
      </c>
      <c r="G84" s="34">
        <f t="shared" si="3"/>
        <v>-6.6472842009971823E-3</v>
      </c>
    </row>
    <row r="85" spans="1:7" x14ac:dyDescent="0.3">
      <c r="A85" s="33">
        <v>42493</v>
      </c>
      <c r="B85" s="34">
        <v>536.29999999999995</v>
      </c>
      <c r="C85" s="34">
        <f t="shared" si="2"/>
        <v>-3.7223195780320554E-3</v>
      </c>
      <c r="E85" s="33">
        <v>42493</v>
      </c>
      <c r="F85" s="34">
        <v>25229.7</v>
      </c>
      <c r="G85" s="34">
        <f t="shared" si="3"/>
        <v>-8.1817556290671497E-3</v>
      </c>
    </row>
    <row r="86" spans="1:7" x14ac:dyDescent="0.3">
      <c r="A86" s="33">
        <v>42494</v>
      </c>
      <c r="B86" s="34">
        <v>533.35</v>
      </c>
      <c r="C86" s="34">
        <f t="shared" si="2"/>
        <v>-5.5158369173875822E-3</v>
      </c>
      <c r="E86" s="33">
        <v>42494</v>
      </c>
      <c r="F86" s="34">
        <v>25101.73</v>
      </c>
      <c r="G86" s="34">
        <f t="shared" si="3"/>
        <v>-5.0851039104952171E-3</v>
      </c>
    </row>
    <row r="87" spans="1:7" x14ac:dyDescent="0.3">
      <c r="A87" s="33">
        <v>42495</v>
      </c>
      <c r="B87" s="34">
        <v>541.20000000000005</v>
      </c>
      <c r="C87" s="34">
        <f t="shared" si="2"/>
        <v>1.4611027225141252E-2</v>
      </c>
      <c r="E87" s="33">
        <v>42495</v>
      </c>
      <c r="F87" s="34">
        <v>25262.21</v>
      </c>
      <c r="G87" s="34">
        <f t="shared" si="3"/>
        <v>6.3728351328823062E-3</v>
      </c>
    </row>
    <row r="88" spans="1:7" x14ac:dyDescent="0.3">
      <c r="A88" s="33">
        <v>42496</v>
      </c>
      <c r="B88" s="34">
        <v>536.75</v>
      </c>
      <c r="C88" s="34">
        <f t="shared" si="2"/>
        <v>-8.2564595377426359E-3</v>
      </c>
      <c r="E88" s="33">
        <v>42496</v>
      </c>
      <c r="F88" s="34">
        <v>25228.5</v>
      </c>
      <c r="G88" s="34">
        <f t="shared" si="3"/>
        <v>-1.335295344778513E-3</v>
      </c>
    </row>
    <row r="89" spans="1:7" x14ac:dyDescent="0.3">
      <c r="A89" s="33">
        <v>42499</v>
      </c>
      <c r="B89" s="34">
        <v>536.6</v>
      </c>
      <c r="C89" s="34">
        <f t="shared" si="2"/>
        <v>-2.7949876736657467E-4</v>
      </c>
      <c r="E89" s="33">
        <v>42499</v>
      </c>
      <c r="F89" s="34">
        <v>25688.86</v>
      </c>
      <c r="G89" s="34">
        <f t="shared" si="3"/>
        <v>1.8083127040436391E-2</v>
      </c>
    </row>
    <row r="90" spans="1:7" x14ac:dyDescent="0.3">
      <c r="A90" s="33">
        <v>42500</v>
      </c>
      <c r="B90" s="34">
        <v>536.9</v>
      </c>
      <c r="C90" s="34">
        <f t="shared" si="2"/>
        <v>5.5891943699993847E-4</v>
      </c>
      <c r="E90" s="33">
        <v>42500</v>
      </c>
      <c r="F90" s="34">
        <v>25772.53</v>
      </c>
      <c r="G90" s="34">
        <f t="shared" si="3"/>
        <v>3.2517611252574929E-3</v>
      </c>
    </row>
    <row r="91" spans="1:7" x14ac:dyDescent="0.3">
      <c r="A91" s="33">
        <v>42501</v>
      </c>
      <c r="B91" s="34">
        <v>535.85</v>
      </c>
      <c r="C91" s="34">
        <f t="shared" si="2"/>
        <v>-1.9575862695176425E-3</v>
      </c>
      <c r="E91" s="33">
        <v>42501</v>
      </c>
      <c r="F91" s="34">
        <v>25597.02</v>
      </c>
      <c r="G91" s="34">
        <f t="shared" si="3"/>
        <v>-6.8332575593705704E-3</v>
      </c>
    </row>
    <row r="92" spans="1:7" x14ac:dyDescent="0.3">
      <c r="A92" s="33">
        <v>42502</v>
      </c>
      <c r="B92" s="34">
        <v>534.70000000000005</v>
      </c>
      <c r="C92" s="34">
        <f t="shared" si="2"/>
        <v>-2.1484292043200928E-3</v>
      </c>
      <c r="E92" s="33">
        <v>42502</v>
      </c>
      <c r="F92" s="34">
        <v>25790.22</v>
      </c>
      <c r="G92" s="34">
        <f t="shared" si="3"/>
        <v>7.5194118352403007E-3</v>
      </c>
    </row>
    <row r="93" spans="1:7" x14ac:dyDescent="0.3">
      <c r="A93" s="33">
        <v>42503</v>
      </c>
      <c r="B93" s="34">
        <v>531.25</v>
      </c>
      <c r="C93" s="34">
        <f t="shared" si="2"/>
        <v>-6.4731217160594358E-3</v>
      </c>
      <c r="E93" s="33">
        <v>42503</v>
      </c>
      <c r="F93" s="34">
        <v>25489.57</v>
      </c>
      <c r="G93" s="34">
        <f t="shared" si="3"/>
        <v>-1.1726001409822547E-2</v>
      </c>
    </row>
    <row r="94" spans="1:7" x14ac:dyDescent="0.3">
      <c r="A94" s="33">
        <v>42506</v>
      </c>
      <c r="B94" s="34">
        <v>523.45000000000005</v>
      </c>
      <c r="C94" s="34">
        <f t="shared" si="2"/>
        <v>-1.4791205473262528E-2</v>
      </c>
      <c r="E94" s="33">
        <v>42506</v>
      </c>
      <c r="F94" s="34">
        <v>25653.23</v>
      </c>
      <c r="G94" s="34">
        <f t="shared" si="3"/>
        <v>6.400140729499397E-3</v>
      </c>
    </row>
    <row r="95" spans="1:7" x14ac:dyDescent="0.3">
      <c r="A95" s="33">
        <v>42507</v>
      </c>
      <c r="B95" s="34">
        <v>524.65</v>
      </c>
      <c r="C95" s="34">
        <f t="shared" si="2"/>
        <v>2.2898588385558871E-3</v>
      </c>
      <c r="E95" s="33">
        <v>42507</v>
      </c>
      <c r="F95" s="34">
        <v>25773.61</v>
      </c>
      <c r="G95" s="34">
        <f t="shared" si="3"/>
        <v>4.6816106091198198E-3</v>
      </c>
    </row>
    <row r="96" spans="1:7" x14ac:dyDescent="0.3">
      <c r="A96" s="33">
        <v>42508</v>
      </c>
      <c r="B96" s="34">
        <v>524.29999999999995</v>
      </c>
      <c r="C96" s="34">
        <f t="shared" si="2"/>
        <v>-6.6733402543296043E-4</v>
      </c>
      <c r="E96" s="33">
        <v>42508</v>
      </c>
      <c r="F96" s="34">
        <v>25704.61</v>
      </c>
      <c r="G96" s="34">
        <f t="shared" si="3"/>
        <v>-2.6807469769475657E-3</v>
      </c>
    </row>
    <row r="97" spans="1:7" x14ac:dyDescent="0.3">
      <c r="A97" s="33">
        <v>42509</v>
      </c>
      <c r="B97" s="34">
        <v>512.6</v>
      </c>
      <c r="C97" s="34">
        <f t="shared" si="2"/>
        <v>-2.2568225648516183E-2</v>
      </c>
      <c r="E97" s="33">
        <v>42509</v>
      </c>
      <c r="F97" s="34">
        <v>25399.72</v>
      </c>
      <c r="G97" s="34">
        <f t="shared" si="3"/>
        <v>-1.193220290518974E-2</v>
      </c>
    </row>
    <row r="98" spans="1:7" x14ac:dyDescent="0.3">
      <c r="A98" s="33">
        <v>42510</v>
      </c>
      <c r="B98" s="34">
        <v>507.25</v>
      </c>
      <c r="C98" s="34">
        <f t="shared" si="2"/>
        <v>-1.0491835224046625E-2</v>
      </c>
      <c r="E98" s="33">
        <v>42510</v>
      </c>
      <c r="F98" s="34">
        <v>25301.9</v>
      </c>
      <c r="G98" s="34">
        <f t="shared" si="3"/>
        <v>-3.8586586137540728E-3</v>
      </c>
    </row>
    <row r="99" spans="1:7" x14ac:dyDescent="0.3">
      <c r="A99" s="33">
        <v>42513</v>
      </c>
      <c r="B99" s="34">
        <v>497.4</v>
      </c>
      <c r="C99" s="34">
        <f t="shared" si="2"/>
        <v>-1.9609447336619908E-2</v>
      </c>
      <c r="E99" s="33">
        <v>42513</v>
      </c>
      <c r="F99" s="34">
        <v>25230.36</v>
      </c>
      <c r="G99" s="34">
        <f t="shared" si="3"/>
        <v>-2.8314604490548871E-3</v>
      </c>
    </row>
    <row r="100" spans="1:7" x14ac:dyDescent="0.3">
      <c r="A100" s="33">
        <v>42514</v>
      </c>
      <c r="B100" s="34">
        <v>494.9</v>
      </c>
      <c r="C100" s="34">
        <f t="shared" si="2"/>
        <v>-5.0388094114639653E-3</v>
      </c>
      <c r="E100" s="33">
        <v>42514</v>
      </c>
      <c r="F100" s="34">
        <v>25305.47</v>
      </c>
      <c r="G100" s="34">
        <f t="shared" si="3"/>
        <v>2.9725466191490748E-3</v>
      </c>
    </row>
    <row r="101" spans="1:7" x14ac:dyDescent="0.3">
      <c r="A101" s="33">
        <v>42515</v>
      </c>
      <c r="B101" s="34">
        <v>470.3</v>
      </c>
      <c r="C101" s="34">
        <f t="shared" si="2"/>
        <v>-5.0984933006838054E-2</v>
      </c>
      <c r="E101" s="33">
        <v>42515</v>
      </c>
      <c r="F101" s="34">
        <v>25881.17</v>
      </c>
      <c r="G101" s="34">
        <f t="shared" si="3"/>
        <v>2.2495099368128317E-2</v>
      </c>
    </row>
    <row r="102" spans="1:7" x14ac:dyDescent="0.3">
      <c r="A102" s="33">
        <v>42516</v>
      </c>
      <c r="B102" s="34">
        <v>467.6</v>
      </c>
      <c r="C102" s="34">
        <f t="shared" si="2"/>
        <v>-5.7575593530888826E-3</v>
      </c>
      <c r="E102" s="33">
        <v>42516</v>
      </c>
      <c r="F102" s="34">
        <v>26366.68</v>
      </c>
      <c r="G102" s="34">
        <f t="shared" si="3"/>
        <v>1.8585414528220354E-2</v>
      </c>
    </row>
    <row r="103" spans="1:7" x14ac:dyDescent="0.3">
      <c r="A103" s="33">
        <v>42517</v>
      </c>
      <c r="B103" s="34">
        <v>473.65</v>
      </c>
      <c r="C103" s="34">
        <f t="shared" si="2"/>
        <v>1.2855422723629968E-2</v>
      </c>
      <c r="E103" s="33">
        <v>42517</v>
      </c>
      <c r="F103" s="34">
        <v>26653.599999999999</v>
      </c>
      <c r="G103" s="34">
        <f t="shared" si="3"/>
        <v>1.0823134122169264E-2</v>
      </c>
    </row>
    <row r="104" spans="1:7" x14ac:dyDescent="0.3">
      <c r="A104" s="33">
        <v>42520</v>
      </c>
      <c r="B104" s="34">
        <v>473.65</v>
      </c>
      <c r="C104" s="34">
        <f t="shared" si="2"/>
        <v>0</v>
      </c>
      <c r="E104" s="33">
        <v>42520</v>
      </c>
      <c r="F104" s="34">
        <v>26725.599999999999</v>
      </c>
      <c r="G104" s="34">
        <f t="shared" si="3"/>
        <v>2.6976816312312981E-3</v>
      </c>
    </row>
    <row r="105" spans="1:7" x14ac:dyDescent="0.3">
      <c r="A105" s="33">
        <v>42521</v>
      </c>
      <c r="B105" s="34">
        <v>472.4</v>
      </c>
      <c r="C105" s="34">
        <f t="shared" si="2"/>
        <v>-2.6425679983361908E-3</v>
      </c>
      <c r="E105" s="33">
        <v>42521</v>
      </c>
      <c r="F105" s="34">
        <v>26667.96</v>
      </c>
      <c r="G105" s="34">
        <f t="shared" si="3"/>
        <v>-2.1590627180874998E-3</v>
      </c>
    </row>
    <row r="106" spans="1:7" x14ac:dyDescent="0.3">
      <c r="A106" s="33">
        <v>42522</v>
      </c>
      <c r="B106" s="34">
        <v>465.35</v>
      </c>
      <c r="C106" s="34">
        <f t="shared" si="2"/>
        <v>-1.5036273691487636E-2</v>
      </c>
      <c r="E106" s="33">
        <v>42522</v>
      </c>
      <c r="F106" s="34">
        <v>26713.93</v>
      </c>
      <c r="G106" s="34">
        <f t="shared" si="3"/>
        <v>1.7223073729147539E-3</v>
      </c>
    </row>
    <row r="107" spans="1:7" x14ac:dyDescent="0.3">
      <c r="A107" s="33">
        <v>42523</v>
      </c>
      <c r="B107" s="34">
        <v>469.25</v>
      </c>
      <c r="C107" s="34">
        <f t="shared" si="2"/>
        <v>8.3458648348987089E-3</v>
      </c>
      <c r="E107" s="33">
        <v>42523</v>
      </c>
      <c r="F107" s="34">
        <v>26843.14</v>
      </c>
      <c r="G107" s="34">
        <f t="shared" si="3"/>
        <v>4.8251426259447406E-3</v>
      </c>
    </row>
    <row r="108" spans="1:7" x14ac:dyDescent="0.3">
      <c r="A108" s="33">
        <v>42524</v>
      </c>
      <c r="B108" s="34">
        <v>465.1</v>
      </c>
      <c r="C108" s="34">
        <f t="shared" si="2"/>
        <v>-8.8832392365668054E-3</v>
      </c>
      <c r="E108" s="33">
        <v>42524</v>
      </c>
      <c r="F108" s="34">
        <v>26843.03</v>
      </c>
      <c r="G108" s="34">
        <f t="shared" si="3"/>
        <v>-4.097889642783683E-6</v>
      </c>
    </row>
    <row r="109" spans="1:7" x14ac:dyDescent="0.3">
      <c r="A109" s="33">
        <v>42527</v>
      </c>
      <c r="B109" s="34">
        <v>467.65</v>
      </c>
      <c r="C109" s="34">
        <f t="shared" si="2"/>
        <v>5.4677166505084918E-3</v>
      </c>
      <c r="E109" s="33">
        <v>42527</v>
      </c>
      <c r="F109" s="34">
        <v>26777.45</v>
      </c>
      <c r="G109" s="34">
        <f t="shared" si="3"/>
        <v>-2.4460815232840412E-3</v>
      </c>
    </row>
    <row r="110" spans="1:7" x14ac:dyDescent="0.3">
      <c r="A110" s="33">
        <v>42528</v>
      </c>
      <c r="B110" s="34">
        <v>468.75</v>
      </c>
      <c r="C110" s="34">
        <f t="shared" si="2"/>
        <v>2.3494244040606913E-3</v>
      </c>
      <c r="E110" s="33">
        <v>42528</v>
      </c>
      <c r="F110" s="34">
        <v>27009.67</v>
      </c>
      <c r="G110" s="34">
        <f t="shared" si="3"/>
        <v>8.6348346171205292E-3</v>
      </c>
    </row>
    <row r="111" spans="1:7" x14ac:dyDescent="0.3">
      <c r="A111" s="33">
        <v>42529</v>
      </c>
      <c r="B111" s="34">
        <v>472.75</v>
      </c>
      <c r="C111" s="34">
        <f t="shared" si="2"/>
        <v>8.4971302539462532E-3</v>
      </c>
      <c r="E111" s="33">
        <v>42529</v>
      </c>
      <c r="F111" s="34">
        <v>27020.66</v>
      </c>
      <c r="G111" s="34">
        <f t="shared" si="3"/>
        <v>4.0680855184723429E-4</v>
      </c>
    </row>
    <row r="112" spans="1:7" x14ac:dyDescent="0.3">
      <c r="A112" s="33">
        <v>42530</v>
      </c>
      <c r="B112" s="34">
        <v>479.9</v>
      </c>
      <c r="C112" s="34">
        <f t="shared" si="2"/>
        <v>1.5011041325632826E-2</v>
      </c>
      <c r="E112" s="33">
        <v>42530</v>
      </c>
      <c r="F112" s="34">
        <v>26763.46</v>
      </c>
      <c r="G112" s="34">
        <f t="shared" si="3"/>
        <v>-9.5642342238599926E-3</v>
      </c>
    </row>
    <row r="113" spans="1:7" x14ac:dyDescent="0.3">
      <c r="A113" s="33">
        <v>42531</v>
      </c>
      <c r="B113" s="34">
        <v>476.25</v>
      </c>
      <c r="C113" s="34">
        <f t="shared" si="2"/>
        <v>-7.6348224232890317E-3</v>
      </c>
      <c r="E113" s="33">
        <v>42531</v>
      </c>
      <c r="F113" s="34">
        <v>26635.75</v>
      </c>
      <c r="G113" s="34">
        <f t="shared" si="3"/>
        <v>-4.7832259500591601E-3</v>
      </c>
    </row>
    <row r="114" spans="1:7" x14ac:dyDescent="0.3">
      <c r="A114" s="33">
        <v>42534</v>
      </c>
      <c r="B114" s="34">
        <v>469.2</v>
      </c>
      <c r="C114" s="34">
        <f t="shared" si="2"/>
        <v>-1.4913809661590359E-2</v>
      </c>
      <c r="E114" s="33">
        <v>42534</v>
      </c>
      <c r="F114" s="34">
        <v>26396.77</v>
      </c>
      <c r="G114" s="34">
        <f t="shared" si="3"/>
        <v>-9.0126442284307728E-3</v>
      </c>
    </row>
    <row r="115" spans="1:7" x14ac:dyDescent="0.3">
      <c r="A115" s="33">
        <v>42535</v>
      </c>
      <c r="B115" s="34">
        <v>482.2</v>
      </c>
      <c r="C115" s="34">
        <f t="shared" si="2"/>
        <v>2.7329848967750221E-2</v>
      </c>
      <c r="E115" s="33">
        <v>42535</v>
      </c>
      <c r="F115" s="34">
        <v>26395.71</v>
      </c>
      <c r="G115" s="34">
        <f t="shared" si="3"/>
        <v>-4.0157234520692188E-5</v>
      </c>
    </row>
    <row r="116" spans="1:7" x14ac:dyDescent="0.3">
      <c r="A116" s="33">
        <v>42536</v>
      </c>
      <c r="B116" s="34">
        <v>489.35</v>
      </c>
      <c r="C116" s="34">
        <f t="shared" si="2"/>
        <v>1.4719014124757838E-2</v>
      </c>
      <c r="E116" s="33">
        <v>42536</v>
      </c>
      <c r="F116" s="34">
        <v>26726.34</v>
      </c>
      <c r="G116" s="34">
        <f t="shared" si="3"/>
        <v>1.2448099024464509E-2</v>
      </c>
    </row>
    <row r="117" spans="1:7" x14ac:dyDescent="0.3">
      <c r="A117" s="33">
        <v>42537</v>
      </c>
      <c r="B117" s="34">
        <v>485.1</v>
      </c>
      <c r="C117" s="34">
        <f t="shared" si="2"/>
        <v>-8.7229246206576138E-3</v>
      </c>
      <c r="E117" s="33">
        <v>42537</v>
      </c>
      <c r="F117" s="34">
        <v>26525.46</v>
      </c>
      <c r="G117" s="34">
        <f t="shared" si="3"/>
        <v>-7.5445694924396898E-3</v>
      </c>
    </row>
    <row r="118" spans="1:7" x14ac:dyDescent="0.3">
      <c r="A118" s="33">
        <v>42538</v>
      </c>
      <c r="B118" s="34">
        <v>485.55</v>
      </c>
      <c r="C118" s="34">
        <f t="shared" si="2"/>
        <v>9.272137891922675E-4</v>
      </c>
      <c r="E118" s="33">
        <v>42538</v>
      </c>
      <c r="F118" s="34">
        <v>26625.91</v>
      </c>
      <c r="G118" s="34">
        <f t="shared" si="3"/>
        <v>3.7797753695370411E-3</v>
      </c>
    </row>
    <row r="119" spans="1:7" x14ac:dyDescent="0.3">
      <c r="A119" s="33">
        <v>42541</v>
      </c>
      <c r="B119" s="34">
        <v>486.65</v>
      </c>
      <c r="C119" s="34">
        <f t="shared" si="2"/>
        <v>2.2629098321395261E-3</v>
      </c>
      <c r="E119" s="33">
        <v>42541</v>
      </c>
      <c r="F119" s="34">
        <v>26866.92</v>
      </c>
      <c r="G119" s="34">
        <f t="shared" si="3"/>
        <v>9.0109882311376777E-3</v>
      </c>
    </row>
    <row r="120" spans="1:7" x14ac:dyDescent="0.3">
      <c r="A120" s="33">
        <v>42542</v>
      </c>
      <c r="B120" s="34">
        <v>482.85</v>
      </c>
      <c r="C120" s="34">
        <f t="shared" si="2"/>
        <v>-7.8391324595756817E-3</v>
      </c>
      <c r="E120" s="33">
        <v>42542</v>
      </c>
      <c r="F120" s="34">
        <v>26812.78</v>
      </c>
      <c r="G120" s="34">
        <f t="shared" si="3"/>
        <v>-2.0171505562624555E-3</v>
      </c>
    </row>
    <row r="121" spans="1:7" x14ac:dyDescent="0.3">
      <c r="A121" s="33">
        <v>42543</v>
      </c>
      <c r="B121" s="34">
        <v>483.5</v>
      </c>
      <c r="C121" s="34">
        <f t="shared" si="2"/>
        <v>1.345268480421999E-3</v>
      </c>
      <c r="E121" s="33">
        <v>42543</v>
      </c>
      <c r="F121" s="34">
        <v>26765.65</v>
      </c>
      <c r="G121" s="34">
        <f t="shared" si="3"/>
        <v>-1.7592905262813613E-3</v>
      </c>
    </row>
    <row r="122" spans="1:7" x14ac:dyDescent="0.3">
      <c r="A122" s="33">
        <v>42544</v>
      </c>
      <c r="B122" s="34">
        <v>476.1</v>
      </c>
      <c r="C122" s="34">
        <f t="shared" si="2"/>
        <v>-1.5423398692875888E-2</v>
      </c>
      <c r="E122" s="33">
        <v>42544</v>
      </c>
      <c r="F122" s="34">
        <v>27002.22</v>
      </c>
      <c r="G122" s="34">
        <f t="shared" si="3"/>
        <v>8.7997358486189715E-3</v>
      </c>
    </row>
    <row r="123" spans="1:7" x14ac:dyDescent="0.3">
      <c r="A123" s="33">
        <v>42545</v>
      </c>
      <c r="B123" s="34">
        <v>476.5</v>
      </c>
      <c r="C123" s="34">
        <f t="shared" si="2"/>
        <v>8.3980689378375514E-4</v>
      </c>
      <c r="E123" s="33">
        <v>42545</v>
      </c>
      <c r="F123" s="34">
        <v>26397.71</v>
      </c>
      <c r="G123" s="34">
        <f t="shared" si="3"/>
        <v>-2.2641820880803357E-2</v>
      </c>
    </row>
    <row r="124" spans="1:7" x14ac:dyDescent="0.3">
      <c r="A124" s="33">
        <v>42548</v>
      </c>
      <c r="B124" s="34">
        <v>489</v>
      </c>
      <c r="C124" s="34">
        <f t="shared" si="2"/>
        <v>2.5894766380615181E-2</v>
      </c>
      <c r="E124" s="33">
        <v>42548</v>
      </c>
      <c r="F124" s="34">
        <v>26402.959999999999</v>
      </c>
      <c r="G124" s="34">
        <f t="shared" si="3"/>
        <v>1.9886111359197807E-4</v>
      </c>
    </row>
    <row r="125" spans="1:7" x14ac:dyDescent="0.3">
      <c r="A125" s="33">
        <v>42549</v>
      </c>
      <c r="B125" s="34">
        <v>496.85</v>
      </c>
      <c r="C125" s="34">
        <f t="shared" si="2"/>
        <v>1.5925680202500288E-2</v>
      </c>
      <c r="E125" s="33">
        <v>42549</v>
      </c>
      <c r="F125" s="34">
        <v>26524.55</v>
      </c>
      <c r="G125" s="34">
        <f t="shared" si="3"/>
        <v>4.5945941496206514E-3</v>
      </c>
    </row>
    <row r="126" spans="1:7" x14ac:dyDescent="0.3">
      <c r="A126" s="33">
        <v>42550</v>
      </c>
      <c r="B126" s="34">
        <v>501.3</v>
      </c>
      <c r="C126" s="34">
        <f t="shared" si="2"/>
        <v>8.9165545920852508E-3</v>
      </c>
      <c r="E126" s="33">
        <v>42550</v>
      </c>
      <c r="F126" s="34">
        <v>26740.39</v>
      </c>
      <c r="G126" s="34">
        <f t="shared" si="3"/>
        <v>8.1044372300879425E-3</v>
      </c>
    </row>
    <row r="127" spans="1:7" x14ac:dyDescent="0.3">
      <c r="A127" s="33">
        <v>42551</v>
      </c>
      <c r="B127" s="34">
        <v>501.45</v>
      </c>
      <c r="C127" s="34">
        <f t="shared" si="2"/>
        <v>2.9917726475962142E-4</v>
      </c>
      <c r="E127" s="33">
        <v>42551</v>
      </c>
      <c r="F127" s="34">
        <v>26999.72</v>
      </c>
      <c r="G127" s="34">
        <f t="shared" si="3"/>
        <v>9.6513391211993007E-3</v>
      </c>
    </row>
    <row r="128" spans="1:7" x14ac:dyDescent="0.3">
      <c r="A128" s="33">
        <v>42552</v>
      </c>
      <c r="B128" s="34">
        <v>507.9</v>
      </c>
      <c r="C128" s="34">
        <f t="shared" si="2"/>
        <v>1.2780676272982091E-2</v>
      </c>
      <c r="E128" s="33">
        <v>42552</v>
      </c>
      <c r="F128" s="34">
        <v>27144.91</v>
      </c>
      <c r="G128" s="34">
        <f t="shared" si="3"/>
        <v>5.3630562440103594E-3</v>
      </c>
    </row>
    <row r="129" spans="1:7" x14ac:dyDescent="0.3">
      <c r="A129" s="33">
        <v>42555</v>
      </c>
      <c r="B129" s="34">
        <v>509.25</v>
      </c>
      <c r="C129" s="34">
        <f t="shared" si="2"/>
        <v>2.654477299715846E-3</v>
      </c>
      <c r="E129" s="33">
        <v>42555</v>
      </c>
      <c r="F129" s="34">
        <v>27278.76</v>
      </c>
      <c r="G129" s="34">
        <f t="shared" si="3"/>
        <v>4.918825572521132E-3</v>
      </c>
    </row>
    <row r="130" spans="1:7" x14ac:dyDescent="0.3">
      <c r="A130" s="33">
        <v>42556</v>
      </c>
      <c r="B130" s="34">
        <v>506.55</v>
      </c>
      <c r="C130" s="34">
        <f t="shared" si="2"/>
        <v>-5.3160196072287854E-3</v>
      </c>
      <c r="E130" s="33">
        <v>42556</v>
      </c>
      <c r="F130" s="34">
        <v>27166.87</v>
      </c>
      <c r="G130" s="34">
        <f t="shared" si="3"/>
        <v>-4.1101611834435522E-3</v>
      </c>
    </row>
    <row r="131" spans="1:7" x14ac:dyDescent="0.3">
      <c r="A131" s="33">
        <v>42558</v>
      </c>
      <c r="B131" s="34">
        <v>513.25</v>
      </c>
      <c r="C131" s="34">
        <f t="shared" si="2"/>
        <v>1.3140020399356642E-2</v>
      </c>
      <c r="E131" s="33">
        <v>42558</v>
      </c>
      <c r="F131" s="34">
        <v>27201.49</v>
      </c>
      <c r="G131" s="34">
        <f t="shared" si="3"/>
        <v>1.2735350001051918E-3</v>
      </c>
    </row>
    <row r="132" spans="1:7" x14ac:dyDescent="0.3">
      <c r="A132" s="33">
        <v>42559</v>
      </c>
      <c r="B132" s="34">
        <v>519.75</v>
      </c>
      <c r="C132" s="34">
        <f t="shared" si="2"/>
        <v>1.2584870839079285E-2</v>
      </c>
      <c r="E132" s="33">
        <v>42559</v>
      </c>
      <c r="F132" s="34">
        <v>27126.9</v>
      </c>
      <c r="G132" s="34">
        <f t="shared" si="3"/>
        <v>-2.7458957229185657E-3</v>
      </c>
    </row>
    <row r="133" spans="1:7" x14ac:dyDescent="0.3">
      <c r="A133" s="33">
        <v>42562</v>
      </c>
      <c r="B133" s="34">
        <v>521.35</v>
      </c>
      <c r="C133" s="34">
        <f t="shared" si="2"/>
        <v>3.0736744974797624E-3</v>
      </c>
      <c r="E133" s="33">
        <v>42562</v>
      </c>
      <c r="F133" s="34">
        <v>27626.69</v>
      </c>
      <c r="G133" s="34">
        <f t="shared" si="3"/>
        <v>1.8256478946840481E-2</v>
      </c>
    </row>
    <row r="134" spans="1:7" x14ac:dyDescent="0.3">
      <c r="A134" s="33">
        <v>42563</v>
      </c>
      <c r="B134" s="34">
        <v>516.20000000000005</v>
      </c>
      <c r="C134" s="34">
        <f t="shared" si="2"/>
        <v>-9.9273139510885691E-3</v>
      </c>
      <c r="E134" s="33">
        <v>42563</v>
      </c>
      <c r="F134" s="34">
        <v>27808.14</v>
      </c>
      <c r="G134" s="34">
        <f t="shared" si="3"/>
        <v>6.5464491554468535E-3</v>
      </c>
    </row>
    <row r="135" spans="1:7" x14ac:dyDescent="0.3">
      <c r="A135" s="33">
        <v>42564</v>
      </c>
      <c r="B135" s="34">
        <v>515.25</v>
      </c>
      <c r="C135" s="34">
        <f t="shared" ref="C135:C198" si="4">LN(B135/B134)</f>
        <v>-1.8420675139451579E-3</v>
      </c>
      <c r="E135" s="33">
        <v>42564</v>
      </c>
      <c r="F135" s="34">
        <v>27815.18</v>
      </c>
      <c r="G135" s="34">
        <f t="shared" ref="G135:G198" si="5">LN(F135/F134)</f>
        <v>2.5313124198962178E-4</v>
      </c>
    </row>
    <row r="136" spans="1:7" x14ac:dyDescent="0.3">
      <c r="A136" s="33">
        <v>42565</v>
      </c>
      <c r="B136" s="34">
        <v>510.9</v>
      </c>
      <c r="C136" s="34">
        <f t="shared" si="4"/>
        <v>-8.4783434338161594E-3</v>
      </c>
      <c r="E136" s="33">
        <v>42565</v>
      </c>
      <c r="F136" s="34">
        <v>27942.11</v>
      </c>
      <c r="G136" s="34">
        <f t="shared" si="5"/>
        <v>4.5529551118842259E-3</v>
      </c>
    </row>
    <row r="137" spans="1:7" x14ac:dyDescent="0.3">
      <c r="A137" s="33">
        <v>42566</v>
      </c>
      <c r="B137" s="34">
        <v>516.15</v>
      </c>
      <c r="C137" s="34">
        <f t="shared" si="4"/>
        <v>1.0223544574846779E-2</v>
      </c>
      <c r="E137" s="33">
        <v>42566</v>
      </c>
      <c r="F137" s="34">
        <v>27836.5</v>
      </c>
      <c r="G137" s="34">
        <f t="shared" si="5"/>
        <v>-3.786760774426736E-3</v>
      </c>
    </row>
    <row r="138" spans="1:7" x14ac:dyDescent="0.3">
      <c r="A138" s="33">
        <v>42569</v>
      </c>
      <c r="B138" s="34">
        <v>508.1</v>
      </c>
      <c r="C138" s="34">
        <f t="shared" si="4"/>
        <v>-1.5719142311912741E-2</v>
      </c>
      <c r="E138" s="33">
        <v>42569</v>
      </c>
      <c r="F138" s="34">
        <v>27746.66</v>
      </c>
      <c r="G138" s="34">
        <f t="shared" si="5"/>
        <v>-3.2326365840013396E-3</v>
      </c>
    </row>
    <row r="139" spans="1:7" x14ac:dyDescent="0.3">
      <c r="A139" s="33">
        <v>42570</v>
      </c>
      <c r="B139" s="34">
        <v>505.7</v>
      </c>
      <c r="C139" s="34">
        <f t="shared" si="4"/>
        <v>-4.7346705137489686E-3</v>
      </c>
      <c r="E139" s="33">
        <v>42570</v>
      </c>
      <c r="F139" s="34">
        <v>27787.62</v>
      </c>
      <c r="G139" s="34">
        <f t="shared" si="5"/>
        <v>1.4751251813256176E-3</v>
      </c>
    </row>
    <row r="140" spans="1:7" x14ac:dyDescent="0.3">
      <c r="A140" s="33">
        <v>42571</v>
      </c>
      <c r="B140" s="34">
        <v>517.79999999999995</v>
      </c>
      <c r="C140" s="34">
        <f t="shared" si="4"/>
        <v>2.3645459231499955E-2</v>
      </c>
      <c r="E140" s="33">
        <v>42571</v>
      </c>
      <c r="F140" s="34">
        <v>27915.89</v>
      </c>
      <c r="G140" s="34">
        <f t="shared" si="5"/>
        <v>4.6054629850160846E-3</v>
      </c>
    </row>
    <row r="141" spans="1:7" x14ac:dyDescent="0.3">
      <c r="A141" s="33">
        <v>42572</v>
      </c>
      <c r="B141" s="34">
        <v>515.4</v>
      </c>
      <c r="C141" s="34">
        <f t="shared" si="4"/>
        <v>-4.6457690991725687E-3</v>
      </c>
      <c r="E141" s="33">
        <v>42572</v>
      </c>
      <c r="F141" s="34">
        <v>27710.52</v>
      </c>
      <c r="G141" s="34">
        <f t="shared" si="5"/>
        <v>-7.383936267199547E-3</v>
      </c>
    </row>
    <row r="142" spans="1:7" x14ac:dyDescent="0.3">
      <c r="A142" s="33">
        <v>42573</v>
      </c>
      <c r="B142" s="34">
        <v>519.70000000000005</v>
      </c>
      <c r="C142" s="34">
        <f t="shared" si="4"/>
        <v>8.3084237961316958E-3</v>
      </c>
      <c r="E142" s="33">
        <v>42573</v>
      </c>
      <c r="F142" s="34">
        <v>27803.24</v>
      </c>
      <c r="G142" s="34">
        <f t="shared" si="5"/>
        <v>3.3404361807992176E-3</v>
      </c>
    </row>
    <row r="143" spans="1:7" x14ac:dyDescent="0.3">
      <c r="A143" s="33">
        <v>42576</v>
      </c>
      <c r="B143" s="34">
        <v>524.6</v>
      </c>
      <c r="C143" s="34">
        <f t="shared" si="4"/>
        <v>9.3843454183771061E-3</v>
      </c>
      <c r="E143" s="33">
        <v>42576</v>
      </c>
      <c r="F143" s="34">
        <v>28095.34</v>
      </c>
      <c r="G143" s="34">
        <f t="shared" si="5"/>
        <v>1.0451165620273218E-2</v>
      </c>
    </row>
    <row r="144" spans="1:7" x14ac:dyDescent="0.3">
      <c r="A144" s="33">
        <v>42577</v>
      </c>
      <c r="B144" s="34">
        <v>523.04999999999995</v>
      </c>
      <c r="C144" s="34">
        <f t="shared" si="4"/>
        <v>-2.9590056430036089E-3</v>
      </c>
      <c r="E144" s="33">
        <v>42577</v>
      </c>
      <c r="F144" s="34">
        <v>27976.52</v>
      </c>
      <c r="G144" s="34">
        <f t="shared" si="5"/>
        <v>-4.2381393394815932E-3</v>
      </c>
    </row>
    <row r="145" spans="1:7" x14ac:dyDescent="0.3">
      <c r="A145" s="33">
        <v>42578</v>
      </c>
      <c r="B145" s="34">
        <v>523.5</v>
      </c>
      <c r="C145" s="34">
        <f t="shared" si="4"/>
        <v>8.5996852082184498E-4</v>
      </c>
      <c r="E145" s="33">
        <v>42578</v>
      </c>
      <c r="F145" s="34">
        <v>28024.33</v>
      </c>
      <c r="G145" s="34">
        <f t="shared" si="5"/>
        <v>1.7074744978233924E-3</v>
      </c>
    </row>
    <row r="146" spans="1:7" x14ac:dyDescent="0.3">
      <c r="A146" s="33">
        <v>42579</v>
      </c>
      <c r="B146" s="34">
        <v>520.5</v>
      </c>
      <c r="C146" s="34">
        <f t="shared" si="4"/>
        <v>-5.7471422555679594E-3</v>
      </c>
      <c r="E146" s="33">
        <v>42579</v>
      </c>
      <c r="F146" s="34">
        <v>28208.62</v>
      </c>
      <c r="G146" s="34">
        <f t="shared" si="5"/>
        <v>6.5545435474777328E-3</v>
      </c>
    </row>
    <row r="147" spans="1:7" x14ac:dyDescent="0.3">
      <c r="A147" s="33">
        <v>42580</v>
      </c>
      <c r="B147" s="34">
        <v>528.15</v>
      </c>
      <c r="C147" s="34">
        <f t="shared" si="4"/>
        <v>1.4590446214147561E-2</v>
      </c>
      <c r="E147" s="33">
        <v>42580</v>
      </c>
      <c r="F147" s="34">
        <v>28051.86</v>
      </c>
      <c r="G147" s="34">
        <f t="shared" si="5"/>
        <v>-5.5726650635162236E-3</v>
      </c>
    </row>
    <row r="148" spans="1:7" x14ac:dyDescent="0.3">
      <c r="A148" s="33">
        <v>42583</v>
      </c>
      <c r="B148" s="34">
        <v>525.1</v>
      </c>
      <c r="C148" s="34">
        <f t="shared" si="4"/>
        <v>-5.7916136253575671E-3</v>
      </c>
      <c r="E148" s="33">
        <v>42583</v>
      </c>
      <c r="F148" s="34">
        <v>28003.119999999999</v>
      </c>
      <c r="G148" s="34">
        <f t="shared" si="5"/>
        <v>-1.7390073917813438E-3</v>
      </c>
    </row>
    <row r="149" spans="1:7" x14ac:dyDescent="0.3">
      <c r="A149" s="33">
        <v>42584</v>
      </c>
      <c r="B149" s="34">
        <v>518.6</v>
      </c>
      <c r="C149" s="34">
        <f t="shared" si="4"/>
        <v>-1.2455847539249585E-2</v>
      </c>
      <c r="E149" s="33">
        <v>42584</v>
      </c>
      <c r="F149" s="34">
        <v>27981.71</v>
      </c>
      <c r="G149" s="34">
        <f t="shared" si="5"/>
        <v>-7.6485008684423891E-4</v>
      </c>
    </row>
    <row r="150" spans="1:7" x14ac:dyDescent="0.3">
      <c r="A150" s="33">
        <v>42585</v>
      </c>
      <c r="B150" s="34">
        <v>529.4</v>
      </c>
      <c r="C150" s="34">
        <f t="shared" si="4"/>
        <v>2.0611416688436791E-2</v>
      </c>
      <c r="E150" s="33">
        <v>42585</v>
      </c>
      <c r="F150" s="34">
        <v>27697.51</v>
      </c>
      <c r="G150" s="34">
        <f t="shared" si="5"/>
        <v>-1.0208564996045002E-2</v>
      </c>
    </row>
    <row r="151" spans="1:7" x14ac:dyDescent="0.3">
      <c r="A151" s="33">
        <v>42586</v>
      </c>
      <c r="B151" s="34">
        <v>526.20000000000005</v>
      </c>
      <c r="C151" s="34">
        <f t="shared" si="4"/>
        <v>-6.0629211868083689E-3</v>
      </c>
      <c r="E151" s="33">
        <v>42586</v>
      </c>
      <c r="F151" s="34">
        <v>27714.37</v>
      </c>
      <c r="G151" s="34">
        <f t="shared" si="5"/>
        <v>6.0853378446245839E-4</v>
      </c>
    </row>
    <row r="152" spans="1:7" x14ac:dyDescent="0.3">
      <c r="A152" s="33">
        <v>42587</v>
      </c>
      <c r="B152" s="34">
        <v>532.1</v>
      </c>
      <c r="C152" s="34">
        <f t="shared" si="4"/>
        <v>1.1150072996131256E-2</v>
      </c>
      <c r="E152" s="33">
        <v>42587</v>
      </c>
      <c r="F152" s="34">
        <v>28078.35</v>
      </c>
      <c r="G152" s="34">
        <f t="shared" si="5"/>
        <v>1.3047765506869346E-2</v>
      </c>
    </row>
    <row r="153" spans="1:7" x14ac:dyDescent="0.3">
      <c r="A153" s="33">
        <v>42590</v>
      </c>
      <c r="B153" s="34">
        <v>535</v>
      </c>
      <c r="C153" s="34">
        <f t="shared" si="4"/>
        <v>5.4353052936829084E-3</v>
      </c>
      <c r="E153" s="33">
        <v>42590</v>
      </c>
      <c r="F153" s="34">
        <v>28182.57</v>
      </c>
      <c r="G153" s="34">
        <f t="shared" si="5"/>
        <v>3.7048849969671064E-3</v>
      </c>
    </row>
    <row r="154" spans="1:7" x14ac:dyDescent="0.3">
      <c r="A154" s="33">
        <v>42591</v>
      </c>
      <c r="B154" s="34">
        <v>532.65</v>
      </c>
      <c r="C154" s="34">
        <f t="shared" si="4"/>
        <v>-4.402198838800009E-3</v>
      </c>
      <c r="E154" s="33">
        <v>42591</v>
      </c>
      <c r="F154" s="34">
        <v>28085.16</v>
      </c>
      <c r="G154" s="34">
        <f t="shared" si="5"/>
        <v>-3.4623787848954584E-3</v>
      </c>
    </row>
    <row r="155" spans="1:7" x14ac:dyDescent="0.3">
      <c r="A155" s="33">
        <v>42592</v>
      </c>
      <c r="B155" s="34">
        <v>522.1</v>
      </c>
      <c r="C155" s="34">
        <f t="shared" si="4"/>
        <v>-2.0005407640699857E-2</v>
      </c>
      <c r="E155" s="33">
        <v>42592</v>
      </c>
      <c r="F155" s="34">
        <v>27774.880000000001</v>
      </c>
      <c r="G155" s="34">
        <f t="shared" si="5"/>
        <v>-1.1109307875127291E-2</v>
      </c>
    </row>
    <row r="156" spans="1:7" x14ac:dyDescent="0.3">
      <c r="A156" s="33">
        <v>42593</v>
      </c>
      <c r="B156" s="34">
        <v>523.25</v>
      </c>
      <c r="C156" s="34">
        <f t="shared" si="4"/>
        <v>2.2002209096023376E-3</v>
      </c>
      <c r="E156" s="33">
        <v>42593</v>
      </c>
      <c r="F156" s="34">
        <v>27859.599999999999</v>
      </c>
      <c r="G156" s="34">
        <f t="shared" si="5"/>
        <v>3.0455956624775744E-3</v>
      </c>
    </row>
    <row r="157" spans="1:7" x14ac:dyDescent="0.3">
      <c r="A157" s="33">
        <v>42594</v>
      </c>
      <c r="B157" s="34">
        <v>516.65</v>
      </c>
      <c r="C157" s="34">
        <f t="shared" si="4"/>
        <v>-1.2693698665745243E-2</v>
      </c>
      <c r="E157" s="33">
        <v>42594</v>
      </c>
      <c r="F157" s="34">
        <v>28152.400000000001</v>
      </c>
      <c r="G157" s="34">
        <f t="shared" si="5"/>
        <v>1.0454997753531696E-2</v>
      </c>
    </row>
    <row r="158" spans="1:7" x14ac:dyDescent="0.3">
      <c r="A158" s="33">
        <v>42598</v>
      </c>
      <c r="B158" s="34">
        <v>553.54999999999995</v>
      </c>
      <c r="C158" s="34">
        <f t="shared" si="4"/>
        <v>6.8986419645111929E-2</v>
      </c>
      <c r="E158" s="33">
        <v>42598</v>
      </c>
      <c r="F158" s="34">
        <v>28064.61</v>
      </c>
      <c r="G158" s="34">
        <f t="shared" si="5"/>
        <v>-3.123256514851232E-3</v>
      </c>
    </row>
    <row r="159" spans="1:7" x14ac:dyDescent="0.3">
      <c r="A159" s="33">
        <v>42599</v>
      </c>
      <c r="B159" s="34">
        <v>549.95000000000005</v>
      </c>
      <c r="C159" s="34">
        <f t="shared" si="4"/>
        <v>-6.5247173023499552E-3</v>
      </c>
      <c r="E159" s="33">
        <v>42599</v>
      </c>
      <c r="F159" s="34">
        <v>28005.37</v>
      </c>
      <c r="G159" s="34">
        <f t="shared" si="5"/>
        <v>-2.1130744845149377E-3</v>
      </c>
    </row>
    <row r="160" spans="1:7" x14ac:dyDescent="0.3">
      <c r="A160" s="33">
        <v>42600</v>
      </c>
      <c r="B160" s="34">
        <v>551.6</v>
      </c>
      <c r="C160" s="34">
        <f t="shared" si="4"/>
        <v>2.9957809160211036E-3</v>
      </c>
      <c r="E160" s="33">
        <v>42600</v>
      </c>
      <c r="F160" s="34">
        <v>28123.439999999999</v>
      </c>
      <c r="G160" s="34">
        <f t="shared" si="5"/>
        <v>4.2071148186243962E-3</v>
      </c>
    </row>
    <row r="161" spans="1:7" x14ac:dyDescent="0.3">
      <c r="A161" s="33">
        <v>42601</v>
      </c>
      <c r="B161" s="34">
        <v>555.54999999999995</v>
      </c>
      <c r="C161" s="34">
        <f t="shared" si="4"/>
        <v>7.1354681108707942E-3</v>
      </c>
      <c r="E161" s="33">
        <v>42601</v>
      </c>
      <c r="F161" s="34">
        <v>28077</v>
      </c>
      <c r="G161" s="34">
        <f t="shared" si="5"/>
        <v>-1.6526564763559278E-3</v>
      </c>
    </row>
    <row r="162" spans="1:7" x14ac:dyDescent="0.3">
      <c r="A162" s="33">
        <v>42604</v>
      </c>
      <c r="B162" s="34">
        <v>557.45000000000005</v>
      </c>
      <c r="C162" s="34">
        <f t="shared" si="4"/>
        <v>3.4141991835628651E-3</v>
      </c>
      <c r="E162" s="33">
        <v>42604</v>
      </c>
      <c r="F162" s="34">
        <v>27985.54</v>
      </c>
      <c r="G162" s="34">
        <f t="shared" si="5"/>
        <v>-3.2627876346164172E-3</v>
      </c>
    </row>
    <row r="163" spans="1:7" x14ac:dyDescent="0.3">
      <c r="A163" s="33">
        <v>42605</v>
      </c>
      <c r="B163" s="34">
        <v>554.95000000000005</v>
      </c>
      <c r="C163" s="34">
        <f t="shared" si="4"/>
        <v>-4.4947936155919303E-3</v>
      </c>
      <c r="E163" s="33">
        <v>42605</v>
      </c>
      <c r="F163" s="34">
        <v>27990.21</v>
      </c>
      <c r="G163" s="34">
        <f t="shared" si="5"/>
        <v>1.6685797013288794E-4</v>
      </c>
    </row>
    <row r="164" spans="1:7" x14ac:dyDescent="0.3">
      <c r="A164" s="33">
        <v>42606</v>
      </c>
      <c r="B164" s="34">
        <v>565.9</v>
      </c>
      <c r="C164" s="34">
        <f t="shared" si="4"/>
        <v>1.9539364550489543E-2</v>
      </c>
      <c r="E164" s="33">
        <v>42606</v>
      </c>
      <c r="F164" s="34">
        <v>28059.94</v>
      </c>
      <c r="G164" s="34">
        <f t="shared" si="5"/>
        <v>2.4881302181583424E-3</v>
      </c>
    </row>
    <row r="165" spans="1:7" x14ac:dyDescent="0.3">
      <c r="A165" s="33">
        <v>42607</v>
      </c>
      <c r="B165" s="34">
        <v>563.04999999999995</v>
      </c>
      <c r="C165" s="34">
        <f t="shared" si="4"/>
        <v>-5.0489500054436707E-3</v>
      </c>
      <c r="E165" s="33">
        <v>42607</v>
      </c>
      <c r="F165" s="34">
        <v>27835.91</v>
      </c>
      <c r="G165" s="34">
        <f t="shared" si="5"/>
        <v>-8.0160226426914932E-3</v>
      </c>
    </row>
    <row r="166" spans="1:7" x14ac:dyDescent="0.3">
      <c r="A166" s="33">
        <v>42608</v>
      </c>
      <c r="B166" s="34">
        <v>567.45000000000005</v>
      </c>
      <c r="C166" s="34">
        <f t="shared" si="4"/>
        <v>7.78420560411364E-3</v>
      </c>
      <c r="E166" s="33">
        <v>42608</v>
      </c>
      <c r="F166" s="34">
        <v>27782.25</v>
      </c>
      <c r="G166" s="34">
        <f t="shared" si="5"/>
        <v>-1.9295861872944916E-3</v>
      </c>
    </row>
    <row r="167" spans="1:7" x14ac:dyDescent="0.3">
      <c r="A167" s="33">
        <v>42611</v>
      </c>
      <c r="B167" s="34">
        <v>567.20000000000005</v>
      </c>
      <c r="C167" s="34">
        <f t="shared" si="4"/>
        <v>-4.4066452923020258E-4</v>
      </c>
      <c r="E167" s="33">
        <v>42611</v>
      </c>
      <c r="F167" s="34">
        <v>27902.66</v>
      </c>
      <c r="G167" s="34">
        <f t="shared" si="5"/>
        <v>4.3246972175773847E-3</v>
      </c>
    </row>
    <row r="168" spans="1:7" x14ac:dyDescent="0.3">
      <c r="A168" s="33">
        <v>42612</v>
      </c>
      <c r="B168" s="34">
        <v>576.6</v>
      </c>
      <c r="C168" s="34">
        <f t="shared" si="4"/>
        <v>1.6436809986384096E-2</v>
      </c>
      <c r="E168" s="33">
        <v>42612</v>
      </c>
      <c r="F168" s="34">
        <v>28343.01</v>
      </c>
      <c r="G168" s="34">
        <f t="shared" si="5"/>
        <v>1.5658414141582196E-2</v>
      </c>
    </row>
    <row r="169" spans="1:7" x14ac:dyDescent="0.3">
      <c r="A169" s="33">
        <v>42613</v>
      </c>
      <c r="B169" s="34">
        <v>572.6</v>
      </c>
      <c r="C169" s="34">
        <f t="shared" si="4"/>
        <v>-6.9613925402871408E-3</v>
      </c>
      <c r="E169" s="33">
        <v>42613</v>
      </c>
      <c r="F169" s="34">
        <v>28452.17</v>
      </c>
      <c r="G169" s="34">
        <f t="shared" si="5"/>
        <v>3.8439929027382666E-3</v>
      </c>
    </row>
    <row r="170" spans="1:7" x14ac:dyDescent="0.3">
      <c r="A170" s="33">
        <v>42614</v>
      </c>
      <c r="B170" s="34">
        <v>577.54999999999995</v>
      </c>
      <c r="C170" s="34">
        <f t="shared" si="4"/>
        <v>8.6076260706745879E-3</v>
      </c>
      <c r="E170" s="33">
        <v>42614</v>
      </c>
      <c r="F170" s="34">
        <v>28423.48</v>
      </c>
      <c r="G170" s="34">
        <f t="shared" si="5"/>
        <v>-1.0088676765337055E-3</v>
      </c>
    </row>
    <row r="171" spans="1:7" x14ac:dyDescent="0.3">
      <c r="A171" s="33">
        <v>42615</v>
      </c>
      <c r="B171" s="34">
        <v>577.79999999999995</v>
      </c>
      <c r="C171" s="34">
        <f t="shared" si="4"/>
        <v>4.3276929744560098E-4</v>
      </c>
      <c r="E171" s="33">
        <v>42615</v>
      </c>
      <c r="F171" s="34">
        <v>28532.11</v>
      </c>
      <c r="G171" s="34">
        <f t="shared" si="5"/>
        <v>3.8145555764199594E-3</v>
      </c>
    </row>
    <row r="172" spans="1:7" x14ac:dyDescent="0.3">
      <c r="A172" s="33">
        <v>42619</v>
      </c>
      <c r="B172" s="34">
        <v>578.15</v>
      </c>
      <c r="C172" s="34">
        <f t="shared" si="4"/>
        <v>6.0556254283597336E-4</v>
      </c>
      <c r="E172" s="33">
        <v>42619</v>
      </c>
      <c r="F172" s="34">
        <v>28978.02</v>
      </c>
      <c r="G172" s="34">
        <f t="shared" si="5"/>
        <v>1.5507491848346622E-2</v>
      </c>
    </row>
    <row r="173" spans="1:7" x14ac:dyDescent="0.3">
      <c r="A173" s="33">
        <v>42620</v>
      </c>
      <c r="B173" s="34">
        <v>580.75</v>
      </c>
      <c r="C173" s="34">
        <f t="shared" si="4"/>
        <v>4.4870210755477893E-3</v>
      </c>
      <c r="E173" s="33">
        <v>42620</v>
      </c>
      <c r="F173" s="34">
        <v>28926.36</v>
      </c>
      <c r="G173" s="34">
        <f t="shared" si="5"/>
        <v>-1.7843214522380692E-3</v>
      </c>
    </row>
    <row r="174" spans="1:7" x14ac:dyDescent="0.3">
      <c r="A174" s="33">
        <v>42621</v>
      </c>
      <c r="B174" s="34">
        <v>592.25</v>
      </c>
      <c r="C174" s="34">
        <f t="shared" si="4"/>
        <v>1.9608471388376337E-2</v>
      </c>
      <c r="E174" s="33">
        <v>42621</v>
      </c>
      <c r="F174" s="34">
        <v>29045.279999999999</v>
      </c>
      <c r="G174" s="34">
        <f t="shared" si="5"/>
        <v>4.1027014866805277E-3</v>
      </c>
    </row>
    <row r="175" spans="1:7" x14ac:dyDescent="0.3">
      <c r="A175" s="33">
        <v>42622</v>
      </c>
      <c r="B175" s="34">
        <v>581.5</v>
      </c>
      <c r="C175" s="34">
        <f t="shared" si="4"/>
        <v>-1.8317871080175772E-2</v>
      </c>
      <c r="E175" s="33">
        <v>42622</v>
      </c>
      <c r="F175" s="34">
        <v>28797.25</v>
      </c>
      <c r="G175" s="34">
        <f t="shared" si="5"/>
        <v>-8.5760951397908687E-3</v>
      </c>
    </row>
    <row r="176" spans="1:7" x14ac:dyDescent="0.3">
      <c r="A176" s="33">
        <v>42625</v>
      </c>
      <c r="B176" s="34">
        <v>568.9</v>
      </c>
      <c r="C176" s="34">
        <f t="shared" si="4"/>
        <v>-2.1906300202117399E-2</v>
      </c>
      <c r="E176" s="33">
        <v>42625</v>
      </c>
      <c r="F176" s="34">
        <v>28353.54</v>
      </c>
      <c r="G176" s="34">
        <f t="shared" si="5"/>
        <v>-1.5528006368396822E-2</v>
      </c>
    </row>
    <row r="177" spans="1:7" x14ac:dyDescent="0.3">
      <c r="A177" s="33">
        <v>42627</v>
      </c>
      <c r="B177" s="34">
        <v>576.65</v>
      </c>
      <c r="C177" s="34">
        <f t="shared" si="4"/>
        <v>1.3530824915346028E-2</v>
      </c>
      <c r="E177" s="33">
        <v>42627</v>
      </c>
      <c r="F177" s="34">
        <v>28372.23</v>
      </c>
      <c r="G177" s="34">
        <f t="shared" si="5"/>
        <v>6.5895978763485727E-4</v>
      </c>
    </row>
    <row r="178" spans="1:7" x14ac:dyDescent="0.3">
      <c r="A178" s="33">
        <v>42628</v>
      </c>
      <c r="B178" s="34">
        <v>584.45000000000005</v>
      </c>
      <c r="C178" s="34">
        <f t="shared" si="4"/>
        <v>1.343573738183175E-2</v>
      </c>
      <c r="E178" s="33">
        <v>42628</v>
      </c>
      <c r="F178" s="34">
        <v>28412.89</v>
      </c>
      <c r="G178" s="34">
        <f t="shared" si="5"/>
        <v>1.4320655463554617E-3</v>
      </c>
    </row>
    <row r="179" spans="1:7" x14ac:dyDescent="0.3">
      <c r="A179" s="33">
        <v>42629</v>
      </c>
      <c r="B179" s="34">
        <v>592.35</v>
      </c>
      <c r="C179" s="34">
        <f t="shared" si="4"/>
        <v>1.3426442346988693E-2</v>
      </c>
      <c r="E179" s="33">
        <v>42629</v>
      </c>
      <c r="F179" s="34">
        <v>28599.03</v>
      </c>
      <c r="G179" s="34">
        <f t="shared" si="5"/>
        <v>6.5298857294336203E-3</v>
      </c>
    </row>
    <row r="180" spans="1:7" x14ac:dyDescent="0.3">
      <c r="A180" s="33">
        <v>42632</v>
      </c>
      <c r="B180" s="34">
        <v>597.70000000000005</v>
      </c>
      <c r="C180" s="34">
        <f t="shared" si="4"/>
        <v>8.9912794294404932E-3</v>
      </c>
      <c r="E180" s="33">
        <v>42632</v>
      </c>
      <c r="F180" s="34">
        <v>28634.5</v>
      </c>
      <c r="G180" s="34">
        <f t="shared" si="5"/>
        <v>1.2394833777020732E-3</v>
      </c>
    </row>
    <row r="181" spans="1:7" x14ac:dyDescent="0.3">
      <c r="A181" s="33">
        <v>42633</v>
      </c>
      <c r="B181" s="34">
        <v>601.9</v>
      </c>
      <c r="C181" s="34">
        <f t="shared" si="4"/>
        <v>7.0023627235166119E-3</v>
      </c>
      <c r="E181" s="33">
        <v>42633</v>
      </c>
      <c r="F181" s="34">
        <v>28523.200000000001</v>
      </c>
      <c r="G181" s="34">
        <f t="shared" si="5"/>
        <v>-3.8944933289693051E-3</v>
      </c>
    </row>
    <row r="182" spans="1:7" x14ac:dyDescent="0.3">
      <c r="A182" s="33">
        <v>42634</v>
      </c>
      <c r="B182" s="34">
        <v>600.20000000000005</v>
      </c>
      <c r="C182" s="34">
        <f t="shared" si="4"/>
        <v>-2.8283855474583171E-3</v>
      </c>
      <c r="E182" s="33">
        <v>42634</v>
      </c>
      <c r="F182" s="34">
        <v>28507.42</v>
      </c>
      <c r="G182" s="34">
        <f t="shared" si="5"/>
        <v>-5.533869490706142E-4</v>
      </c>
    </row>
    <row r="183" spans="1:7" x14ac:dyDescent="0.3">
      <c r="A183" s="33">
        <v>42635</v>
      </c>
      <c r="B183" s="34">
        <v>608.95000000000005</v>
      </c>
      <c r="C183" s="34">
        <f t="shared" si="4"/>
        <v>1.4473229526852803E-2</v>
      </c>
      <c r="E183" s="33">
        <v>42635</v>
      </c>
      <c r="F183" s="34">
        <v>28773.13</v>
      </c>
      <c r="G183" s="34">
        <f t="shared" si="5"/>
        <v>9.2775612619584915E-3</v>
      </c>
    </row>
    <row r="184" spans="1:7" x14ac:dyDescent="0.3">
      <c r="A184" s="33">
        <v>42636</v>
      </c>
      <c r="B184" s="34">
        <v>611.15</v>
      </c>
      <c r="C184" s="34">
        <f t="shared" si="4"/>
        <v>3.6062656901521889E-3</v>
      </c>
      <c r="E184" s="33">
        <v>42636</v>
      </c>
      <c r="F184" s="34">
        <v>28668.22</v>
      </c>
      <c r="G184" s="34">
        <f t="shared" si="5"/>
        <v>-3.6527733644489478E-3</v>
      </c>
    </row>
    <row r="185" spans="1:7" x14ac:dyDescent="0.3">
      <c r="A185" s="33">
        <v>42639</v>
      </c>
      <c r="B185" s="34">
        <v>604.20000000000005</v>
      </c>
      <c r="C185" s="34">
        <f t="shared" si="4"/>
        <v>-1.1437159270700104E-2</v>
      </c>
      <c r="E185" s="33">
        <v>42639</v>
      </c>
      <c r="F185" s="34">
        <v>28294.28</v>
      </c>
      <c r="G185" s="34">
        <f t="shared" si="5"/>
        <v>-1.312952808507831E-2</v>
      </c>
    </row>
    <row r="186" spans="1:7" x14ac:dyDescent="0.3">
      <c r="A186" s="33">
        <v>42640</v>
      </c>
      <c r="B186" s="34">
        <v>607.45000000000005</v>
      </c>
      <c r="C186" s="34">
        <f t="shared" si="4"/>
        <v>5.3645983481794366E-3</v>
      </c>
      <c r="E186" s="33">
        <v>42640</v>
      </c>
      <c r="F186" s="34">
        <v>28223.7</v>
      </c>
      <c r="G186" s="34">
        <f t="shared" si="5"/>
        <v>-2.4976135626313695E-3</v>
      </c>
    </row>
    <row r="187" spans="1:7" x14ac:dyDescent="0.3">
      <c r="A187" s="33">
        <v>42641</v>
      </c>
      <c r="B187" s="34">
        <v>605.29999999999995</v>
      </c>
      <c r="C187" s="34">
        <f t="shared" si="4"/>
        <v>-3.5456644031096884E-3</v>
      </c>
      <c r="E187" s="33">
        <v>42641</v>
      </c>
      <c r="F187" s="34">
        <v>28292.81</v>
      </c>
      <c r="G187" s="34">
        <f t="shared" si="5"/>
        <v>2.4456582491373755E-3</v>
      </c>
    </row>
    <row r="188" spans="1:7" x14ac:dyDescent="0.3">
      <c r="A188" s="33">
        <v>42642</v>
      </c>
      <c r="B188" s="34">
        <v>600.9</v>
      </c>
      <c r="C188" s="34">
        <f t="shared" si="4"/>
        <v>-7.2956715577592391E-3</v>
      </c>
      <c r="E188" s="33">
        <v>42642</v>
      </c>
      <c r="F188" s="34">
        <v>27827.53</v>
      </c>
      <c r="G188" s="34">
        <f t="shared" si="5"/>
        <v>-1.6581890310409828E-2</v>
      </c>
    </row>
    <row r="189" spans="1:7" x14ac:dyDescent="0.3">
      <c r="A189" s="33">
        <v>42643</v>
      </c>
      <c r="B189" s="34">
        <v>580.25</v>
      </c>
      <c r="C189" s="34">
        <f t="shared" si="4"/>
        <v>-3.4969486185335845E-2</v>
      </c>
      <c r="E189" s="33">
        <v>42643</v>
      </c>
      <c r="F189" s="34">
        <v>27865.96</v>
      </c>
      <c r="G189" s="34">
        <f t="shared" si="5"/>
        <v>1.3800537944136473E-3</v>
      </c>
    </row>
    <row r="190" spans="1:7" x14ac:dyDescent="0.3">
      <c r="A190" s="33">
        <v>42646</v>
      </c>
      <c r="B190" s="34">
        <v>588.65</v>
      </c>
      <c r="C190" s="34">
        <f t="shared" si="4"/>
        <v>1.4372734369659374E-2</v>
      </c>
      <c r="E190" s="33">
        <v>42646</v>
      </c>
      <c r="F190" s="34">
        <v>28243.29</v>
      </c>
      <c r="G190" s="34">
        <f t="shared" si="5"/>
        <v>1.3450035006378411E-2</v>
      </c>
    </row>
    <row r="191" spans="1:7" x14ac:dyDescent="0.3">
      <c r="A191" s="33">
        <v>42647</v>
      </c>
      <c r="B191" s="34">
        <v>595.35</v>
      </c>
      <c r="C191" s="34">
        <f t="shared" si="4"/>
        <v>1.1317688372978302E-2</v>
      </c>
      <c r="E191" s="33">
        <v>42647</v>
      </c>
      <c r="F191" s="34">
        <v>28334.55</v>
      </c>
      <c r="G191" s="34">
        <f t="shared" si="5"/>
        <v>3.2260008210224034E-3</v>
      </c>
    </row>
    <row r="192" spans="1:7" x14ac:dyDescent="0.3">
      <c r="A192" s="33">
        <v>42648</v>
      </c>
      <c r="B192" s="34">
        <v>592.79999999999995</v>
      </c>
      <c r="C192" s="34">
        <f t="shared" si="4"/>
        <v>-4.2923939153070292E-3</v>
      </c>
      <c r="E192" s="33">
        <v>42648</v>
      </c>
      <c r="F192" s="34">
        <v>28220.98</v>
      </c>
      <c r="G192" s="34">
        <f t="shared" si="5"/>
        <v>-4.016235111167144E-3</v>
      </c>
    </row>
    <row r="193" spans="1:7" x14ac:dyDescent="0.3">
      <c r="A193" s="33">
        <v>42649</v>
      </c>
      <c r="B193" s="34">
        <v>579.15</v>
      </c>
      <c r="C193" s="34">
        <f t="shared" si="4"/>
        <v>-2.3295562603522068E-2</v>
      </c>
      <c r="E193" s="33">
        <v>42649</v>
      </c>
      <c r="F193" s="34">
        <v>28106.21</v>
      </c>
      <c r="G193" s="34">
        <f t="shared" si="5"/>
        <v>-4.0751246006993508E-3</v>
      </c>
    </row>
    <row r="194" spans="1:7" x14ac:dyDescent="0.3">
      <c r="A194" s="33">
        <v>42650</v>
      </c>
      <c r="B194" s="34">
        <v>569.70000000000005</v>
      </c>
      <c r="C194" s="34">
        <f t="shared" si="4"/>
        <v>-1.6451604892005055E-2</v>
      </c>
      <c r="E194" s="33">
        <v>42650</v>
      </c>
      <c r="F194" s="34">
        <v>28061.14</v>
      </c>
      <c r="G194" s="34">
        <f t="shared" si="5"/>
        <v>-1.6048472884434835E-3</v>
      </c>
    </row>
    <row r="195" spans="1:7" x14ac:dyDescent="0.3">
      <c r="A195" s="33">
        <v>42653</v>
      </c>
      <c r="B195" s="34">
        <v>580.54999999999995</v>
      </c>
      <c r="C195" s="34">
        <f t="shared" si="4"/>
        <v>1.8866023586665E-2</v>
      </c>
      <c r="E195" s="33">
        <v>42653</v>
      </c>
      <c r="F195" s="34">
        <v>28082.34</v>
      </c>
      <c r="G195" s="34">
        <f t="shared" si="5"/>
        <v>7.5520794249310833E-4</v>
      </c>
    </row>
    <row r="196" spans="1:7" x14ac:dyDescent="0.3">
      <c r="A196" s="33">
        <v>42656</v>
      </c>
      <c r="B196" s="34">
        <v>581.85</v>
      </c>
      <c r="C196" s="34">
        <f t="shared" si="4"/>
        <v>2.2367524810708909E-3</v>
      </c>
      <c r="E196" s="33">
        <v>42656</v>
      </c>
      <c r="F196" s="34">
        <v>27643.11</v>
      </c>
      <c r="G196" s="34">
        <f t="shared" si="5"/>
        <v>-1.5764398359405608E-2</v>
      </c>
    </row>
    <row r="197" spans="1:7" x14ac:dyDescent="0.3">
      <c r="A197" s="33">
        <v>42657</v>
      </c>
      <c r="B197" s="34">
        <v>586.54999999999995</v>
      </c>
      <c r="C197" s="34">
        <f t="shared" si="4"/>
        <v>8.0452333976434118E-3</v>
      </c>
      <c r="E197" s="33">
        <v>42657</v>
      </c>
      <c r="F197" s="34">
        <v>27673.599999999999</v>
      </c>
      <c r="G197" s="34">
        <f t="shared" si="5"/>
        <v>1.1023794830792976E-3</v>
      </c>
    </row>
    <row r="198" spans="1:7" x14ac:dyDescent="0.3">
      <c r="A198" s="33">
        <v>42660</v>
      </c>
      <c r="B198" s="34">
        <v>584.45000000000005</v>
      </c>
      <c r="C198" s="34">
        <f t="shared" si="4"/>
        <v>-3.5866818979498442E-3</v>
      </c>
      <c r="E198" s="33">
        <v>42660</v>
      </c>
      <c r="F198" s="34">
        <v>27529.97</v>
      </c>
      <c r="G198" s="34">
        <f t="shared" si="5"/>
        <v>-5.203660708970867E-3</v>
      </c>
    </row>
    <row r="199" spans="1:7" x14ac:dyDescent="0.3">
      <c r="A199" s="33">
        <v>42661</v>
      </c>
      <c r="B199" s="34">
        <v>591.20000000000005</v>
      </c>
      <c r="C199" s="34">
        <f t="shared" ref="C199:C262" si="6">LN(B199/B198)</f>
        <v>1.1483135580212628E-2</v>
      </c>
      <c r="E199" s="33">
        <v>42661</v>
      </c>
      <c r="F199" s="34">
        <v>28050.880000000001</v>
      </c>
      <c r="G199" s="34">
        <f t="shared" ref="G199:G262" si="7">LN(F199/F198)</f>
        <v>1.8744774591999691E-2</v>
      </c>
    </row>
    <row r="200" spans="1:7" x14ac:dyDescent="0.3">
      <c r="A200" s="33">
        <v>42662</v>
      </c>
      <c r="B200" s="34">
        <v>594.9</v>
      </c>
      <c r="C200" s="34">
        <f t="shared" si="6"/>
        <v>6.238954559867887E-3</v>
      </c>
      <c r="E200" s="33">
        <v>42662</v>
      </c>
      <c r="F200" s="34">
        <v>27984.37</v>
      </c>
      <c r="G200" s="34">
        <f t="shared" si="7"/>
        <v>-2.3738639957263572E-3</v>
      </c>
    </row>
    <row r="201" spans="1:7" x14ac:dyDescent="0.3">
      <c r="A201" s="33">
        <v>42663</v>
      </c>
      <c r="B201" s="34">
        <v>595.04999999999995</v>
      </c>
      <c r="C201" s="34">
        <f t="shared" si="6"/>
        <v>2.5211143458885444E-4</v>
      </c>
      <c r="E201" s="33">
        <v>42663</v>
      </c>
      <c r="F201" s="34">
        <v>28129.84</v>
      </c>
      <c r="G201" s="34">
        <f t="shared" si="7"/>
        <v>5.1847945779883164E-3</v>
      </c>
    </row>
    <row r="202" spans="1:7" x14ac:dyDescent="0.3">
      <c r="A202" s="33">
        <v>42664</v>
      </c>
      <c r="B202" s="34">
        <v>582.75</v>
      </c>
      <c r="C202" s="34">
        <f t="shared" si="6"/>
        <v>-2.0887157712582236E-2</v>
      </c>
      <c r="E202" s="33">
        <v>42664</v>
      </c>
      <c r="F202" s="34">
        <v>28077.18</v>
      </c>
      <c r="G202" s="34">
        <f t="shared" si="7"/>
        <v>-1.8737878438598041E-3</v>
      </c>
    </row>
    <row r="203" spans="1:7" x14ac:dyDescent="0.3">
      <c r="A203" s="33">
        <v>42667</v>
      </c>
      <c r="B203" s="34">
        <v>585.04999999999995</v>
      </c>
      <c r="C203" s="34">
        <f t="shared" si="6"/>
        <v>3.9390357491002753E-3</v>
      </c>
      <c r="E203" s="33">
        <v>42667</v>
      </c>
      <c r="F203" s="34">
        <v>28179.08</v>
      </c>
      <c r="G203" s="34">
        <f t="shared" si="7"/>
        <v>3.6227119060158325E-3</v>
      </c>
    </row>
    <row r="204" spans="1:7" x14ac:dyDescent="0.3">
      <c r="A204" s="33">
        <v>42668</v>
      </c>
      <c r="B204" s="34">
        <v>585.29999999999995</v>
      </c>
      <c r="C204" s="34">
        <f t="shared" si="6"/>
        <v>4.2722263220837972E-4</v>
      </c>
      <c r="E204" s="33">
        <v>42668</v>
      </c>
      <c r="F204" s="34">
        <v>28091.42</v>
      </c>
      <c r="G204" s="34">
        <f t="shared" si="7"/>
        <v>-3.1156670337889386E-3</v>
      </c>
    </row>
    <row r="205" spans="1:7" x14ac:dyDescent="0.3">
      <c r="A205" s="33">
        <v>42669</v>
      </c>
      <c r="B205" s="34">
        <v>577.29999999999995</v>
      </c>
      <c r="C205" s="34">
        <f t="shared" si="6"/>
        <v>-1.3762474230287324E-2</v>
      </c>
      <c r="E205" s="33">
        <v>42669</v>
      </c>
      <c r="F205" s="34">
        <v>27836.51</v>
      </c>
      <c r="G205" s="34">
        <f t="shared" si="7"/>
        <v>-9.1157232235500631E-3</v>
      </c>
    </row>
    <row r="206" spans="1:7" x14ac:dyDescent="0.3">
      <c r="A206" s="33">
        <v>42670</v>
      </c>
      <c r="B206" s="34">
        <v>584.6</v>
      </c>
      <c r="C206" s="34">
        <f t="shared" si="6"/>
        <v>1.256579061025786E-2</v>
      </c>
      <c r="E206" s="33">
        <v>42670</v>
      </c>
      <c r="F206" s="34">
        <v>27915.9</v>
      </c>
      <c r="G206" s="34">
        <f t="shared" si="7"/>
        <v>2.8479505606966E-3</v>
      </c>
    </row>
    <row r="207" spans="1:7" x14ac:dyDescent="0.3">
      <c r="A207" s="33">
        <v>42671</v>
      </c>
      <c r="B207" s="34">
        <v>574.45000000000005</v>
      </c>
      <c r="C207" s="34">
        <f t="shared" si="6"/>
        <v>-1.751479137777168E-2</v>
      </c>
      <c r="E207" s="33">
        <v>42671</v>
      </c>
      <c r="F207" s="34">
        <v>27941.51</v>
      </c>
      <c r="G207" s="34">
        <f t="shared" si="7"/>
        <v>9.1697777589435704E-4</v>
      </c>
    </row>
    <row r="208" spans="1:7" x14ac:dyDescent="0.3">
      <c r="A208" s="33">
        <v>42673</v>
      </c>
      <c r="B208" s="34">
        <v>577.35</v>
      </c>
      <c r="C208" s="34">
        <f t="shared" si="6"/>
        <v>5.0356070984909716E-3</v>
      </c>
      <c r="E208" s="33">
        <v>42673</v>
      </c>
      <c r="F208" s="34">
        <v>27930.21</v>
      </c>
      <c r="G208" s="34">
        <f t="shared" si="7"/>
        <v>-4.0449802347499239E-4</v>
      </c>
    </row>
    <row r="209" spans="1:7" x14ac:dyDescent="0.3">
      <c r="A209" s="33">
        <v>42675</v>
      </c>
      <c r="B209" s="34">
        <v>571.04999999999995</v>
      </c>
      <c r="C209" s="34">
        <f t="shared" si="6"/>
        <v>-1.097189690124886E-2</v>
      </c>
      <c r="E209" s="33">
        <v>42675</v>
      </c>
      <c r="F209" s="34">
        <v>27876.61</v>
      </c>
      <c r="G209" s="34">
        <f t="shared" si="7"/>
        <v>-1.9209127659156134E-3</v>
      </c>
    </row>
    <row r="210" spans="1:7" x14ac:dyDescent="0.3">
      <c r="A210" s="33">
        <v>42676</v>
      </c>
      <c r="B210" s="34">
        <v>558.79999999999995</v>
      </c>
      <c r="C210" s="34">
        <f t="shared" si="6"/>
        <v>-2.1685144113809306E-2</v>
      </c>
      <c r="E210" s="33">
        <v>42676</v>
      </c>
      <c r="F210" s="34">
        <v>27527.22</v>
      </c>
      <c r="G210" s="34">
        <f t="shared" si="7"/>
        <v>-1.2612652652553874E-2</v>
      </c>
    </row>
    <row r="211" spans="1:7" x14ac:dyDescent="0.3">
      <c r="A211" s="33">
        <v>42677</v>
      </c>
      <c r="B211" s="34">
        <v>559.04999999999995</v>
      </c>
      <c r="C211" s="34">
        <f t="shared" si="6"/>
        <v>4.4728721057046015E-4</v>
      </c>
      <c r="E211" s="33">
        <v>42677</v>
      </c>
      <c r="F211" s="34">
        <v>27430.28</v>
      </c>
      <c r="G211" s="34">
        <f t="shared" si="7"/>
        <v>-3.5278206082528423E-3</v>
      </c>
    </row>
    <row r="212" spans="1:7" x14ac:dyDescent="0.3">
      <c r="A212" s="33">
        <v>42678</v>
      </c>
      <c r="B212" s="34">
        <v>544.5</v>
      </c>
      <c r="C212" s="34">
        <f t="shared" si="6"/>
        <v>-2.6370972220361898E-2</v>
      </c>
      <c r="E212" s="33">
        <v>42678</v>
      </c>
      <c r="F212" s="34">
        <v>27274.15</v>
      </c>
      <c r="G212" s="34">
        <f t="shared" si="7"/>
        <v>-5.7081455352255388E-3</v>
      </c>
    </row>
    <row r="213" spans="1:7" x14ac:dyDescent="0.3">
      <c r="A213" s="33">
        <v>42681</v>
      </c>
      <c r="B213" s="34">
        <v>545.75</v>
      </c>
      <c r="C213" s="34">
        <f t="shared" si="6"/>
        <v>2.2930530570381192E-3</v>
      </c>
      <c r="E213" s="33">
        <v>42681</v>
      </c>
      <c r="F213" s="34">
        <v>27458.99</v>
      </c>
      <c r="G213" s="34">
        <f t="shared" si="7"/>
        <v>6.7542517274997663E-3</v>
      </c>
    </row>
    <row r="214" spans="1:7" x14ac:dyDescent="0.3">
      <c r="A214" s="33">
        <v>42682</v>
      </c>
      <c r="B214" s="34">
        <v>536.25</v>
      </c>
      <c r="C214" s="34">
        <f t="shared" si="6"/>
        <v>-1.7560525187826522E-2</v>
      </c>
      <c r="E214" s="33">
        <v>42682</v>
      </c>
      <c r="F214" s="34">
        <v>27591.14</v>
      </c>
      <c r="G214" s="34">
        <f t="shared" si="7"/>
        <v>4.8010878028050237E-3</v>
      </c>
    </row>
    <row r="215" spans="1:7" x14ac:dyDescent="0.3">
      <c r="A215" s="33">
        <v>42683</v>
      </c>
      <c r="B215" s="34">
        <v>528.1</v>
      </c>
      <c r="C215" s="34">
        <f t="shared" si="6"/>
        <v>-1.531481052933923E-2</v>
      </c>
      <c r="E215" s="33">
        <v>42683</v>
      </c>
      <c r="F215" s="34">
        <v>27252.53</v>
      </c>
      <c r="G215" s="34">
        <f t="shared" si="7"/>
        <v>-1.23483458579594E-2</v>
      </c>
    </row>
    <row r="216" spans="1:7" x14ac:dyDescent="0.3">
      <c r="A216" s="33">
        <v>42684</v>
      </c>
      <c r="B216" s="34">
        <v>564.25</v>
      </c>
      <c r="C216" s="34">
        <f t="shared" si="6"/>
        <v>6.6211755984757606E-2</v>
      </c>
      <c r="E216" s="33">
        <v>42684</v>
      </c>
      <c r="F216" s="34">
        <v>27517.68</v>
      </c>
      <c r="G216" s="34">
        <f t="shared" si="7"/>
        <v>9.6823463497113151E-3</v>
      </c>
    </row>
    <row r="217" spans="1:7" x14ac:dyDescent="0.3">
      <c r="A217" s="33">
        <v>42685</v>
      </c>
      <c r="B217" s="34">
        <v>549.70000000000005</v>
      </c>
      <c r="C217" s="34">
        <f t="shared" si="6"/>
        <v>-2.6124740831030276E-2</v>
      </c>
      <c r="E217" s="33">
        <v>42685</v>
      </c>
      <c r="F217" s="34">
        <v>26818.82</v>
      </c>
      <c r="G217" s="34">
        <f t="shared" si="7"/>
        <v>-2.5724827317436843E-2</v>
      </c>
    </row>
    <row r="218" spans="1:7" x14ac:dyDescent="0.3">
      <c r="A218" s="33">
        <v>42689</v>
      </c>
      <c r="B218" s="34">
        <v>552.75</v>
      </c>
      <c r="C218" s="34">
        <f t="shared" si="6"/>
        <v>5.5331448709409724E-3</v>
      </c>
      <c r="E218" s="33">
        <v>42689</v>
      </c>
      <c r="F218" s="34">
        <v>26304.63</v>
      </c>
      <c r="G218" s="34">
        <f t="shared" si="7"/>
        <v>-1.9358910551601598E-2</v>
      </c>
    </row>
    <row r="219" spans="1:7" x14ac:dyDescent="0.3">
      <c r="A219" s="33">
        <v>42690</v>
      </c>
      <c r="B219" s="34">
        <v>538.65</v>
      </c>
      <c r="C219" s="34">
        <f t="shared" si="6"/>
        <v>-2.5839810397354203E-2</v>
      </c>
      <c r="E219" s="33">
        <v>42690</v>
      </c>
      <c r="F219" s="34">
        <v>26298.69</v>
      </c>
      <c r="G219" s="34">
        <f t="shared" si="7"/>
        <v>-2.2584125964861279E-4</v>
      </c>
    </row>
    <row r="220" spans="1:7" x14ac:dyDescent="0.3">
      <c r="A220" s="33">
        <v>42691</v>
      </c>
      <c r="B220" s="34">
        <v>544.70000000000005</v>
      </c>
      <c r="C220" s="34">
        <f t="shared" si="6"/>
        <v>1.1169175049427301E-2</v>
      </c>
      <c r="E220" s="33">
        <v>42691</v>
      </c>
      <c r="F220" s="34">
        <v>26227.62</v>
      </c>
      <c r="G220" s="34">
        <f t="shared" si="7"/>
        <v>-2.7060740938967798E-3</v>
      </c>
    </row>
    <row r="221" spans="1:7" x14ac:dyDescent="0.3">
      <c r="A221" s="33">
        <v>42692</v>
      </c>
      <c r="B221" s="34">
        <v>549.75</v>
      </c>
      <c r="C221" s="34">
        <f t="shared" si="6"/>
        <v>9.2284450452417982E-3</v>
      </c>
      <c r="E221" s="33">
        <v>42692</v>
      </c>
      <c r="F221" s="34">
        <v>26150.240000000002</v>
      </c>
      <c r="G221" s="34">
        <f t="shared" si="7"/>
        <v>-2.9546856742531944E-3</v>
      </c>
    </row>
    <row r="222" spans="1:7" x14ac:dyDescent="0.3">
      <c r="A222" s="33">
        <v>42695</v>
      </c>
      <c r="B222" s="34">
        <v>544.95000000000005</v>
      </c>
      <c r="C222" s="34">
        <f t="shared" si="6"/>
        <v>-8.7695820995498022E-3</v>
      </c>
      <c r="E222" s="33">
        <v>42695</v>
      </c>
      <c r="F222" s="34">
        <v>25765.14</v>
      </c>
      <c r="G222" s="34">
        <f t="shared" si="7"/>
        <v>-1.4835952795733272E-2</v>
      </c>
    </row>
    <row r="223" spans="1:7" x14ac:dyDescent="0.3">
      <c r="A223" s="33">
        <v>42696</v>
      </c>
      <c r="B223" s="34">
        <v>549.75</v>
      </c>
      <c r="C223" s="34">
        <f t="shared" si="6"/>
        <v>8.7695820995498767E-3</v>
      </c>
      <c r="E223" s="33">
        <v>42696</v>
      </c>
      <c r="F223" s="34">
        <v>25960.78</v>
      </c>
      <c r="G223" s="34">
        <f t="shared" si="7"/>
        <v>7.5645221161214516E-3</v>
      </c>
    </row>
    <row r="224" spans="1:7" x14ac:dyDescent="0.3">
      <c r="A224" s="33">
        <v>42697</v>
      </c>
      <c r="B224" s="34">
        <v>552.20000000000005</v>
      </c>
      <c r="C224" s="34">
        <f t="shared" si="6"/>
        <v>4.446670061183669E-3</v>
      </c>
      <c r="E224" s="33">
        <v>42697</v>
      </c>
      <c r="F224" s="34">
        <v>26051.81</v>
      </c>
      <c r="G224" s="34">
        <f t="shared" si="7"/>
        <v>3.5003099419928293E-3</v>
      </c>
    </row>
    <row r="225" spans="1:7" x14ac:dyDescent="0.3">
      <c r="A225" s="33">
        <v>42698</v>
      </c>
      <c r="B225" s="34">
        <v>553.65</v>
      </c>
      <c r="C225" s="34">
        <f t="shared" si="6"/>
        <v>2.6224186480629896E-3</v>
      </c>
      <c r="E225" s="33">
        <v>42698</v>
      </c>
      <c r="F225" s="34">
        <v>25860.17</v>
      </c>
      <c r="G225" s="34">
        <f t="shared" si="7"/>
        <v>-7.3833003701190992E-3</v>
      </c>
    </row>
    <row r="226" spans="1:7" x14ac:dyDescent="0.3">
      <c r="A226" s="33">
        <v>42699</v>
      </c>
      <c r="B226" s="34">
        <v>563.35</v>
      </c>
      <c r="C226" s="34">
        <f t="shared" si="6"/>
        <v>1.736838646605781E-2</v>
      </c>
      <c r="E226" s="33">
        <v>42699</v>
      </c>
      <c r="F226" s="34">
        <v>26316.34</v>
      </c>
      <c r="G226" s="34">
        <f t="shared" si="7"/>
        <v>1.7486091855585414E-2</v>
      </c>
    </row>
    <row r="227" spans="1:7" x14ac:dyDescent="0.3">
      <c r="A227" s="33">
        <v>42702</v>
      </c>
      <c r="B227" s="34">
        <v>570.54999999999995</v>
      </c>
      <c r="C227" s="34">
        <f t="shared" si="6"/>
        <v>1.2699703270513585E-2</v>
      </c>
      <c r="E227" s="33">
        <v>42702</v>
      </c>
      <c r="F227" s="34">
        <v>26350.17</v>
      </c>
      <c r="G227" s="34">
        <f t="shared" si="7"/>
        <v>1.2846875425317646E-3</v>
      </c>
    </row>
    <row r="228" spans="1:7" x14ac:dyDescent="0.3">
      <c r="A228" s="33">
        <v>42703</v>
      </c>
      <c r="B228" s="34">
        <v>569.1</v>
      </c>
      <c r="C228" s="34">
        <f t="shared" si="6"/>
        <v>-2.5446422716103407E-3</v>
      </c>
      <c r="E228" s="33">
        <v>42703</v>
      </c>
      <c r="F228" s="34">
        <v>26394.01</v>
      </c>
      <c r="G228" s="34">
        <f t="shared" si="7"/>
        <v>1.6623638890893614E-3</v>
      </c>
    </row>
    <row r="229" spans="1:7" x14ac:dyDescent="0.3">
      <c r="A229" s="33">
        <v>42704</v>
      </c>
      <c r="B229" s="34">
        <v>566.54999999999995</v>
      </c>
      <c r="C229" s="34">
        <f t="shared" si="6"/>
        <v>-4.4908277825028032E-3</v>
      </c>
      <c r="E229" s="33">
        <v>42704</v>
      </c>
      <c r="F229" s="34">
        <v>26652.81</v>
      </c>
      <c r="G229" s="34">
        <f t="shared" si="7"/>
        <v>9.7574954853630515E-3</v>
      </c>
    </row>
    <row r="230" spans="1:7" x14ac:dyDescent="0.3">
      <c r="A230" s="33">
        <v>42705</v>
      </c>
      <c r="B230" s="34">
        <v>568.15</v>
      </c>
      <c r="C230" s="34">
        <f t="shared" si="6"/>
        <v>2.8201305374425246E-3</v>
      </c>
      <c r="E230" s="33">
        <v>42705</v>
      </c>
      <c r="F230" s="34">
        <v>26559.919999999998</v>
      </c>
      <c r="G230" s="34">
        <f t="shared" si="7"/>
        <v>-3.4912733984114302E-3</v>
      </c>
    </row>
    <row r="231" spans="1:7" x14ac:dyDescent="0.3">
      <c r="A231" s="33">
        <v>42706</v>
      </c>
      <c r="B231" s="34">
        <v>571.4</v>
      </c>
      <c r="C231" s="34">
        <f t="shared" si="6"/>
        <v>5.7040214326546865E-3</v>
      </c>
      <c r="E231" s="33">
        <v>42706</v>
      </c>
      <c r="F231" s="34">
        <v>26230.66</v>
      </c>
      <c r="G231" s="34">
        <f t="shared" si="7"/>
        <v>-1.2474356965068311E-2</v>
      </c>
    </row>
    <row r="232" spans="1:7" x14ac:dyDescent="0.3">
      <c r="A232" s="33">
        <v>42709</v>
      </c>
      <c r="B232" s="34">
        <v>573.20000000000005</v>
      </c>
      <c r="C232" s="34">
        <f t="shared" si="6"/>
        <v>3.1452061573443101E-3</v>
      </c>
      <c r="E232" s="33">
        <v>42709</v>
      </c>
      <c r="F232" s="34">
        <v>26349.1</v>
      </c>
      <c r="G232" s="34">
        <f t="shared" si="7"/>
        <v>4.50516321589695E-3</v>
      </c>
    </row>
    <row r="233" spans="1:7" x14ac:dyDescent="0.3">
      <c r="A233" s="33">
        <v>42710</v>
      </c>
      <c r="B233" s="34">
        <v>574.95000000000005</v>
      </c>
      <c r="C233" s="34">
        <f t="shared" si="6"/>
        <v>3.0483845406570555E-3</v>
      </c>
      <c r="E233" s="33">
        <v>42710</v>
      </c>
      <c r="F233" s="34">
        <v>26392.76</v>
      </c>
      <c r="G233" s="34">
        <f t="shared" si="7"/>
        <v>1.6556113103650852E-3</v>
      </c>
    </row>
    <row r="234" spans="1:7" x14ac:dyDescent="0.3">
      <c r="A234" s="33">
        <v>42711</v>
      </c>
      <c r="B234" s="34">
        <v>570.4</v>
      </c>
      <c r="C234" s="34">
        <f t="shared" si="6"/>
        <v>-7.945211394587778E-3</v>
      </c>
      <c r="E234" s="33">
        <v>42711</v>
      </c>
      <c r="F234" s="34">
        <v>26236.87</v>
      </c>
      <c r="G234" s="34">
        <f t="shared" si="7"/>
        <v>-5.9240566922417054E-3</v>
      </c>
    </row>
    <row r="235" spans="1:7" x14ac:dyDescent="0.3">
      <c r="A235" s="33">
        <v>42712</v>
      </c>
      <c r="B235" s="34">
        <v>581.79999999999995</v>
      </c>
      <c r="C235" s="34">
        <f t="shared" si="6"/>
        <v>1.9788876961014973E-2</v>
      </c>
      <c r="E235" s="33">
        <v>42712</v>
      </c>
      <c r="F235" s="34">
        <v>26694.28</v>
      </c>
      <c r="G235" s="34">
        <f t="shared" si="7"/>
        <v>1.7283636821012027E-2</v>
      </c>
    </row>
    <row r="236" spans="1:7" x14ac:dyDescent="0.3">
      <c r="A236" s="33">
        <v>42713</v>
      </c>
      <c r="B236" s="34">
        <v>579.29999999999995</v>
      </c>
      <c r="C236" s="34">
        <f t="shared" si="6"/>
        <v>-4.3062679585228478E-3</v>
      </c>
      <c r="E236" s="33">
        <v>42713</v>
      </c>
      <c r="F236" s="34">
        <v>26747.18</v>
      </c>
      <c r="G236" s="34">
        <f t="shared" si="7"/>
        <v>1.9797369786619099E-3</v>
      </c>
    </row>
    <row r="237" spans="1:7" x14ac:dyDescent="0.3">
      <c r="A237" s="33">
        <v>42716</v>
      </c>
      <c r="B237" s="34">
        <v>574.35</v>
      </c>
      <c r="C237" s="34">
        <f t="shared" si="6"/>
        <v>-8.5815115111651189E-3</v>
      </c>
      <c r="E237" s="33">
        <v>42716</v>
      </c>
      <c r="F237" s="34">
        <v>26515.24</v>
      </c>
      <c r="G237" s="34">
        <f t="shared" si="7"/>
        <v>-8.7093851957069021E-3</v>
      </c>
    </row>
    <row r="238" spans="1:7" x14ac:dyDescent="0.3">
      <c r="A238" s="33">
        <v>42717</v>
      </c>
      <c r="B238" s="34">
        <v>578.20000000000005</v>
      </c>
      <c r="C238" s="34">
        <f t="shared" si="6"/>
        <v>6.6808629908325983E-3</v>
      </c>
      <c r="E238" s="33">
        <v>42717</v>
      </c>
      <c r="F238" s="34">
        <v>26697.82</v>
      </c>
      <c r="G238" s="34">
        <f t="shared" si="7"/>
        <v>6.8622521043313301E-3</v>
      </c>
    </row>
    <row r="239" spans="1:7" x14ac:dyDescent="0.3">
      <c r="A239" s="33">
        <v>42718</v>
      </c>
      <c r="B239" s="34">
        <v>568.45000000000005</v>
      </c>
      <c r="C239" s="34">
        <f t="shared" si="6"/>
        <v>-1.7006471007130129E-2</v>
      </c>
      <c r="E239" s="33">
        <v>42718</v>
      </c>
      <c r="F239" s="34">
        <v>26602.84</v>
      </c>
      <c r="G239" s="34">
        <f t="shared" si="7"/>
        <v>-3.5639371269894052E-3</v>
      </c>
    </row>
    <row r="240" spans="1:7" x14ac:dyDescent="0.3">
      <c r="A240" s="33">
        <v>42719</v>
      </c>
      <c r="B240" s="34">
        <v>561.6</v>
      </c>
      <c r="C240" s="34">
        <f t="shared" si="6"/>
        <v>-1.2123505863514223E-2</v>
      </c>
      <c r="E240" s="33">
        <v>42719</v>
      </c>
      <c r="F240" s="34">
        <v>26519.07</v>
      </c>
      <c r="G240" s="34">
        <f t="shared" si="7"/>
        <v>-3.1538801762985803E-3</v>
      </c>
    </row>
    <row r="241" spans="1:7" x14ac:dyDescent="0.3">
      <c r="A241" s="33">
        <v>42720</v>
      </c>
      <c r="B241" s="34">
        <v>566</v>
      </c>
      <c r="C241" s="34">
        <f t="shared" si="6"/>
        <v>7.8042254915814688E-3</v>
      </c>
      <c r="E241" s="33">
        <v>42720</v>
      </c>
      <c r="F241" s="34">
        <v>26489.56</v>
      </c>
      <c r="G241" s="34">
        <f t="shared" si="7"/>
        <v>-1.1134037249612742E-3</v>
      </c>
    </row>
    <row r="242" spans="1:7" x14ac:dyDescent="0.3">
      <c r="A242" s="33">
        <v>42723</v>
      </c>
      <c r="B242" s="34">
        <v>568.45000000000005</v>
      </c>
      <c r="C242" s="34">
        <f t="shared" si="6"/>
        <v>4.3192803719327693E-3</v>
      </c>
      <c r="E242" s="33">
        <v>42723</v>
      </c>
      <c r="F242" s="34">
        <v>26374.7</v>
      </c>
      <c r="G242" s="34">
        <f t="shared" si="7"/>
        <v>-4.3454757805464535E-3</v>
      </c>
    </row>
    <row r="243" spans="1:7" x14ac:dyDescent="0.3">
      <c r="A243" s="33">
        <v>42724</v>
      </c>
      <c r="B243" s="34">
        <v>562</v>
      </c>
      <c r="C243" s="34">
        <f t="shared" si="6"/>
        <v>-1.14115086814246E-2</v>
      </c>
      <c r="E243" s="33">
        <v>42724</v>
      </c>
      <c r="F243" s="34">
        <v>26307.98</v>
      </c>
      <c r="G243" s="34">
        <f t="shared" si="7"/>
        <v>-2.5329021101696131E-3</v>
      </c>
    </row>
    <row r="244" spans="1:7" x14ac:dyDescent="0.3">
      <c r="A244" s="33">
        <v>42725</v>
      </c>
      <c r="B244" s="34">
        <v>562.85</v>
      </c>
      <c r="C244" s="34">
        <f t="shared" si="6"/>
        <v>1.5113129071218955E-3</v>
      </c>
      <c r="E244" s="33">
        <v>42725</v>
      </c>
      <c r="F244" s="34">
        <v>26242.38</v>
      </c>
      <c r="G244" s="34">
        <f t="shared" si="7"/>
        <v>-2.4966540314953181E-3</v>
      </c>
    </row>
    <row r="245" spans="1:7" x14ac:dyDescent="0.3">
      <c r="A245" s="33">
        <v>42726</v>
      </c>
      <c r="B245" s="34">
        <v>560.20000000000005</v>
      </c>
      <c r="C245" s="34">
        <f t="shared" si="6"/>
        <v>-4.7192999748047757E-3</v>
      </c>
      <c r="E245" s="33">
        <v>42726</v>
      </c>
      <c r="F245" s="34">
        <v>25979.599999999999</v>
      </c>
      <c r="G245" s="34">
        <f t="shared" si="7"/>
        <v>-1.0064046517181395E-2</v>
      </c>
    </row>
    <row r="246" spans="1:7" x14ac:dyDescent="0.3">
      <c r="A246" s="33">
        <v>42727</v>
      </c>
      <c r="B246" s="34">
        <v>582.75</v>
      </c>
      <c r="C246" s="34">
        <f t="shared" si="6"/>
        <v>3.9464415089858297E-2</v>
      </c>
      <c r="E246" s="33">
        <v>42727</v>
      </c>
      <c r="F246" s="34">
        <v>26040.7</v>
      </c>
      <c r="G246" s="34">
        <f t="shared" si="7"/>
        <v>2.3490840343793023E-3</v>
      </c>
    </row>
    <row r="247" spans="1:7" x14ac:dyDescent="0.3">
      <c r="A247" s="33">
        <v>42730</v>
      </c>
      <c r="B247" s="34">
        <v>553.95000000000005</v>
      </c>
      <c r="C247" s="34">
        <f t="shared" si="6"/>
        <v>-5.0683847949184534E-2</v>
      </c>
      <c r="E247" s="33">
        <v>42730</v>
      </c>
      <c r="F247" s="34">
        <v>25807.1</v>
      </c>
      <c r="G247" s="34">
        <f t="shared" si="7"/>
        <v>-9.0110508323381477E-3</v>
      </c>
    </row>
    <row r="248" spans="1:7" x14ac:dyDescent="0.3">
      <c r="A248" s="33">
        <v>42731</v>
      </c>
      <c r="B248" s="34">
        <v>562.9</v>
      </c>
      <c r="C248" s="34">
        <f t="shared" si="6"/>
        <v>1.6027562503298957E-2</v>
      </c>
      <c r="E248" s="33">
        <v>42731</v>
      </c>
      <c r="F248" s="34">
        <v>26213.439999999999</v>
      </c>
      <c r="G248" s="34">
        <f t="shared" si="7"/>
        <v>1.5622608471360754E-2</v>
      </c>
    </row>
    <row r="249" spans="1:7" x14ac:dyDescent="0.3">
      <c r="A249" s="33">
        <v>42732</v>
      </c>
      <c r="B249" s="34">
        <v>562.65</v>
      </c>
      <c r="C249" s="34">
        <f t="shared" si="6"/>
        <v>-4.4422727397488184E-4</v>
      </c>
      <c r="E249" s="33">
        <v>42732</v>
      </c>
      <c r="F249" s="34">
        <v>26210.68</v>
      </c>
      <c r="G249" s="34">
        <f t="shared" si="7"/>
        <v>-1.0529504367637517E-4</v>
      </c>
    </row>
    <row r="250" spans="1:7" x14ac:dyDescent="0.3">
      <c r="A250" s="33">
        <v>42733</v>
      </c>
      <c r="B250" s="34">
        <v>564.29999999999995</v>
      </c>
      <c r="C250" s="34">
        <f t="shared" si="6"/>
        <v>2.9282597790883597E-3</v>
      </c>
      <c r="E250" s="33">
        <v>42733</v>
      </c>
      <c r="F250" s="34">
        <v>26366.15</v>
      </c>
      <c r="G250" s="34">
        <f t="shared" si="7"/>
        <v>5.9140291698685822E-3</v>
      </c>
    </row>
    <row r="251" spans="1:7" x14ac:dyDescent="0.3">
      <c r="A251" s="33">
        <v>42734</v>
      </c>
      <c r="B251" s="34">
        <v>568.20000000000005</v>
      </c>
      <c r="C251" s="34">
        <f t="shared" si="6"/>
        <v>6.887444444993362E-3</v>
      </c>
      <c r="E251" s="33">
        <v>42734</v>
      </c>
      <c r="F251" s="34">
        <v>26626.46</v>
      </c>
      <c r="G251" s="34">
        <f t="shared" si="7"/>
        <v>9.8244677422130618E-3</v>
      </c>
    </row>
    <row r="252" spans="1:7" x14ac:dyDescent="0.3">
      <c r="A252" s="33">
        <v>42737</v>
      </c>
      <c r="B252" s="34">
        <v>565.9</v>
      </c>
      <c r="C252" s="34">
        <f t="shared" si="6"/>
        <v>-4.0560852716095361E-3</v>
      </c>
      <c r="E252" s="33">
        <v>42737</v>
      </c>
      <c r="F252" s="34">
        <v>26595.45</v>
      </c>
      <c r="G252" s="34">
        <f t="shared" si="7"/>
        <v>-1.1653096820147856E-3</v>
      </c>
    </row>
    <row r="253" spans="1:7" x14ac:dyDescent="0.3">
      <c r="A253" s="33">
        <v>42738</v>
      </c>
      <c r="B253" s="34">
        <v>574.15</v>
      </c>
      <c r="C253" s="34">
        <f t="shared" si="6"/>
        <v>1.4473302073720247E-2</v>
      </c>
      <c r="E253" s="33">
        <v>42738</v>
      </c>
      <c r="F253" s="34">
        <v>26643.24</v>
      </c>
      <c r="G253" s="34">
        <f t="shared" si="7"/>
        <v>1.7953113735956357E-3</v>
      </c>
    </row>
    <row r="254" spans="1:7" x14ac:dyDescent="0.3">
      <c r="A254" s="33">
        <v>42739</v>
      </c>
      <c r="B254" s="34">
        <v>568.1</v>
      </c>
      <c r="C254" s="34">
        <f t="shared" si="6"/>
        <v>-1.0593226659117E-2</v>
      </c>
      <c r="E254" s="33">
        <v>42739</v>
      </c>
      <c r="F254" s="34">
        <v>26633.13</v>
      </c>
      <c r="G254" s="34">
        <f t="shared" si="7"/>
        <v>-3.7953036670321884E-4</v>
      </c>
    </row>
    <row r="255" spans="1:7" x14ac:dyDescent="0.3">
      <c r="A255" s="33">
        <v>42740</v>
      </c>
      <c r="B255" s="34">
        <v>579.65</v>
      </c>
      <c r="C255" s="34">
        <f t="shared" si="6"/>
        <v>2.012701355332925E-2</v>
      </c>
      <c r="E255" s="33">
        <v>42740</v>
      </c>
      <c r="F255" s="34">
        <v>26878.240000000002</v>
      </c>
      <c r="G255" s="34">
        <f t="shared" si="7"/>
        <v>9.161107789016151E-3</v>
      </c>
    </row>
    <row r="256" spans="1:7" x14ac:dyDescent="0.3">
      <c r="A256" s="33">
        <v>42741</v>
      </c>
      <c r="B256" s="34">
        <v>582.15</v>
      </c>
      <c r="C256" s="34">
        <f t="shared" si="6"/>
        <v>4.3036733666146406E-3</v>
      </c>
      <c r="E256" s="33">
        <v>42741</v>
      </c>
      <c r="F256" s="34">
        <v>26759.23</v>
      </c>
      <c r="G256" s="34">
        <f t="shared" si="7"/>
        <v>-4.4375767647585286E-3</v>
      </c>
    </row>
    <row r="257" spans="1:7" x14ac:dyDescent="0.3">
      <c r="A257" s="33">
        <v>42744</v>
      </c>
      <c r="B257" s="34">
        <v>576.79999999999995</v>
      </c>
      <c r="C257" s="34">
        <f t="shared" si="6"/>
        <v>-9.2325605122857788E-3</v>
      </c>
      <c r="E257" s="33">
        <v>42744</v>
      </c>
      <c r="F257" s="34">
        <v>26726.55</v>
      </c>
      <c r="G257" s="34">
        <f t="shared" si="7"/>
        <v>-1.2220071976798185E-3</v>
      </c>
    </row>
    <row r="258" spans="1:7" x14ac:dyDescent="0.3">
      <c r="A258" s="33">
        <v>42745</v>
      </c>
      <c r="B258" s="34">
        <v>575.65</v>
      </c>
      <c r="C258" s="34">
        <f t="shared" si="6"/>
        <v>-1.9957488510658444E-3</v>
      </c>
      <c r="E258" s="33">
        <v>42745</v>
      </c>
      <c r="F258" s="34">
        <v>26899.56</v>
      </c>
      <c r="G258" s="34">
        <f t="shared" si="7"/>
        <v>6.4524762383198408E-3</v>
      </c>
    </row>
    <row r="259" spans="1:7" x14ac:dyDescent="0.3">
      <c r="A259" s="33">
        <v>42746</v>
      </c>
      <c r="B259" s="34">
        <v>577.85</v>
      </c>
      <c r="C259" s="34">
        <f t="shared" si="6"/>
        <v>3.8144823017769018E-3</v>
      </c>
      <c r="E259" s="33">
        <v>42746</v>
      </c>
      <c r="F259" s="34">
        <v>27140.41</v>
      </c>
      <c r="G259" s="34">
        <f t="shared" si="7"/>
        <v>8.9138315492737694E-3</v>
      </c>
    </row>
    <row r="260" spans="1:7" x14ac:dyDescent="0.3">
      <c r="A260" s="33">
        <v>42747</v>
      </c>
      <c r="B260" s="34">
        <v>586.15</v>
      </c>
      <c r="C260" s="34">
        <f t="shared" si="6"/>
        <v>1.4261410096386821E-2</v>
      </c>
      <c r="E260" s="33">
        <v>42747</v>
      </c>
      <c r="F260" s="34">
        <v>27247.16</v>
      </c>
      <c r="G260" s="34">
        <f t="shared" si="7"/>
        <v>3.9255343484974571E-3</v>
      </c>
    </row>
    <row r="261" spans="1:7" x14ac:dyDescent="0.3">
      <c r="A261" s="33">
        <v>42748</v>
      </c>
      <c r="B261" s="34">
        <v>584.4</v>
      </c>
      <c r="C261" s="34">
        <f t="shared" si="6"/>
        <v>-2.9900496412928563E-3</v>
      </c>
      <c r="E261" s="33">
        <v>42748</v>
      </c>
      <c r="F261" s="34">
        <v>27238.06</v>
      </c>
      <c r="G261" s="34">
        <f t="shared" si="7"/>
        <v>-3.3403554522178661E-4</v>
      </c>
    </row>
    <row r="262" spans="1:7" x14ac:dyDescent="0.3">
      <c r="A262" s="33">
        <v>42751</v>
      </c>
      <c r="B262" s="34">
        <v>587.29999999999995</v>
      </c>
      <c r="C262" s="34">
        <f t="shared" si="6"/>
        <v>4.9500826519292655E-3</v>
      </c>
      <c r="E262" s="33">
        <v>42751</v>
      </c>
      <c r="F262" s="34">
        <v>27288.17</v>
      </c>
      <c r="G262" s="34">
        <f t="shared" si="7"/>
        <v>1.8380149923149776E-3</v>
      </c>
    </row>
    <row r="263" spans="1:7" x14ac:dyDescent="0.3">
      <c r="A263" s="33">
        <v>42752</v>
      </c>
      <c r="B263" s="34">
        <v>586.5</v>
      </c>
      <c r="C263" s="34">
        <f t="shared" ref="C263:C326" si="8">LN(B263/B262)</f>
        <v>-1.3630944349435966E-3</v>
      </c>
      <c r="E263" s="33">
        <v>42752</v>
      </c>
      <c r="F263" s="34">
        <v>27235.66</v>
      </c>
      <c r="G263" s="34">
        <f t="shared" ref="G263:G326" si="9">LN(F263/F262)</f>
        <v>-1.9261308765086158E-3</v>
      </c>
    </row>
    <row r="264" spans="1:7" x14ac:dyDescent="0.3">
      <c r="A264" s="33">
        <v>42753</v>
      </c>
      <c r="B264" s="34">
        <v>581.6</v>
      </c>
      <c r="C264" s="34">
        <f t="shared" si="8"/>
        <v>-8.3897418742204782E-3</v>
      </c>
      <c r="E264" s="33">
        <v>42753</v>
      </c>
      <c r="F264" s="34">
        <v>27257.64</v>
      </c>
      <c r="G264" s="34">
        <f t="shared" si="9"/>
        <v>8.0670472120417135E-4</v>
      </c>
    </row>
    <row r="265" spans="1:7" x14ac:dyDescent="0.3">
      <c r="A265" s="33">
        <v>42754</v>
      </c>
      <c r="B265" s="34">
        <v>579.75</v>
      </c>
      <c r="C265" s="34">
        <f t="shared" si="8"/>
        <v>-3.1859500836686496E-3</v>
      </c>
      <c r="E265" s="33">
        <v>42754</v>
      </c>
      <c r="F265" s="34">
        <v>27308.6</v>
      </c>
      <c r="G265" s="34">
        <f t="shared" si="9"/>
        <v>1.8678221118257979E-3</v>
      </c>
    </row>
    <row r="266" spans="1:7" x14ac:dyDescent="0.3">
      <c r="A266" s="33">
        <v>42755</v>
      </c>
      <c r="B266" s="34">
        <v>575.85</v>
      </c>
      <c r="C266" s="34">
        <f t="shared" si="8"/>
        <v>-6.7497660207246294E-3</v>
      </c>
      <c r="E266" s="33">
        <v>42755</v>
      </c>
      <c r="F266" s="34">
        <v>27034.5</v>
      </c>
      <c r="G266" s="34">
        <f t="shared" si="9"/>
        <v>-1.0087842779248358E-2</v>
      </c>
    </row>
    <row r="267" spans="1:7" x14ac:dyDescent="0.3">
      <c r="A267" s="33">
        <v>42758</v>
      </c>
      <c r="B267" s="34">
        <v>576.85</v>
      </c>
      <c r="C267" s="34">
        <f t="shared" si="8"/>
        <v>1.7350572583823257E-3</v>
      </c>
      <c r="E267" s="33">
        <v>42758</v>
      </c>
      <c r="F267" s="34">
        <v>27117.34</v>
      </c>
      <c r="G267" s="34">
        <f t="shared" si="9"/>
        <v>3.0595475470797861E-3</v>
      </c>
    </row>
    <row r="268" spans="1:7" x14ac:dyDescent="0.3">
      <c r="A268" s="33">
        <v>42759</v>
      </c>
      <c r="B268" s="34">
        <v>579.79999999999995</v>
      </c>
      <c r="C268" s="34">
        <f t="shared" si="8"/>
        <v>5.1009491142563054E-3</v>
      </c>
      <c r="E268" s="33">
        <v>42759</v>
      </c>
      <c r="F268" s="34">
        <v>27375.58</v>
      </c>
      <c r="G268" s="34">
        <f t="shared" si="9"/>
        <v>9.4779994609186582E-3</v>
      </c>
    </row>
    <row r="269" spans="1:7" x14ac:dyDescent="0.3">
      <c r="A269" s="33">
        <v>42760</v>
      </c>
      <c r="B269" s="34">
        <v>584.70000000000005</v>
      </c>
      <c r="C269" s="34">
        <f t="shared" si="8"/>
        <v>8.4156786940698149E-3</v>
      </c>
      <c r="E269" s="33">
        <v>42760</v>
      </c>
      <c r="F269" s="34">
        <v>27708.14</v>
      </c>
      <c r="G269" s="34">
        <f t="shared" si="9"/>
        <v>1.2074857713126021E-2</v>
      </c>
    </row>
    <row r="270" spans="1:7" x14ac:dyDescent="0.3">
      <c r="A270" s="33">
        <v>42762</v>
      </c>
      <c r="B270" s="34">
        <v>580.25</v>
      </c>
      <c r="C270" s="34">
        <f t="shared" si="8"/>
        <v>-7.6398500270785036E-3</v>
      </c>
      <c r="E270" s="33">
        <v>42762</v>
      </c>
      <c r="F270" s="34">
        <v>27882.46</v>
      </c>
      <c r="G270" s="34">
        <f t="shared" si="9"/>
        <v>6.2715844539791878E-3</v>
      </c>
    </row>
    <row r="271" spans="1:7" x14ac:dyDescent="0.3">
      <c r="A271" s="33">
        <v>42765</v>
      </c>
      <c r="B271" s="34">
        <v>580.95000000000005</v>
      </c>
      <c r="C271" s="34">
        <f t="shared" si="8"/>
        <v>1.2056494743245411E-3</v>
      </c>
      <c r="E271" s="33">
        <v>42765</v>
      </c>
      <c r="F271" s="34">
        <v>27849.56</v>
      </c>
      <c r="G271" s="34">
        <f t="shared" si="9"/>
        <v>-1.1806499682481416E-3</v>
      </c>
    </row>
    <row r="272" spans="1:7" x14ac:dyDescent="0.3">
      <c r="A272" s="33">
        <v>42766</v>
      </c>
      <c r="B272" s="34">
        <v>574.25</v>
      </c>
      <c r="C272" s="34">
        <f t="shared" si="8"/>
        <v>-1.159985305966336E-2</v>
      </c>
      <c r="E272" s="33">
        <v>42766</v>
      </c>
      <c r="F272" s="34">
        <v>27655.96</v>
      </c>
      <c r="G272" s="34">
        <f t="shared" si="9"/>
        <v>-6.9759110481685364E-3</v>
      </c>
    </row>
    <row r="273" spans="1:7" x14ac:dyDescent="0.3">
      <c r="A273" s="33">
        <v>42767</v>
      </c>
      <c r="B273" s="34">
        <v>573.25</v>
      </c>
      <c r="C273" s="34">
        <f t="shared" si="8"/>
        <v>-1.7429198311938239E-3</v>
      </c>
      <c r="E273" s="33">
        <v>42767</v>
      </c>
      <c r="F273" s="34">
        <v>28141.64</v>
      </c>
      <c r="G273" s="34">
        <f t="shared" si="9"/>
        <v>1.7409073738937891E-2</v>
      </c>
    </row>
    <row r="274" spans="1:7" x14ac:dyDescent="0.3">
      <c r="A274" s="33">
        <v>42768</v>
      </c>
      <c r="B274" s="34">
        <v>583.95000000000005</v>
      </c>
      <c r="C274" s="34">
        <f t="shared" si="8"/>
        <v>1.849344098656077E-2</v>
      </c>
      <c r="E274" s="33">
        <v>42768</v>
      </c>
      <c r="F274" s="34">
        <v>28226.61</v>
      </c>
      <c r="G274" s="34">
        <f t="shared" si="9"/>
        <v>3.0148200222173088E-3</v>
      </c>
    </row>
    <row r="275" spans="1:7" x14ac:dyDescent="0.3">
      <c r="A275" s="33">
        <v>42769</v>
      </c>
      <c r="B275" s="34">
        <v>608.35</v>
      </c>
      <c r="C275" s="34">
        <f t="shared" si="8"/>
        <v>4.0935011508883561E-2</v>
      </c>
      <c r="E275" s="33">
        <v>42769</v>
      </c>
      <c r="F275" s="34">
        <v>28240.52</v>
      </c>
      <c r="G275" s="34">
        <f t="shared" si="9"/>
        <v>4.9267601457208664E-4</v>
      </c>
    </row>
    <row r="276" spans="1:7" x14ac:dyDescent="0.3">
      <c r="A276" s="33">
        <v>42772</v>
      </c>
      <c r="B276" s="34">
        <v>601.45000000000005</v>
      </c>
      <c r="C276" s="34">
        <f t="shared" si="8"/>
        <v>-1.1406967793376478E-2</v>
      </c>
      <c r="E276" s="33">
        <v>42772</v>
      </c>
      <c r="F276" s="34">
        <v>28439.279999999999</v>
      </c>
      <c r="G276" s="34">
        <f t="shared" si="9"/>
        <v>7.0134621056300627E-3</v>
      </c>
    </row>
    <row r="277" spans="1:7" x14ac:dyDescent="0.3">
      <c r="A277" s="33">
        <v>42773</v>
      </c>
      <c r="B277" s="34">
        <v>597.29999999999995</v>
      </c>
      <c r="C277" s="34">
        <f t="shared" si="8"/>
        <v>-6.9239067018214426E-3</v>
      </c>
      <c r="E277" s="33">
        <v>42773</v>
      </c>
      <c r="F277" s="34">
        <v>28335.16</v>
      </c>
      <c r="G277" s="34">
        <f t="shared" si="9"/>
        <v>-3.6678518265740177E-3</v>
      </c>
    </row>
    <row r="278" spans="1:7" x14ac:dyDescent="0.3">
      <c r="A278" s="33">
        <v>42774</v>
      </c>
      <c r="B278" s="34">
        <v>602.95000000000005</v>
      </c>
      <c r="C278" s="34">
        <f t="shared" si="8"/>
        <v>9.4147748113413473E-3</v>
      </c>
      <c r="E278" s="33">
        <v>42774</v>
      </c>
      <c r="F278" s="34">
        <v>28289.919999999998</v>
      </c>
      <c r="G278" s="34">
        <f t="shared" si="9"/>
        <v>-1.5978788771911824E-3</v>
      </c>
    </row>
    <row r="279" spans="1:7" x14ac:dyDescent="0.3">
      <c r="A279" s="33">
        <v>42775</v>
      </c>
      <c r="B279" s="34">
        <v>587</v>
      </c>
      <c r="C279" s="34">
        <f t="shared" si="8"/>
        <v>-2.6809454721505165E-2</v>
      </c>
      <c r="E279" s="33">
        <v>42775</v>
      </c>
      <c r="F279" s="34">
        <v>28329.7</v>
      </c>
      <c r="G279" s="34">
        <f t="shared" si="9"/>
        <v>1.4051668501289269E-3</v>
      </c>
    </row>
    <row r="280" spans="1:7" x14ac:dyDescent="0.3">
      <c r="A280" s="33">
        <v>42776</v>
      </c>
      <c r="B280" s="34">
        <v>579.35</v>
      </c>
      <c r="C280" s="34">
        <f t="shared" si="8"/>
        <v>-1.3118034385025125E-2</v>
      </c>
      <c r="E280" s="33">
        <v>42776</v>
      </c>
      <c r="F280" s="34">
        <v>28334.25</v>
      </c>
      <c r="G280" s="34">
        <f t="shared" si="9"/>
        <v>1.6059593479738704E-4</v>
      </c>
    </row>
    <row r="281" spans="1:7" x14ac:dyDescent="0.3">
      <c r="A281" s="33">
        <v>42779</v>
      </c>
      <c r="B281" s="34">
        <v>581.29999999999995</v>
      </c>
      <c r="C281" s="34">
        <f t="shared" si="8"/>
        <v>3.3601892642333864E-3</v>
      </c>
      <c r="E281" s="33">
        <v>42779</v>
      </c>
      <c r="F281" s="34">
        <v>28351.62</v>
      </c>
      <c r="G281" s="34">
        <f t="shared" si="9"/>
        <v>6.1285115827496321E-4</v>
      </c>
    </row>
    <row r="282" spans="1:7" x14ac:dyDescent="0.3">
      <c r="A282" s="33">
        <v>42780</v>
      </c>
      <c r="B282" s="34">
        <v>576.75</v>
      </c>
      <c r="C282" s="34">
        <f t="shared" si="8"/>
        <v>-7.8580776534417796E-3</v>
      </c>
      <c r="E282" s="33">
        <v>42780</v>
      </c>
      <c r="F282" s="34">
        <v>28339.31</v>
      </c>
      <c r="G282" s="34">
        <f t="shared" si="9"/>
        <v>-4.3428464459742237E-4</v>
      </c>
    </row>
    <row r="283" spans="1:7" x14ac:dyDescent="0.3">
      <c r="A283" s="33">
        <v>42781</v>
      </c>
      <c r="B283" s="34">
        <v>573.35</v>
      </c>
      <c r="C283" s="34">
        <f t="shared" si="8"/>
        <v>-5.9125465695495675E-3</v>
      </c>
      <c r="E283" s="33">
        <v>42781</v>
      </c>
      <c r="F283" s="34">
        <v>28155.56</v>
      </c>
      <c r="G283" s="34">
        <f t="shared" si="9"/>
        <v>-6.5050383497121771E-3</v>
      </c>
    </row>
    <row r="284" spans="1:7" x14ac:dyDescent="0.3">
      <c r="A284" s="33">
        <v>42782</v>
      </c>
      <c r="B284" s="34">
        <v>583.4</v>
      </c>
      <c r="C284" s="34">
        <f t="shared" si="8"/>
        <v>1.7376706949307562E-2</v>
      </c>
      <c r="E284" s="33">
        <v>42782</v>
      </c>
      <c r="F284" s="34">
        <v>28301.27</v>
      </c>
      <c r="G284" s="34">
        <f t="shared" si="9"/>
        <v>5.1618315633646479E-3</v>
      </c>
    </row>
    <row r="285" spans="1:7" x14ac:dyDescent="0.3">
      <c r="A285" s="33">
        <v>42783</v>
      </c>
      <c r="B285" s="34">
        <v>592.6</v>
      </c>
      <c r="C285" s="34">
        <f t="shared" si="8"/>
        <v>1.5646577705843927E-2</v>
      </c>
      <c r="E285" s="33">
        <v>42783</v>
      </c>
      <c r="F285" s="34">
        <v>28468.75</v>
      </c>
      <c r="G285" s="34">
        <f t="shared" si="9"/>
        <v>5.9003144928636148E-3</v>
      </c>
    </row>
    <row r="286" spans="1:7" x14ac:dyDescent="0.3">
      <c r="A286" s="33">
        <v>42786</v>
      </c>
      <c r="B286" s="34">
        <v>593.9</v>
      </c>
      <c r="C286" s="34">
        <f t="shared" si="8"/>
        <v>2.1913198823494996E-3</v>
      </c>
      <c r="E286" s="33">
        <v>42786</v>
      </c>
      <c r="F286" s="34">
        <v>28661.58</v>
      </c>
      <c r="G286" s="34">
        <f t="shared" si="9"/>
        <v>6.7505555200317903E-3</v>
      </c>
    </row>
    <row r="287" spans="1:7" x14ac:dyDescent="0.3">
      <c r="A287" s="33">
        <v>42787</v>
      </c>
      <c r="B287" s="34">
        <v>592.6</v>
      </c>
      <c r="C287" s="34">
        <f t="shared" si="8"/>
        <v>-2.191319882349625E-3</v>
      </c>
      <c r="E287" s="33">
        <v>42787</v>
      </c>
      <c r="F287" s="34">
        <v>28761.59</v>
      </c>
      <c r="G287" s="34">
        <f t="shared" si="9"/>
        <v>3.483266462636264E-3</v>
      </c>
    </row>
    <row r="288" spans="1:7" x14ac:dyDescent="0.3">
      <c r="A288" s="33">
        <v>42788</v>
      </c>
      <c r="B288" s="34">
        <v>587.85</v>
      </c>
      <c r="C288" s="34">
        <f t="shared" si="8"/>
        <v>-8.0478218257147051E-3</v>
      </c>
      <c r="E288" s="33">
        <v>42788</v>
      </c>
      <c r="F288" s="34">
        <v>28864.71</v>
      </c>
      <c r="G288" s="34">
        <f t="shared" si="9"/>
        <v>3.5789252500838865E-3</v>
      </c>
    </row>
    <row r="289" spans="1:7" x14ac:dyDescent="0.3">
      <c r="A289" s="33">
        <v>42789</v>
      </c>
      <c r="B289" s="34">
        <v>591.6</v>
      </c>
      <c r="C289" s="34">
        <f t="shared" si="8"/>
        <v>6.358917522894577E-3</v>
      </c>
      <c r="E289" s="33">
        <v>42789</v>
      </c>
      <c r="F289" s="34">
        <v>28892.97</v>
      </c>
      <c r="G289" s="34">
        <f t="shared" si="9"/>
        <v>9.7857123953573339E-4</v>
      </c>
    </row>
    <row r="290" spans="1:7" x14ac:dyDescent="0.3">
      <c r="A290" s="33">
        <v>42793</v>
      </c>
      <c r="B290" s="34">
        <v>585.45000000000005</v>
      </c>
      <c r="C290" s="34">
        <f t="shared" si="8"/>
        <v>-1.0449948541911036E-2</v>
      </c>
      <c r="E290" s="33">
        <v>42793</v>
      </c>
      <c r="F290" s="34">
        <v>28812.880000000001</v>
      </c>
      <c r="G290" s="34">
        <f t="shared" si="9"/>
        <v>-2.7758035424490426E-3</v>
      </c>
    </row>
    <row r="291" spans="1:7" x14ac:dyDescent="0.3">
      <c r="A291" s="33">
        <v>42794</v>
      </c>
      <c r="B291" s="34">
        <v>583.20000000000005</v>
      </c>
      <c r="C291" s="34">
        <f t="shared" si="8"/>
        <v>-3.8506016002852572E-3</v>
      </c>
      <c r="E291" s="33">
        <v>42794</v>
      </c>
      <c r="F291" s="34">
        <v>28743.32</v>
      </c>
      <c r="G291" s="34">
        <f t="shared" si="9"/>
        <v>-2.4171169697359408E-3</v>
      </c>
    </row>
    <row r="292" spans="1:7" x14ac:dyDescent="0.3">
      <c r="A292" s="33">
        <v>42795</v>
      </c>
      <c r="B292" s="34">
        <v>587.35</v>
      </c>
      <c r="C292" s="34">
        <f t="shared" si="8"/>
        <v>7.0907135754465058E-3</v>
      </c>
      <c r="E292" s="33">
        <v>42795</v>
      </c>
      <c r="F292" s="34">
        <v>28984.49</v>
      </c>
      <c r="G292" s="34">
        <f t="shared" si="9"/>
        <v>8.3554669086446081E-3</v>
      </c>
    </row>
    <row r="293" spans="1:7" x14ac:dyDescent="0.3">
      <c r="A293" s="33">
        <v>42796</v>
      </c>
      <c r="B293" s="34">
        <v>587.1</v>
      </c>
      <c r="C293" s="34">
        <f t="shared" si="8"/>
        <v>-4.2573119975473217E-4</v>
      </c>
      <c r="E293" s="33">
        <v>42796</v>
      </c>
      <c r="F293" s="34">
        <v>28839.79</v>
      </c>
      <c r="G293" s="34">
        <f t="shared" si="9"/>
        <v>-5.0048284921394058E-3</v>
      </c>
    </row>
    <row r="294" spans="1:7" x14ac:dyDescent="0.3">
      <c r="A294" s="33">
        <v>42797</v>
      </c>
      <c r="B294" s="34">
        <v>587.54999999999995</v>
      </c>
      <c r="C294" s="34">
        <f t="shared" si="8"/>
        <v>7.6618570980957761E-4</v>
      </c>
      <c r="E294" s="33">
        <v>42797</v>
      </c>
      <c r="F294" s="34">
        <v>28832.45</v>
      </c>
      <c r="G294" s="34">
        <f t="shared" si="9"/>
        <v>-2.545418745528255E-4</v>
      </c>
    </row>
    <row r="295" spans="1:7" x14ac:dyDescent="0.3">
      <c r="A295" s="33">
        <v>42800</v>
      </c>
      <c r="B295" s="34">
        <v>589.25</v>
      </c>
      <c r="C295" s="34">
        <f t="shared" si="8"/>
        <v>2.8891930362905127E-3</v>
      </c>
      <c r="E295" s="33">
        <v>42800</v>
      </c>
      <c r="F295" s="34">
        <v>29048.19</v>
      </c>
      <c r="G295" s="34">
        <f t="shared" si="9"/>
        <v>7.4546860261805155E-3</v>
      </c>
    </row>
    <row r="296" spans="1:7" x14ac:dyDescent="0.3">
      <c r="A296" s="33">
        <v>42801</v>
      </c>
      <c r="B296" s="34">
        <v>587.6</v>
      </c>
      <c r="C296" s="34">
        <f t="shared" si="8"/>
        <v>-2.8040975165182108E-3</v>
      </c>
      <c r="E296" s="33">
        <v>42801</v>
      </c>
      <c r="F296" s="34">
        <v>28999.56</v>
      </c>
      <c r="G296" s="34">
        <f t="shared" si="9"/>
        <v>-1.6755175308885456E-3</v>
      </c>
    </row>
    <row r="297" spans="1:7" x14ac:dyDescent="0.3">
      <c r="A297" s="33">
        <v>42802</v>
      </c>
      <c r="B297" s="34">
        <v>589.95000000000005</v>
      </c>
      <c r="C297" s="34">
        <f t="shared" si="8"/>
        <v>3.9913432462060135E-3</v>
      </c>
      <c r="E297" s="33">
        <v>42802</v>
      </c>
      <c r="F297" s="34">
        <v>28901.94</v>
      </c>
      <c r="G297" s="34">
        <f t="shared" si="9"/>
        <v>-3.3719365644958792E-3</v>
      </c>
    </row>
    <row r="298" spans="1:7" x14ac:dyDescent="0.3">
      <c r="A298" s="33">
        <v>42803</v>
      </c>
      <c r="B298" s="34">
        <v>589.6</v>
      </c>
      <c r="C298" s="34">
        <f t="shared" si="8"/>
        <v>-5.9344667080146805E-4</v>
      </c>
      <c r="E298" s="33">
        <v>42803</v>
      </c>
      <c r="F298" s="34">
        <v>28929.13</v>
      </c>
      <c r="G298" s="34">
        <f t="shared" si="9"/>
        <v>9.4032505376349072E-4</v>
      </c>
    </row>
    <row r="299" spans="1:7" x14ac:dyDescent="0.3">
      <c r="A299" s="33">
        <v>42804</v>
      </c>
      <c r="B299" s="34">
        <v>587.9</v>
      </c>
      <c r="C299" s="34">
        <f t="shared" si="8"/>
        <v>-2.8874754669177063E-3</v>
      </c>
      <c r="E299" s="33">
        <v>42804</v>
      </c>
      <c r="F299" s="34">
        <v>28946.23</v>
      </c>
      <c r="G299" s="34">
        <f t="shared" si="9"/>
        <v>5.9092506716503044E-4</v>
      </c>
    </row>
    <row r="300" spans="1:7" x14ac:dyDescent="0.3">
      <c r="A300" s="33">
        <v>42808</v>
      </c>
      <c r="B300" s="34">
        <v>598.54999999999995</v>
      </c>
      <c r="C300" s="34">
        <f t="shared" si="8"/>
        <v>1.7953198289169497E-2</v>
      </c>
      <c r="E300" s="33">
        <v>42808</v>
      </c>
      <c r="F300" s="34">
        <v>29442.63</v>
      </c>
      <c r="G300" s="34">
        <f t="shared" si="9"/>
        <v>1.7003653095728974E-2</v>
      </c>
    </row>
    <row r="301" spans="1:7" x14ac:dyDescent="0.3">
      <c r="A301" s="33">
        <v>42809</v>
      </c>
      <c r="B301" s="34">
        <v>598.75</v>
      </c>
      <c r="C301" s="34">
        <f t="shared" si="8"/>
        <v>3.3408502774622071E-4</v>
      </c>
      <c r="E301" s="33">
        <v>42809</v>
      </c>
      <c r="F301" s="34">
        <v>29398.11</v>
      </c>
      <c r="G301" s="34">
        <f t="shared" si="9"/>
        <v>-1.5132375458052725E-3</v>
      </c>
    </row>
    <row r="302" spans="1:7" x14ac:dyDescent="0.3">
      <c r="A302" s="33">
        <v>42810</v>
      </c>
      <c r="B302" s="34">
        <v>600</v>
      </c>
      <c r="C302" s="34">
        <f t="shared" si="8"/>
        <v>2.0855064910213611E-3</v>
      </c>
      <c r="E302" s="33">
        <v>42810</v>
      </c>
      <c r="F302" s="34">
        <v>29585.85</v>
      </c>
      <c r="G302" s="34">
        <f t="shared" si="9"/>
        <v>6.3658199277324256E-3</v>
      </c>
    </row>
    <row r="303" spans="1:7" x14ac:dyDescent="0.3">
      <c r="A303" s="33">
        <v>42811</v>
      </c>
      <c r="B303" s="34">
        <v>596.04999999999995</v>
      </c>
      <c r="C303" s="34">
        <f t="shared" si="8"/>
        <v>-6.6050990521358292E-3</v>
      </c>
      <c r="E303" s="33">
        <v>42811</v>
      </c>
      <c r="F303" s="34">
        <v>29648.99</v>
      </c>
      <c r="G303" s="34">
        <f t="shared" si="9"/>
        <v>2.1318542909287098E-3</v>
      </c>
    </row>
    <row r="304" spans="1:7" x14ac:dyDescent="0.3">
      <c r="A304" s="33">
        <v>42814</v>
      </c>
      <c r="B304" s="34">
        <v>596.54999999999995</v>
      </c>
      <c r="C304" s="34">
        <f t="shared" si="8"/>
        <v>8.3850415779863593E-4</v>
      </c>
      <c r="E304" s="33">
        <v>42814</v>
      </c>
      <c r="F304" s="34">
        <v>29518.74</v>
      </c>
      <c r="G304" s="34">
        <f t="shared" si="9"/>
        <v>-4.4027448880957004E-3</v>
      </c>
    </row>
    <row r="305" spans="1:7" x14ac:dyDescent="0.3">
      <c r="A305" s="33">
        <v>42815</v>
      </c>
      <c r="B305" s="34">
        <v>591.45000000000005</v>
      </c>
      <c r="C305" s="34">
        <f t="shared" si="8"/>
        <v>-8.5859113300632926E-3</v>
      </c>
      <c r="E305" s="33">
        <v>42815</v>
      </c>
      <c r="F305" s="34">
        <v>29485.45</v>
      </c>
      <c r="G305" s="34">
        <f t="shared" si="9"/>
        <v>-1.128394560870237E-3</v>
      </c>
    </row>
    <row r="306" spans="1:7" x14ac:dyDescent="0.3">
      <c r="A306" s="33">
        <v>42816</v>
      </c>
      <c r="B306" s="34">
        <v>594.5</v>
      </c>
      <c r="C306" s="34">
        <f t="shared" si="8"/>
        <v>5.1435671390906504E-3</v>
      </c>
      <c r="E306" s="33">
        <v>42816</v>
      </c>
      <c r="F306" s="34">
        <v>29167.68</v>
      </c>
      <c r="G306" s="34">
        <f t="shared" si="9"/>
        <v>-1.0835674384547467E-2</v>
      </c>
    </row>
    <row r="307" spans="1:7" x14ac:dyDescent="0.3">
      <c r="A307" s="33">
        <v>42817</v>
      </c>
      <c r="B307" s="34">
        <v>596.54999999999995</v>
      </c>
      <c r="C307" s="34">
        <f t="shared" si="8"/>
        <v>3.4423441909726986E-3</v>
      </c>
      <c r="E307" s="33">
        <v>42817</v>
      </c>
      <c r="F307" s="34">
        <v>29332.16</v>
      </c>
      <c r="G307" s="34">
        <f t="shared" si="9"/>
        <v>5.6232780609926031E-3</v>
      </c>
    </row>
    <row r="308" spans="1:7" x14ac:dyDescent="0.3">
      <c r="A308" s="33">
        <v>42818</v>
      </c>
      <c r="B308" s="34">
        <v>593.25</v>
      </c>
      <c r="C308" s="34">
        <f t="shared" si="8"/>
        <v>-5.5471650059362573E-3</v>
      </c>
      <c r="E308" s="33">
        <v>42818</v>
      </c>
      <c r="F308" s="34">
        <v>29421.4</v>
      </c>
      <c r="G308" s="34">
        <f t="shared" si="9"/>
        <v>3.0377757067369892E-3</v>
      </c>
    </row>
    <row r="309" spans="1:7" x14ac:dyDescent="0.3">
      <c r="A309" s="33">
        <v>42821</v>
      </c>
      <c r="B309" s="34">
        <v>592</v>
      </c>
      <c r="C309" s="34">
        <f t="shared" si="8"/>
        <v>-2.1092604318673097E-3</v>
      </c>
      <c r="E309" s="33">
        <v>42821</v>
      </c>
      <c r="F309" s="34">
        <v>29237.15</v>
      </c>
      <c r="G309" s="34">
        <f t="shared" si="9"/>
        <v>-6.2821398059138851E-3</v>
      </c>
    </row>
    <row r="310" spans="1:7" x14ac:dyDescent="0.3">
      <c r="A310" s="33">
        <v>42822</v>
      </c>
      <c r="B310" s="34">
        <v>593.95000000000005</v>
      </c>
      <c r="C310" s="34">
        <f t="shared" si="8"/>
        <v>3.2885058515429739E-3</v>
      </c>
      <c r="E310" s="33">
        <v>42822</v>
      </c>
      <c r="F310" s="34">
        <v>29409.52</v>
      </c>
      <c r="G310" s="34">
        <f t="shared" si="9"/>
        <v>5.8782705425579618E-3</v>
      </c>
    </row>
    <row r="311" spans="1:7" x14ac:dyDescent="0.3">
      <c r="A311" s="33">
        <v>42823</v>
      </c>
      <c r="B311" s="34">
        <v>592.4</v>
      </c>
      <c r="C311" s="34">
        <f t="shared" si="8"/>
        <v>-2.6130583419049888E-3</v>
      </c>
      <c r="E311" s="33">
        <v>42823</v>
      </c>
      <c r="F311" s="34">
        <v>29531.43</v>
      </c>
      <c r="G311" s="34">
        <f t="shared" si="9"/>
        <v>4.1366884600792884E-3</v>
      </c>
    </row>
    <row r="312" spans="1:7" x14ac:dyDescent="0.3">
      <c r="A312" s="33">
        <v>42824</v>
      </c>
      <c r="B312" s="34">
        <v>597.65</v>
      </c>
      <c r="C312" s="34">
        <f t="shared" si="8"/>
        <v>8.8232159303462381E-3</v>
      </c>
      <c r="E312" s="33">
        <v>42824</v>
      </c>
      <c r="F312" s="34">
        <v>29647.42</v>
      </c>
      <c r="G312" s="34">
        <f t="shared" si="9"/>
        <v>3.9199865670929458E-3</v>
      </c>
    </row>
    <row r="313" spans="1:7" x14ac:dyDescent="0.3">
      <c r="A313" s="33">
        <v>42825</v>
      </c>
      <c r="B313" s="34">
        <v>592.29999999999995</v>
      </c>
      <c r="C313" s="34">
        <f t="shared" si="8"/>
        <v>-8.9920350410705452E-3</v>
      </c>
      <c r="E313" s="33">
        <v>42825</v>
      </c>
      <c r="F313" s="34">
        <v>29620.5</v>
      </c>
      <c r="G313" s="34">
        <f t="shared" si="9"/>
        <v>-9.0841729729150707E-4</v>
      </c>
    </row>
    <row r="314" spans="1:7" x14ac:dyDescent="0.3">
      <c r="A314" s="33">
        <v>42828</v>
      </c>
      <c r="B314" s="34">
        <v>591.75</v>
      </c>
      <c r="C314" s="34">
        <f t="shared" si="8"/>
        <v>-9.2901488882613393E-4</v>
      </c>
      <c r="E314" s="33">
        <v>42828</v>
      </c>
      <c r="F314" s="34">
        <v>29910.22</v>
      </c>
      <c r="G314" s="34">
        <f t="shared" si="9"/>
        <v>9.733538831000893E-3</v>
      </c>
    </row>
    <row r="315" spans="1:7" x14ac:dyDescent="0.3">
      <c r="A315" s="33">
        <v>42830</v>
      </c>
      <c r="B315" s="34">
        <v>592.65</v>
      </c>
      <c r="C315" s="34">
        <f t="shared" si="8"/>
        <v>1.5197571314159958E-3</v>
      </c>
      <c r="E315" s="33">
        <v>42830</v>
      </c>
      <c r="F315" s="34">
        <v>29974.240000000002</v>
      </c>
      <c r="G315" s="34">
        <f t="shared" si="9"/>
        <v>2.1381181157586792E-3</v>
      </c>
    </row>
    <row r="316" spans="1:7" x14ac:dyDescent="0.3">
      <c r="A316" s="33">
        <v>42831</v>
      </c>
      <c r="B316" s="34">
        <v>588.9</v>
      </c>
      <c r="C316" s="34">
        <f t="shared" si="8"/>
        <v>-6.3476155749844021E-3</v>
      </c>
      <c r="E316" s="33">
        <v>42831</v>
      </c>
      <c r="F316" s="34">
        <v>29927.34</v>
      </c>
      <c r="G316" s="34">
        <f t="shared" si="9"/>
        <v>-1.5659022544456417E-3</v>
      </c>
    </row>
    <row r="317" spans="1:7" x14ac:dyDescent="0.3">
      <c r="A317" s="33">
        <v>42832</v>
      </c>
      <c r="B317" s="34">
        <v>588.75</v>
      </c>
      <c r="C317" s="34">
        <f t="shared" si="8"/>
        <v>-2.5474461989756893E-4</v>
      </c>
      <c r="E317" s="33">
        <v>42832</v>
      </c>
      <c r="F317" s="34">
        <v>29706.61</v>
      </c>
      <c r="G317" s="34">
        <f t="shared" si="9"/>
        <v>-7.4028639070009353E-3</v>
      </c>
    </row>
    <row r="318" spans="1:7" x14ac:dyDescent="0.3">
      <c r="A318" s="33">
        <v>42835</v>
      </c>
      <c r="B318" s="34">
        <v>588.54999999999995</v>
      </c>
      <c r="C318" s="34">
        <f t="shared" si="8"/>
        <v>-3.3976047213792943E-4</v>
      </c>
      <c r="E318" s="33">
        <v>42835</v>
      </c>
      <c r="F318" s="34">
        <v>29575.74</v>
      </c>
      <c r="G318" s="34">
        <f t="shared" si="9"/>
        <v>-4.4151492845092366E-3</v>
      </c>
    </row>
    <row r="319" spans="1:7" x14ac:dyDescent="0.3">
      <c r="A319" s="33">
        <v>42836</v>
      </c>
      <c r="B319" s="34">
        <v>578.79999999999995</v>
      </c>
      <c r="C319" s="34">
        <f t="shared" si="8"/>
        <v>-1.6704890101160816E-2</v>
      </c>
      <c r="E319" s="33">
        <v>42836</v>
      </c>
      <c r="F319" s="34">
        <v>29788.35</v>
      </c>
      <c r="G319" s="34">
        <f t="shared" si="9"/>
        <v>7.1629467930961511E-3</v>
      </c>
    </row>
    <row r="320" spans="1:7" x14ac:dyDescent="0.3">
      <c r="A320" s="33">
        <v>42837</v>
      </c>
      <c r="B320" s="34">
        <v>577.85</v>
      </c>
      <c r="C320" s="34">
        <f t="shared" si="8"/>
        <v>-1.6426753358783472E-3</v>
      </c>
      <c r="E320" s="33">
        <v>42837</v>
      </c>
      <c r="F320" s="34">
        <v>29643.48</v>
      </c>
      <c r="G320" s="34">
        <f t="shared" si="9"/>
        <v>-4.8751750343543811E-3</v>
      </c>
    </row>
    <row r="321" spans="1:7" x14ac:dyDescent="0.3">
      <c r="A321" s="33">
        <v>42838</v>
      </c>
      <c r="B321" s="34">
        <v>576.25</v>
      </c>
      <c r="C321" s="34">
        <f t="shared" si="8"/>
        <v>-2.7727251105920492E-3</v>
      </c>
      <c r="E321" s="33">
        <v>42838</v>
      </c>
      <c r="F321" s="34">
        <v>29461.45</v>
      </c>
      <c r="G321" s="34">
        <f t="shared" si="9"/>
        <v>-6.1595733392470773E-3</v>
      </c>
    </row>
    <row r="322" spans="1:7" x14ac:dyDescent="0.3">
      <c r="A322" s="33">
        <v>42842</v>
      </c>
      <c r="B322" s="34">
        <v>576.29999999999995</v>
      </c>
      <c r="C322" s="34">
        <f t="shared" si="8"/>
        <v>8.6764131762327243E-5</v>
      </c>
      <c r="E322" s="33">
        <v>42842</v>
      </c>
      <c r="F322" s="34">
        <v>29413.66</v>
      </c>
      <c r="G322" s="34">
        <f t="shared" si="9"/>
        <v>-1.6234368138273252E-3</v>
      </c>
    </row>
    <row r="323" spans="1:7" x14ac:dyDescent="0.3">
      <c r="A323" s="33">
        <v>42843</v>
      </c>
      <c r="B323" s="34">
        <v>574.70000000000005</v>
      </c>
      <c r="C323" s="34">
        <f t="shared" si="8"/>
        <v>-2.7801929289247023E-3</v>
      </c>
      <c r="E323" s="33">
        <v>42843</v>
      </c>
      <c r="F323" s="34">
        <v>29319.1</v>
      </c>
      <c r="G323" s="34">
        <f t="shared" si="9"/>
        <v>-3.2200115132870761E-3</v>
      </c>
    </row>
    <row r="324" spans="1:7" x14ac:dyDescent="0.3">
      <c r="A324" s="33">
        <v>42844</v>
      </c>
      <c r="B324" s="34">
        <v>574.95000000000005</v>
      </c>
      <c r="C324" s="34">
        <f t="shared" si="8"/>
        <v>4.3491498097798651E-4</v>
      </c>
      <c r="E324" s="33">
        <v>42844</v>
      </c>
      <c r="F324" s="34">
        <v>29336.57</v>
      </c>
      <c r="G324" s="34">
        <f t="shared" si="9"/>
        <v>5.9567985555632208E-4</v>
      </c>
    </row>
    <row r="325" spans="1:7" x14ac:dyDescent="0.3">
      <c r="A325" s="33">
        <v>42845</v>
      </c>
      <c r="B325" s="34">
        <v>573.95000000000005</v>
      </c>
      <c r="C325" s="34">
        <f t="shared" si="8"/>
        <v>-1.7407959831679755E-3</v>
      </c>
      <c r="E325" s="33">
        <v>42845</v>
      </c>
      <c r="F325" s="34">
        <v>29422.39</v>
      </c>
      <c r="G325" s="34">
        <f t="shared" si="9"/>
        <v>2.9210884952161438E-3</v>
      </c>
    </row>
    <row r="326" spans="1:7" x14ac:dyDescent="0.3">
      <c r="A326" s="33">
        <v>42846</v>
      </c>
      <c r="B326" s="34">
        <v>563.4</v>
      </c>
      <c r="C326" s="34">
        <f t="shared" si="8"/>
        <v>-1.8552429069233701E-2</v>
      </c>
      <c r="E326" s="33">
        <v>42846</v>
      </c>
      <c r="F326" s="34">
        <v>29365.3</v>
      </c>
      <c r="G326" s="34">
        <f t="shared" si="9"/>
        <v>-1.9422439611684284E-3</v>
      </c>
    </row>
    <row r="327" spans="1:7" x14ac:dyDescent="0.3">
      <c r="A327" s="33">
        <v>42849</v>
      </c>
      <c r="B327" s="34">
        <v>556.1</v>
      </c>
      <c r="C327" s="34">
        <f t="shared" ref="C327:C390" si="10">LN(B327/B326)</f>
        <v>-1.3041721248753803E-2</v>
      </c>
      <c r="E327" s="33">
        <v>42849</v>
      </c>
      <c r="F327" s="34">
        <v>29655.84</v>
      </c>
      <c r="G327" s="34">
        <f t="shared" ref="G327:G390" si="11">LN(F327/F326)</f>
        <v>9.8453654694785116E-3</v>
      </c>
    </row>
    <row r="328" spans="1:7" x14ac:dyDescent="0.3">
      <c r="A328" s="33">
        <v>42850</v>
      </c>
      <c r="B328" s="34">
        <v>552.85</v>
      </c>
      <c r="C328" s="34">
        <f t="shared" si="10"/>
        <v>-5.8614172051074803E-3</v>
      </c>
      <c r="E328" s="33">
        <v>42850</v>
      </c>
      <c r="F328" s="34">
        <v>29943.24</v>
      </c>
      <c r="G328" s="34">
        <f t="shared" si="11"/>
        <v>9.6445189337687285E-3</v>
      </c>
    </row>
    <row r="329" spans="1:7" x14ac:dyDescent="0.3">
      <c r="A329" s="33">
        <v>42851</v>
      </c>
      <c r="B329" s="34">
        <v>555.1</v>
      </c>
      <c r="C329" s="34">
        <f t="shared" si="10"/>
        <v>4.0615607077048406E-3</v>
      </c>
      <c r="E329" s="33">
        <v>42851</v>
      </c>
      <c r="F329" s="34">
        <v>30133.35</v>
      </c>
      <c r="G329" s="34">
        <f t="shared" si="11"/>
        <v>6.3289422578409445E-3</v>
      </c>
    </row>
    <row r="330" spans="1:7" x14ac:dyDescent="0.3">
      <c r="A330" s="33">
        <v>42852</v>
      </c>
      <c r="B330" s="34">
        <v>560.9</v>
      </c>
      <c r="C330" s="34">
        <f t="shared" si="10"/>
        <v>1.0394358818175603E-2</v>
      </c>
      <c r="E330" s="33">
        <v>42852</v>
      </c>
      <c r="F330" s="34">
        <v>30029.74</v>
      </c>
      <c r="G330" s="34">
        <f t="shared" si="11"/>
        <v>-3.4443078781130738E-3</v>
      </c>
    </row>
    <row r="331" spans="1:7" x14ac:dyDescent="0.3">
      <c r="A331" s="33">
        <v>42853</v>
      </c>
      <c r="B331" s="34">
        <v>556.79999999999995</v>
      </c>
      <c r="C331" s="34">
        <f t="shared" si="10"/>
        <v>-7.3365274940813989E-3</v>
      </c>
      <c r="E331" s="33">
        <v>42853</v>
      </c>
      <c r="F331" s="34">
        <v>29918.400000000001</v>
      </c>
      <c r="G331" s="34">
        <f t="shared" si="11"/>
        <v>-3.7145482085413116E-3</v>
      </c>
    </row>
    <row r="332" spans="1:7" x14ac:dyDescent="0.3">
      <c r="A332" s="33">
        <v>42857</v>
      </c>
      <c r="B332" s="34">
        <v>554.5</v>
      </c>
      <c r="C332" s="34">
        <f t="shared" si="10"/>
        <v>-4.139302229788068E-3</v>
      </c>
      <c r="E332" s="33">
        <v>42857</v>
      </c>
      <c r="F332" s="34">
        <v>29921.18</v>
      </c>
      <c r="G332" s="34">
        <f t="shared" si="11"/>
        <v>9.291509071407979E-5</v>
      </c>
    </row>
    <row r="333" spans="1:7" x14ac:dyDescent="0.3">
      <c r="A333" s="33">
        <v>42858</v>
      </c>
      <c r="B333" s="34">
        <v>554.29999999999995</v>
      </c>
      <c r="C333" s="34">
        <f t="shared" si="10"/>
        <v>-3.6075036466278696E-4</v>
      </c>
      <c r="E333" s="33">
        <v>42858</v>
      </c>
      <c r="F333" s="34">
        <v>29894.799999999999</v>
      </c>
      <c r="G333" s="34">
        <f t="shared" si="11"/>
        <v>-8.8203860273750371E-4</v>
      </c>
    </row>
    <row r="334" spans="1:7" x14ac:dyDescent="0.3">
      <c r="A334" s="33">
        <v>42859</v>
      </c>
      <c r="B334" s="34">
        <v>549.65</v>
      </c>
      <c r="C334" s="34">
        <f t="shared" si="10"/>
        <v>-8.4243444008861787E-3</v>
      </c>
      <c r="E334" s="33">
        <v>42859</v>
      </c>
      <c r="F334" s="34">
        <v>30126.21</v>
      </c>
      <c r="G334" s="34">
        <f t="shared" si="11"/>
        <v>7.7110047507561261E-3</v>
      </c>
    </row>
    <row r="335" spans="1:7" x14ac:dyDescent="0.3">
      <c r="A335" s="33">
        <v>42860</v>
      </c>
      <c r="B335" s="34">
        <v>548.6</v>
      </c>
      <c r="C335" s="34">
        <f t="shared" si="10"/>
        <v>-1.9121335213698916E-3</v>
      </c>
      <c r="E335" s="33">
        <v>42860</v>
      </c>
      <c r="F335" s="34">
        <v>29858.799999999999</v>
      </c>
      <c r="G335" s="34">
        <f t="shared" si="11"/>
        <v>-8.9159532176502337E-3</v>
      </c>
    </row>
    <row r="336" spans="1:7" x14ac:dyDescent="0.3">
      <c r="A336" s="33">
        <v>42863</v>
      </c>
      <c r="B336" s="34">
        <v>550.65</v>
      </c>
      <c r="C336" s="34">
        <f t="shared" si="10"/>
        <v>3.7298201074500042E-3</v>
      </c>
      <c r="E336" s="33">
        <v>42863</v>
      </c>
      <c r="F336" s="34">
        <v>29926.15</v>
      </c>
      <c r="G336" s="34">
        <f t="shared" si="11"/>
        <v>2.2530763508553167E-3</v>
      </c>
    </row>
    <row r="337" spans="1:7" x14ac:dyDescent="0.3">
      <c r="A337" s="33">
        <v>42864</v>
      </c>
      <c r="B337" s="34">
        <v>551.54999999999995</v>
      </c>
      <c r="C337" s="34">
        <f t="shared" si="10"/>
        <v>1.6330978044376248E-3</v>
      </c>
      <c r="E337" s="33">
        <v>42864</v>
      </c>
      <c r="F337" s="34">
        <v>29933.25</v>
      </c>
      <c r="G337" s="34">
        <f t="shared" si="11"/>
        <v>2.3722255930715131E-4</v>
      </c>
    </row>
    <row r="338" spans="1:7" x14ac:dyDescent="0.3">
      <c r="A338" s="33">
        <v>42865</v>
      </c>
      <c r="B338" s="34">
        <v>559.75</v>
      </c>
      <c r="C338" s="34">
        <f t="shared" si="10"/>
        <v>1.4757759063473647E-2</v>
      </c>
      <c r="E338" s="33">
        <v>42865</v>
      </c>
      <c r="F338" s="34">
        <v>30248.17</v>
      </c>
      <c r="G338" s="34">
        <f t="shared" si="11"/>
        <v>1.046578410732917E-2</v>
      </c>
    </row>
    <row r="339" spans="1:7" x14ac:dyDescent="0.3">
      <c r="A339" s="33">
        <v>42866</v>
      </c>
      <c r="B339" s="34">
        <v>561</v>
      </c>
      <c r="C339" s="34">
        <f t="shared" si="10"/>
        <v>2.230650043832166E-3</v>
      </c>
      <c r="E339" s="33">
        <v>42866</v>
      </c>
      <c r="F339" s="34">
        <v>30250.98</v>
      </c>
      <c r="G339" s="34">
        <f t="shared" si="11"/>
        <v>9.2893867170810331E-5</v>
      </c>
    </row>
    <row r="340" spans="1:7" x14ac:dyDescent="0.3">
      <c r="A340" s="33">
        <v>42867</v>
      </c>
      <c r="B340" s="34">
        <v>566.6</v>
      </c>
      <c r="C340" s="34">
        <f t="shared" si="10"/>
        <v>9.9326818737198869E-3</v>
      </c>
      <c r="E340" s="33">
        <v>42867</v>
      </c>
      <c r="F340" s="34">
        <v>30188.15</v>
      </c>
      <c r="G340" s="34">
        <f t="shared" si="11"/>
        <v>-2.0791173742271082E-3</v>
      </c>
    </row>
    <row r="341" spans="1:7" x14ac:dyDescent="0.3">
      <c r="A341" s="33">
        <v>42870</v>
      </c>
      <c r="B341" s="34">
        <v>566.25</v>
      </c>
      <c r="C341" s="34">
        <f t="shared" si="10"/>
        <v>-6.1791059917244663E-4</v>
      </c>
      <c r="E341" s="33">
        <v>42870</v>
      </c>
      <c r="F341" s="34">
        <v>30322.12</v>
      </c>
      <c r="G341" s="34">
        <f t="shared" si="11"/>
        <v>4.4280159020729975E-3</v>
      </c>
    </row>
    <row r="342" spans="1:7" x14ac:dyDescent="0.3">
      <c r="A342" s="33">
        <v>42871</v>
      </c>
      <c r="B342" s="34">
        <v>564.4</v>
      </c>
      <c r="C342" s="34">
        <f t="shared" si="10"/>
        <v>-3.2724568185848453E-3</v>
      </c>
      <c r="E342" s="33">
        <v>42871</v>
      </c>
      <c r="F342" s="34">
        <v>30582.6</v>
      </c>
      <c r="G342" s="34">
        <f t="shared" si="11"/>
        <v>8.5537406033036317E-3</v>
      </c>
    </row>
    <row r="343" spans="1:7" x14ac:dyDescent="0.3">
      <c r="A343" s="33">
        <v>42872</v>
      </c>
      <c r="B343" s="34">
        <v>559.1</v>
      </c>
      <c r="C343" s="34">
        <f t="shared" si="10"/>
        <v>-9.4348719460592197E-3</v>
      </c>
      <c r="E343" s="33">
        <v>42872</v>
      </c>
      <c r="F343" s="34">
        <v>30658.77</v>
      </c>
      <c r="G343" s="34">
        <f t="shared" si="11"/>
        <v>2.4875354446599598E-3</v>
      </c>
    </row>
    <row r="344" spans="1:7" x14ac:dyDescent="0.3">
      <c r="A344" s="33">
        <v>42873</v>
      </c>
      <c r="B344" s="34">
        <v>558.65</v>
      </c>
      <c r="C344" s="34">
        <f t="shared" si="10"/>
        <v>-8.0518903925277279E-4</v>
      </c>
      <c r="E344" s="33">
        <v>42873</v>
      </c>
      <c r="F344" s="34">
        <v>30434.79</v>
      </c>
      <c r="G344" s="34">
        <f t="shared" si="11"/>
        <v>-7.3323932507448905E-3</v>
      </c>
    </row>
    <row r="345" spans="1:7" x14ac:dyDescent="0.3">
      <c r="A345" s="33">
        <v>42874</v>
      </c>
      <c r="B345" s="34">
        <v>563.45000000000005</v>
      </c>
      <c r="C345" s="34">
        <f t="shared" si="10"/>
        <v>8.5554394050115917E-3</v>
      </c>
      <c r="E345" s="33">
        <v>42874</v>
      </c>
      <c r="F345" s="34">
        <v>30464.92</v>
      </c>
      <c r="G345" s="34">
        <f t="shared" si="11"/>
        <v>9.8949576142023476E-4</v>
      </c>
    </row>
    <row r="346" spans="1:7" x14ac:dyDescent="0.3">
      <c r="A346" s="33">
        <v>42877</v>
      </c>
      <c r="B346" s="34">
        <v>560.54999999999995</v>
      </c>
      <c r="C346" s="34">
        <f t="shared" si="10"/>
        <v>-5.160153798755918E-3</v>
      </c>
      <c r="E346" s="33">
        <v>42877</v>
      </c>
      <c r="F346" s="34">
        <v>30570.97</v>
      </c>
      <c r="G346" s="34">
        <f t="shared" si="11"/>
        <v>3.4750081212484591E-3</v>
      </c>
    </row>
    <row r="347" spans="1:7" x14ac:dyDescent="0.3">
      <c r="A347" s="33">
        <v>42878</v>
      </c>
      <c r="B347" s="34">
        <v>533.15</v>
      </c>
      <c r="C347" s="34">
        <f t="shared" si="10"/>
        <v>-5.0115634135414026E-2</v>
      </c>
      <c r="E347" s="33">
        <v>42878</v>
      </c>
      <c r="F347" s="34">
        <v>30365.25</v>
      </c>
      <c r="G347" s="34">
        <f t="shared" si="11"/>
        <v>-6.7520033752094836E-3</v>
      </c>
    </row>
    <row r="348" spans="1:7" x14ac:dyDescent="0.3">
      <c r="A348" s="33">
        <v>42879</v>
      </c>
      <c r="B348" s="34">
        <v>520.35</v>
      </c>
      <c r="C348" s="34">
        <f t="shared" si="10"/>
        <v>-2.43011483803201E-2</v>
      </c>
      <c r="E348" s="33">
        <v>42879</v>
      </c>
      <c r="F348" s="34">
        <v>30301.64</v>
      </c>
      <c r="G348" s="34">
        <f t="shared" si="11"/>
        <v>-2.0970260156902357E-3</v>
      </c>
    </row>
    <row r="349" spans="1:7" x14ac:dyDescent="0.3">
      <c r="A349" s="33">
        <v>42880</v>
      </c>
      <c r="B349" s="34">
        <v>504.1</v>
      </c>
      <c r="C349" s="34">
        <f t="shared" si="10"/>
        <v>-3.1727000995283236E-2</v>
      </c>
      <c r="E349" s="33">
        <v>42880</v>
      </c>
      <c r="F349" s="34">
        <v>30750.03</v>
      </c>
      <c r="G349" s="34">
        <f t="shared" si="11"/>
        <v>1.468913339866953E-2</v>
      </c>
    </row>
    <row r="350" spans="1:7" x14ac:dyDescent="0.3">
      <c r="A350" s="33">
        <v>42881</v>
      </c>
      <c r="B350" s="34">
        <v>491.6</v>
      </c>
      <c r="C350" s="34">
        <f t="shared" si="10"/>
        <v>-2.5109283396705356E-2</v>
      </c>
      <c r="E350" s="33">
        <v>42881</v>
      </c>
      <c r="F350" s="34">
        <v>31028.21</v>
      </c>
      <c r="G350" s="34">
        <f t="shared" si="11"/>
        <v>9.0058208243581073E-3</v>
      </c>
    </row>
    <row r="351" spans="1:7" x14ac:dyDescent="0.3">
      <c r="A351" s="33">
        <v>42884</v>
      </c>
      <c r="B351" s="34">
        <v>504.15</v>
      </c>
      <c r="C351" s="34">
        <f t="shared" si="10"/>
        <v>2.5208465147344511E-2</v>
      </c>
      <c r="E351" s="33">
        <v>42884</v>
      </c>
      <c r="F351" s="34">
        <v>31109.279999999999</v>
      </c>
      <c r="G351" s="34">
        <f t="shared" si="11"/>
        <v>2.6093762718582113E-3</v>
      </c>
    </row>
    <row r="352" spans="1:7" x14ac:dyDescent="0.3">
      <c r="A352" s="33">
        <v>42885</v>
      </c>
      <c r="B352" s="34">
        <v>511.1</v>
      </c>
      <c r="C352" s="34">
        <f t="shared" si="10"/>
        <v>1.3691422935009622E-2</v>
      </c>
      <c r="E352" s="33">
        <v>42885</v>
      </c>
      <c r="F352" s="34">
        <v>31159.4</v>
      </c>
      <c r="G352" s="34">
        <f t="shared" si="11"/>
        <v>1.6097984034230046E-3</v>
      </c>
    </row>
    <row r="353" spans="1:7" x14ac:dyDescent="0.3">
      <c r="A353" s="33">
        <v>42886</v>
      </c>
      <c r="B353" s="34">
        <v>514.6</v>
      </c>
      <c r="C353" s="34">
        <f t="shared" si="10"/>
        <v>6.82463407340994E-3</v>
      </c>
      <c r="E353" s="33">
        <v>42886</v>
      </c>
      <c r="F353" s="34">
        <v>31145.8</v>
      </c>
      <c r="G353" s="34">
        <f t="shared" si="11"/>
        <v>-4.3656067923697744E-4</v>
      </c>
    </row>
    <row r="354" spans="1:7" x14ac:dyDescent="0.3">
      <c r="A354" s="33">
        <v>42887</v>
      </c>
      <c r="B354" s="34">
        <v>515.1</v>
      </c>
      <c r="C354" s="34">
        <f t="shared" si="10"/>
        <v>9.7115672389564128E-4</v>
      </c>
      <c r="E354" s="33">
        <v>42887</v>
      </c>
      <c r="F354" s="34">
        <v>31137.59</v>
      </c>
      <c r="G354" s="34">
        <f t="shared" si="11"/>
        <v>-2.636336926282006E-4</v>
      </c>
    </row>
    <row r="355" spans="1:7" x14ac:dyDescent="0.3">
      <c r="A355" s="33">
        <v>42888</v>
      </c>
      <c r="B355" s="34">
        <v>528.65</v>
      </c>
      <c r="C355" s="34">
        <f t="shared" si="10"/>
        <v>2.5965530606995826E-2</v>
      </c>
      <c r="E355" s="33">
        <v>42888</v>
      </c>
      <c r="F355" s="34">
        <v>31273.29</v>
      </c>
      <c r="G355" s="34">
        <f t="shared" si="11"/>
        <v>4.3486076095996364E-3</v>
      </c>
    </row>
    <row r="356" spans="1:7" x14ac:dyDescent="0.3">
      <c r="A356" s="33">
        <v>42891</v>
      </c>
      <c r="B356" s="34">
        <v>533.9</v>
      </c>
      <c r="C356" s="34">
        <f t="shared" si="10"/>
        <v>9.8819683276051163E-3</v>
      </c>
      <c r="E356" s="33">
        <v>42891</v>
      </c>
      <c r="F356" s="34">
        <v>31309.49</v>
      </c>
      <c r="G356" s="34">
        <f t="shared" si="11"/>
        <v>1.1568678808239856E-3</v>
      </c>
    </row>
    <row r="357" spans="1:7" x14ac:dyDescent="0.3">
      <c r="A357" s="33">
        <v>42892</v>
      </c>
      <c r="B357" s="34">
        <v>533.6</v>
      </c>
      <c r="C357" s="34">
        <f t="shared" si="10"/>
        <v>-5.6206090472646602E-4</v>
      </c>
      <c r="E357" s="33">
        <v>42892</v>
      </c>
      <c r="F357" s="34">
        <v>31190.560000000001</v>
      </c>
      <c r="G357" s="34">
        <f t="shared" si="11"/>
        <v>-3.8057615488852128E-3</v>
      </c>
    </row>
    <row r="358" spans="1:7" x14ac:dyDescent="0.3">
      <c r="A358" s="33">
        <v>42893</v>
      </c>
      <c r="B358" s="34">
        <v>539.4</v>
      </c>
      <c r="C358" s="34">
        <f t="shared" si="10"/>
        <v>1.0810916104215456E-2</v>
      </c>
      <c r="E358" s="33">
        <v>42893</v>
      </c>
      <c r="F358" s="34">
        <v>31271.279999999999</v>
      </c>
      <c r="G358" s="34">
        <f t="shared" si="11"/>
        <v>2.5846195032314203E-3</v>
      </c>
    </row>
    <row r="359" spans="1:7" x14ac:dyDescent="0.3">
      <c r="A359" s="33">
        <v>42894</v>
      </c>
      <c r="B359" s="34">
        <v>548.95000000000005</v>
      </c>
      <c r="C359" s="34">
        <f t="shared" si="10"/>
        <v>1.7549951975111864E-2</v>
      </c>
      <c r="E359" s="33">
        <v>42894</v>
      </c>
      <c r="F359" s="34">
        <v>31213.360000000001</v>
      </c>
      <c r="G359" s="34">
        <f t="shared" si="11"/>
        <v>-1.853896144361801E-3</v>
      </c>
    </row>
    <row r="360" spans="1:7" x14ac:dyDescent="0.3">
      <c r="A360" s="33">
        <v>42895</v>
      </c>
      <c r="B360" s="34">
        <v>550</v>
      </c>
      <c r="C360" s="34">
        <f t="shared" si="10"/>
        <v>1.9109155457751222E-3</v>
      </c>
      <c r="E360" s="33">
        <v>42895</v>
      </c>
      <c r="F360" s="34">
        <v>31262.06</v>
      </c>
      <c r="G360" s="34">
        <f t="shared" si="11"/>
        <v>1.559013444451424E-3</v>
      </c>
    </row>
    <row r="361" spans="1:7" x14ac:dyDescent="0.3">
      <c r="A361" s="33">
        <v>42898</v>
      </c>
      <c r="B361" s="34">
        <v>552.25</v>
      </c>
      <c r="C361" s="34">
        <f t="shared" si="10"/>
        <v>4.0825640737100063E-3</v>
      </c>
      <c r="E361" s="33">
        <v>42898</v>
      </c>
      <c r="F361" s="34">
        <v>31095.7</v>
      </c>
      <c r="G361" s="34">
        <f t="shared" si="11"/>
        <v>-5.3356757741488481E-3</v>
      </c>
    </row>
    <row r="362" spans="1:7" x14ac:dyDescent="0.3">
      <c r="A362" s="33">
        <v>42899</v>
      </c>
      <c r="B362" s="34">
        <v>550.54999999999995</v>
      </c>
      <c r="C362" s="34">
        <f t="shared" si="10"/>
        <v>-3.0830637406265042E-3</v>
      </c>
      <c r="E362" s="33">
        <v>42899</v>
      </c>
      <c r="F362" s="34">
        <v>31103.49</v>
      </c>
      <c r="G362" s="34">
        <f t="shared" si="11"/>
        <v>2.5048557837264378E-4</v>
      </c>
    </row>
    <row r="363" spans="1:7" x14ac:dyDescent="0.3">
      <c r="A363" s="33">
        <v>42900</v>
      </c>
      <c r="B363" s="34">
        <v>539.75</v>
      </c>
      <c r="C363" s="34">
        <f t="shared" si="10"/>
        <v>-1.9811709164683361E-2</v>
      </c>
      <c r="E363" s="33">
        <v>42900</v>
      </c>
      <c r="F363" s="34">
        <v>31155.91</v>
      </c>
      <c r="G363" s="34">
        <f t="shared" si="11"/>
        <v>1.6839228256882301E-3</v>
      </c>
    </row>
    <row r="364" spans="1:7" x14ac:dyDescent="0.3">
      <c r="A364" s="33">
        <v>42901</v>
      </c>
      <c r="B364" s="34">
        <v>549.15</v>
      </c>
      <c r="C364" s="34">
        <f t="shared" si="10"/>
        <v>1.7265558839438224E-2</v>
      </c>
      <c r="E364" s="33">
        <v>42901</v>
      </c>
      <c r="F364" s="34">
        <v>31075.73</v>
      </c>
      <c r="G364" s="34">
        <f t="shared" si="11"/>
        <v>-2.576825690805043E-3</v>
      </c>
    </row>
    <row r="365" spans="1:7" x14ac:dyDescent="0.3">
      <c r="A365" s="33">
        <v>42902</v>
      </c>
      <c r="B365" s="34">
        <v>537.04999999999995</v>
      </c>
      <c r="C365" s="34">
        <f t="shared" si="10"/>
        <v>-2.2280428190298969E-2</v>
      </c>
      <c r="E365" s="33">
        <v>42902</v>
      </c>
      <c r="F365" s="34">
        <v>31056.400000000001</v>
      </c>
      <c r="G365" s="34">
        <f t="shared" si="11"/>
        <v>-6.2222237105502651E-4</v>
      </c>
    </row>
    <row r="366" spans="1:7" x14ac:dyDescent="0.3">
      <c r="A366" s="33">
        <v>42905</v>
      </c>
      <c r="B366" s="34">
        <v>539.15</v>
      </c>
      <c r="C366" s="34">
        <f t="shared" si="10"/>
        <v>3.9026252840254588E-3</v>
      </c>
      <c r="E366" s="33">
        <v>42905</v>
      </c>
      <c r="F366" s="34">
        <v>31311.57</v>
      </c>
      <c r="G366" s="34">
        <f t="shared" si="11"/>
        <v>8.1827715027169255E-3</v>
      </c>
    </row>
    <row r="367" spans="1:7" x14ac:dyDescent="0.3">
      <c r="A367" s="33">
        <v>42906</v>
      </c>
      <c r="B367" s="34">
        <v>546.20000000000005</v>
      </c>
      <c r="C367" s="34">
        <f t="shared" si="10"/>
        <v>1.299138371152344E-2</v>
      </c>
      <c r="E367" s="33">
        <v>42906</v>
      </c>
      <c r="F367" s="34">
        <v>31297.53</v>
      </c>
      <c r="G367" s="34">
        <f t="shared" si="11"/>
        <v>-4.4849711097413056E-4</v>
      </c>
    </row>
    <row r="368" spans="1:7" x14ac:dyDescent="0.3">
      <c r="A368" s="33">
        <v>42907</v>
      </c>
      <c r="B368" s="34">
        <v>540.85</v>
      </c>
      <c r="C368" s="34">
        <f t="shared" si="10"/>
        <v>-9.8432329633061123E-3</v>
      </c>
      <c r="E368" s="33">
        <v>42907</v>
      </c>
      <c r="F368" s="34">
        <v>31283.64</v>
      </c>
      <c r="G368" s="34">
        <f t="shared" si="11"/>
        <v>-4.4390350094403424E-4</v>
      </c>
    </row>
    <row r="369" spans="1:7" x14ac:dyDescent="0.3">
      <c r="A369" s="33">
        <v>42908</v>
      </c>
      <c r="B369" s="34">
        <v>538.9</v>
      </c>
      <c r="C369" s="34">
        <f t="shared" si="10"/>
        <v>-3.6119511368476746E-3</v>
      </c>
      <c r="E369" s="33">
        <v>42908</v>
      </c>
      <c r="F369" s="34">
        <v>31290.74</v>
      </c>
      <c r="G369" s="34">
        <f t="shared" si="11"/>
        <v>2.2692993619667851E-4</v>
      </c>
    </row>
    <row r="370" spans="1:7" x14ac:dyDescent="0.3">
      <c r="A370" s="33">
        <v>42909</v>
      </c>
      <c r="B370" s="34">
        <v>540.85</v>
      </c>
      <c r="C370" s="34">
        <f t="shared" si="10"/>
        <v>3.6119511368476985E-3</v>
      </c>
      <c r="E370" s="33">
        <v>42909</v>
      </c>
      <c r="F370" s="34">
        <v>31138.21</v>
      </c>
      <c r="G370" s="34">
        <f t="shared" si="11"/>
        <v>-4.8865247136378812E-3</v>
      </c>
    </row>
    <row r="371" spans="1:7" x14ac:dyDescent="0.3">
      <c r="A371" s="33">
        <v>42913</v>
      </c>
      <c r="B371" s="34">
        <v>534.35</v>
      </c>
      <c r="C371" s="34">
        <f t="shared" si="10"/>
        <v>-1.2090921105392815E-2</v>
      </c>
      <c r="E371" s="33">
        <v>42913</v>
      </c>
      <c r="F371" s="34">
        <v>30958.25</v>
      </c>
      <c r="G371" s="34">
        <f t="shared" si="11"/>
        <v>-5.7961598396998803E-3</v>
      </c>
    </row>
    <row r="372" spans="1:7" x14ac:dyDescent="0.3">
      <c r="A372" s="33">
        <v>42914</v>
      </c>
      <c r="B372" s="34">
        <v>537.04999999999995</v>
      </c>
      <c r="C372" s="34">
        <f t="shared" si="10"/>
        <v>5.0401450731500669E-3</v>
      </c>
      <c r="E372" s="33">
        <v>42914</v>
      </c>
      <c r="F372" s="34">
        <v>30834.32</v>
      </c>
      <c r="G372" s="34">
        <f t="shared" si="11"/>
        <v>-4.0111672378695456E-3</v>
      </c>
    </row>
    <row r="373" spans="1:7" x14ac:dyDescent="0.3">
      <c r="A373" s="33">
        <v>42915</v>
      </c>
      <c r="B373" s="34">
        <v>544.75</v>
      </c>
      <c r="C373" s="34">
        <f t="shared" si="10"/>
        <v>1.4235773780673269E-2</v>
      </c>
      <c r="E373" s="33">
        <v>42915</v>
      </c>
      <c r="F373" s="34">
        <v>30857.52</v>
      </c>
      <c r="G373" s="34">
        <f t="shared" si="11"/>
        <v>7.5212543810253263E-4</v>
      </c>
    </row>
    <row r="374" spans="1:7" x14ac:dyDescent="0.3">
      <c r="A374" s="33">
        <v>42916</v>
      </c>
      <c r="B374" s="34">
        <v>554.35</v>
      </c>
      <c r="C374" s="34">
        <f t="shared" si="10"/>
        <v>1.7469282393631436E-2</v>
      </c>
      <c r="E374" s="33">
        <v>42916</v>
      </c>
      <c r="F374" s="34">
        <v>30921.61</v>
      </c>
      <c r="G374" s="34">
        <f t="shared" si="11"/>
        <v>2.0748114449472541E-3</v>
      </c>
    </row>
    <row r="375" spans="1:7" x14ac:dyDescent="0.3">
      <c r="A375" s="33">
        <v>42919</v>
      </c>
      <c r="B375" s="34">
        <v>551.04999999999995</v>
      </c>
      <c r="C375" s="34">
        <f t="shared" si="10"/>
        <v>-5.9707070808098445E-3</v>
      </c>
      <c r="E375" s="33">
        <v>42919</v>
      </c>
      <c r="F375" s="34">
        <v>31221.62</v>
      </c>
      <c r="G375" s="34">
        <f t="shared" si="11"/>
        <v>9.6555113339472174E-3</v>
      </c>
    </row>
    <row r="376" spans="1:7" x14ac:dyDescent="0.3">
      <c r="A376" s="33">
        <v>42920</v>
      </c>
      <c r="B376" s="34">
        <v>545.95000000000005</v>
      </c>
      <c r="C376" s="34">
        <f t="shared" si="10"/>
        <v>-9.298152677475505E-3</v>
      </c>
      <c r="E376" s="33">
        <v>42920</v>
      </c>
      <c r="F376" s="34">
        <v>31209.79</v>
      </c>
      <c r="G376" s="34">
        <f t="shared" si="11"/>
        <v>-3.7897590785104557E-4</v>
      </c>
    </row>
    <row r="377" spans="1:7" x14ac:dyDescent="0.3">
      <c r="A377" s="33">
        <v>42921</v>
      </c>
      <c r="B377" s="34">
        <v>545.70000000000005</v>
      </c>
      <c r="C377" s="34">
        <f t="shared" si="10"/>
        <v>-4.5802226788898735E-4</v>
      </c>
      <c r="E377" s="33">
        <v>42921</v>
      </c>
      <c r="F377" s="34">
        <v>31245.56</v>
      </c>
      <c r="G377" s="34">
        <f t="shared" si="11"/>
        <v>1.1454584406644112E-3</v>
      </c>
    </row>
    <row r="378" spans="1:7" x14ac:dyDescent="0.3">
      <c r="A378" s="33">
        <v>42922</v>
      </c>
      <c r="B378" s="34">
        <v>542.85</v>
      </c>
      <c r="C378" s="34">
        <f t="shared" si="10"/>
        <v>-5.236335514325118E-3</v>
      </c>
      <c r="E378" s="33">
        <v>42922</v>
      </c>
      <c r="F378" s="34">
        <v>31369.34</v>
      </c>
      <c r="G378" s="34">
        <f t="shared" si="11"/>
        <v>3.9536966837324713E-3</v>
      </c>
    </row>
    <row r="379" spans="1:7" x14ac:dyDescent="0.3">
      <c r="A379" s="33">
        <v>42923</v>
      </c>
      <c r="B379" s="34">
        <v>546.04999999999995</v>
      </c>
      <c r="C379" s="34">
        <f t="shared" si="10"/>
        <v>5.8775079658760394E-3</v>
      </c>
      <c r="E379" s="33">
        <v>42923</v>
      </c>
      <c r="F379" s="34">
        <v>31360.63</v>
      </c>
      <c r="G379" s="34">
        <f t="shared" si="11"/>
        <v>-2.7769820568927697E-4</v>
      </c>
    </row>
    <row r="380" spans="1:7" x14ac:dyDescent="0.3">
      <c r="A380" s="33">
        <v>42926</v>
      </c>
      <c r="B380" s="34">
        <v>549.45000000000005</v>
      </c>
      <c r="C380" s="34">
        <f t="shared" si="10"/>
        <v>6.2072312491957514E-3</v>
      </c>
      <c r="E380" s="33">
        <v>42926</v>
      </c>
      <c r="F380" s="34">
        <v>31715.64</v>
      </c>
      <c r="G380" s="34">
        <f t="shared" si="11"/>
        <v>1.1256650041799911E-2</v>
      </c>
    </row>
    <row r="381" spans="1:7" x14ac:dyDescent="0.3">
      <c r="A381" s="33">
        <v>42927</v>
      </c>
      <c r="B381" s="34">
        <v>538.15</v>
      </c>
      <c r="C381" s="34">
        <f t="shared" si="10"/>
        <v>-2.0780446182625902E-2</v>
      </c>
      <c r="E381" s="33">
        <v>42927</v>
      </c>
      <c r="F381" s="34">
        <v>31747.09</v>
      </c>
      <c r="G381" s="34">
        <f t="shared" si="11"/>
        <v>9.9113298701658872E-4</v>
      </c>
    </row>
    <row r="382" spans="1:7" x14ac:dyDescent="0.3">
      <c r="A382" s="33">
        <v>42928</v>
      </c>
      <c r="B382" s="34">
        <v>539.20000000000005</v>
      </c>
      <c r="C382" s="34">
        <f t="shared" si="10"/>
        <v>1.9492278877902176E-3</v>
      </c>
      <c r="E382" s="33">
        <v>42928</v>
      </c>
      <c r="F382" s="34">
        <v>31804.82</v>
      </c>
      <c r="G382" s="34">
        <f t="shared" si="11"/>
        <v>1.8167830322997158E-3</v>
      </c>
    </row>
    <row r="383" spans="1:7" x14ac:dyDescent="0.3">
      <c r="A383" s="33">
        <v>42929</v>
      </c>
      <c r="B383" s="34">
        <v>542.15</v>
      </c>
      <c r="C383" s="34">
        <f t="shared" si="10"/>
        <v>5.4561563200935317E-3</v>
      </c>
      <c r="E383" s="33">
        <v>42929</v>
      </c>
      <c r="F383" s="34">
        <v>32037.38</v>
      </c>
      <c r="G383" s="34">
        <f t="shared" si="11"/>
        <v>7.2854954453114374E-3</v>
      </c>
    </row>
    <row r="384" spans="1:7" x14ac:dyDescent="0.3">
      <c r="A384" s="33">
        <v>42930</v>
      </c>
      <c r="B384" s="34">
        <v>547.35</v>
      </c>
      <c r="C384" s="34">
        <f t="shared" si="10"/>
        <v>9.5457356323755023E-3</v>
      </c>
      <c r="E384" s="33">
        <v>42930</v>
      </c>
      <c r="F384" s="34">
        <v>32020.75</v>
      </c>
      <c r="G384" s="34">
        <f t="shared" si="11"/>
        <v>-5.1921591759240555E-4</v>
      </c>
    </row>
    <row r="385" spans="1:7" x14ac:dyDescent="0.3">
      <c r="A385" s="33">
        <v>42933</v>
      </c>
      <c r="B385" s="34">
        <v>555.9</v>
      </c>
      <c r="C385" s="34">
        <f t="shared" si="10"/>
        <v>1.5499970408857399E-2</v>
      </c>
      <c r="E385" s="33">
        <v>42933</v>
      </c>
      <c r="F385" s="34">
        <v>32074.78</v>
      </c>
      <c r="G385" s="34">
        <f t="shared" si="11"/>
        <v>1.6859213988118132E-3</v>
      </c>
    </row>
    <row r="386" spans="1:7" x14ac:dyDescent="0.3">
      <c r="A386" s="33">
        <v>42934</v>
      </c>
      <c r="B386" s="34">
        <v>559.4</v>
      </c>
      <c r="C386" s="34">
        <f t="shared" si="10"/>
        <v>6.2763588084355434E-3</v>
      </c>
      <c r="E386" s="33">
        <v>42934</v>
      </c>
      <c r="F386" s="34">
        <v>31710.99</v>
      </c>
      <c r="G386" s="34">
        <f t="shared" si="11"/>
        <v>-1.140674305567933E-2</v>
      </c>
    </row>
    <row r="387" spans="1:7" x14ac:dyDescent="0.3">
      <c r="A387" s="33">
        <v>42935</v>
      </c>
      <c r="B387" s="34">
        <v>568.15</v>
      </c>
      <c r="C387" s="34">
        <f t="shared" si="10"/>
        <v>1.5520687596158761E-2</v>
      </c>
      <c r="E387" s="33">
        <v>42935</v>
      </c>
      <c r="F387" s="34">
        <v>31955.35</v>
      </c>
      <c r="G387" s="34">
        <f t="shared" si="11"/>
        <v>7.6763074466794125E-3</v>
      </c>
    </row>
    <row r="388" spans="1:7" x14ac:dyDescent="0.3">
      <c r="A388" s="33">
        <v>42936</v>
      </c>
      <c r="B388" s="34">
        <v>571.6</v>
      </c>
      <c r="C388" s="34">
        <f t="shared" si="10"/>
        <v>6.0539776916943419E-3</v>
      </c>
      <c r="E388" s="33">
        <v>42936</v>
      </c>
      <c r="F388" s="34">
        <v>31904.400000000001</v>
      </c>
      <c r="G388" s="34">
        <f t="shared" si="11"/>
        <v>-1.5956846311104217E-3</v>
      </c>
    </row>
    <row r="389" spans="1:7" x14ac:dyDescent="0.3">
      <c r="A389" s="33">
        <v>42937</v>
      </c>
      <c r="B389" s="34">
        <v>566.1</v>
      </c>
      <c r="C389" s="34">
        <f t="shared" si="10"/>
        <v>-9.6687050130980848E-3</v>
      </c>
      <c r="E389" s="33">
        <v>42937</v>
      </c>
      <c r="F389" s="34">
        <v>32028.89</v>
      </c>
      <c r="G389" s="34">
        <f t="shared" si="11"/>
        <v>3.8943766959695612E-3</v>
      </c>
    </row>
    <row r="390" spans="1:7" x14ac:dyDescent="0.3">
      <c r="A390" s="33">
        <v>42940</v>
      </c>
      <c r="B390" s="34">
        <v>569.54999999999995</v>
      </c>
      <c r="C390" s="34">
        <f t="shared" si="10"/>
        <v>6.0758343033066467E-3</v>
      </c>
      <c r="E390" s="33">
        <v>42940</v>
      </c>
      <c r="F390" s="34">
        <v>32245.87</v>
      </c>
      <c r="G390" s="34">
        <f t="shared" si="11"/>
        <v>6.7516650159968059E-3</v>
      </c>
    </row>
    <row r="391" spans="1:7" x14ac:dyDescent="0.3">
      <c r="A391" s="33">
        <v>42941</v>
      </c>
      <c r="B391" s="34">
        <v>564.5</v>
      </c>
      <c r="C391" s="34">
        <f t="shared" ref="C391:C454" si="12">LN(B391/B390)</f>
        <v>-8.906191756204291E-3</v>
      </c>
      <c r="E391" s="33">
        <v>42941</v>
      </c>
      <c r="F391" s="34">
        <v>32228.27</v>
      </c>
      <c r="G391" s="34">
        <f t="shared" ref="G391:G454" si="13">LN(F391/F390)</f>
        <v>-5.4595533766446213E-4</v>
      </c>
    </row>
    <row r="392" spans="1:7" x14ac:dyDescent="0.3">
      <c r="A392" s="33">
        <v>42942</v>
      </c>
      <c r="B392" s="34">
        <v>574.79999999999995</v>
      </c>
      <c r="C392" s="34">
        <f t="shared" si="12"/>
        <v>1.8081770615152978E-2</v>
      </c>
      <c r="E392" s="33">
        <v>42942</v>
      </c>
      <c r="F392" s="34">
        <v>32382.46</v>
      </c>
      <c r="G392" s="34">
        <f t="shared" si="13"/>
        <v>4.7729004984572252E-3</v>
      </c>
    </row>
    <row r="393" spans="1:7" x14ac:dyDescent="0.3">
      <c r="A393" s="33">
        <v>42943</v>
      </c>
      <c r="B393" s="34">
        <v>570.45000000000005</v>
      </c>
      <c r="C393" s="34">
        <f t="shared" si="12"/>
        <v>-7.5966311624913333E-3</v>
      </c>
      <c r="E393" s="33">
        <v>42943</v>
      </c>
      <c r="F393" s="34">
        <v>32383.3</v>
      </c>
      <c r="G393" s="34">
        <f t="shared" si="13"/>
        <v>2.5939632300950751E-5</v>
      </c>
    </row>
    <row r="394" spans="1:7" x14ac:dyDescent="0.3">
      <c r="A394" s="33">
        <v>42944</v>
      </c>
      <c r="B394" s="34">
        <v>565.29999999999995</v>
      </c>
      <c r="C394" s="34">
        <f t="shared" si="12"/>
        <v>-9.0689593611333868E-3</v>
      </c>
      <c r="E394" s="33">
        <v>42944</v>
      </c>
      <c r="F394" s="34">
        <v>32309.88</v>
      </c>
      <c r="G394" s="34">
        <f t="shared" si="13"/>
        <v>-2.2697920096485498E-3</v>
      </c>
    </row>
    <row r="395" spans="1:7" x14ac:dyDescent="0.3">
      <c r="A395" s="33">
        <v>42947</v>
      </c>
      <c r="B395" s="34">
        <v>558.65</v>
      </c>
      <c r="C395" s="34">
        <f t="shared" si="12"/>
        <v>-1.183340468789815E-2</v>
      </c>
      <c r="E395" s="33">
        <v>42947</v>
      </c>
      <c r="F395" s="34">
        <v>32514.94</v>
      </c>
      <c r="G395" s="34">
        <f t="shared" si="13"/>
        <v>6.3266102081614818E-3</v>
      </c>
    </row>
    <row r="396" spans="1:7" x14ac:dyDescent="0.3">
      <c r="A396" s="33">
        <v>42948</v>
      </c>
      <c r="B396" s="34">
        <v>561.95000000000005</v>
      </c>
      <c r="C396" s="34">
        <f t="shared" si="12"/>
        <v>5.8897189709292289E-3</v>
      </c>
      <c r="E396" s="33">
        <v>42948</v>
      </c>
      <c r="F396" s="34">
        <v>32575.17</v>
      </c>
      <c r="G396" s="34">
        <f t="shared" si="13"/>
        <v>1.8506657060637297E-3</v>
      </c>
    </row>
    <row r="397" spans="1:7" x14ac:dyDescent="0.3">
      <c r="A397" s="33">
        <v>42949</v>
      </c>
      <c r="B397" s="34">
        <v>565.79999999999995</v>
      </c>
      <c r="C397" s="34">
        <f t="shared" si="12"/>
        <v>6.8277809031904758E-3</v>
      </c>
      <c r="E397" s="33">
        <v>42949</v>
      </c>
      <c r="F397" s="34">
        <v>32476.74</v>
      </c>
      <c r="G397" s="34">
        <f t="shared" si="13"/>
        <v>-3.0262009253101069E-3</v>
      </c>
    </row>
    <row r="398" spans="1:7" x14ac:dyDescent="0.3">
      <c r="A398" s="33">
        <v>42950</v>
      </c>
      <c r="B398" s="34">
        <v>556.9</v>
      </c>
      <c r="C398" s="34">
        <f t="shared" si="12"/>
        <v>-1.5854968271843836E-2</v>
      </c>
      <c r="E398" s="33">
        <v>42950</v>
      </c>
      <c r="F398" s="34">
        <v>32237.88</v>
      </c>
      <c r="G398" s="34">
        <f t="shared" si="13"/>
        <v>-7.3819821454665716E-3</v>
      </c>
    </row>
    <row r="399" spans="1:7" x14ac:dyDescent="0.3">
      <c r="A399" s="33">
        <v>42951</v>
      </c>
      <c r="B399" s="34">
        <v>567.04999999999995</v>
      </c>
      <c r="C399" s="34">
        <f t="shared" si="12"/>
        <v>1.8061792665716444E-2</v>
      </c>
      <c r="E399" s="33">
        <v>42951</v>
      </c>
      <c r="F399" s="34">
        <v>32325.41</v>
      </c>
      <c r="G399" s="34">
        <f t="shared" si="13"/>
        <v>2.7114496063136936E-3</v>
      </c>
    </row>
    <row r="400" spans="1:7" x14ac:dyDescent="0.3">
      <c r="A400" s="33">
        <v>42954</v>
      </c>
      <c r="B400" s="34">
        <v>565.15</v>
      </c>
      <c r="C400" s="34">
        <f t="shared" si="12"/>
        <v>-3.3563006245993041E-3</v>
      </c>
      <c r="E400" s="33">
        <v>42954</v>
      </c>
      <c r="F400" s="34">
        <v>32273.67</v>
      </c>
      <c r="G400" s="34">
        <f t="shared" si="13"/>
        <v>-1.6018807408350888E-3</v>
      </c>
    </row>
    <row r="401" spans="1:7" x14ac:dyDescent="0.3">
      <c r="A401" s="33">
        <v>42955</v>
      </c>
      <c r="B401" s="34">
        <v>578.25</v>
      </c>
      <c r="C401" s="34">
        <f t="shared" si="12"/>
        <v>2.2915118474808507E-2</v>
      </c>
      <c r="E401" s="33">
        <v>42955</v>
      </c>
      <c r="F401" s="34">
        <v>32014.19</v>
      </c>
      <c r="G401" s="34">
        <f t="shared" si="13"/>
        <v>-8.0724855076360173E-3</v>
      </c>
    </row>
    <row r="402" spans="1:7" x14ac:dyDescent="0.3">
      <c r="A402" s="33">
        <v>42956</v>
      </c>
      <c r="B402" s="34">
        <v>561.9</v>
      </c>
      <c r="C402" s="34">
        <f t="shared" si="12"/>
        <v>-2.8682402993396052E-2</v>
      </c>
      <c r="E402" s="33">
        <v>42956</v>
      </c>
      <c r="F402" s="34">
        <v>31797.84</v>
      </c>
      <c r="G402" s="34">
        <f t="shared" si="13"/>
        <v>-6.780879059520027E-3</v>
      </c>
    </row>
    <row r="403" spans="1:7" x14ac:dyDescent="0.3">
      <c r="A403" s="33">
        <v>42957</v>
      </c>
      <c r="B403" s="34">
        <v>548.9</v>
      </c>
      <c r="C403" s="34">
        <f t="shared" si="12"/>
        <v>-2.3407622562308959E-2</v>
      </c>
      <c r="E403" s="33">
        <v>42957</v>
      </c>
      <c r="F403" s="34">
        <v>31531.33</v>
      </c>
      <c r="G403" s="34">
        <f t="shared" si="13"/>
        <v>-8.4167082346797498E-3</v>
      </c>
    </row>
    <row r="404" spans="1:7" x14ac:dyDescent="0.3">
      <c r="A404" s="33">
        <v>42958</v>
      </c>
      <c r="B404" s="34">
        <v>542.70000000000005</v>
      </c>
      <c r="C404" s="34">
        <f t="shared" si="12"/>
        <v>-1.1359594486484232E-2</v>
      </c>
      <c r="E404" s="33">
        <v>42958</v>
      </c>
      <c r="F404" s="34">
        <v>31213.59</v>
      </c>
      <c r="G404" s="34">
        <f t="shared" si="13"/>
        <v>-1.0128077813750682E-2</v>
      </c>
    </row>
    <row r="405" spans="1:7" x14ac:dyDescent="0.3">
      <c r="A405" s="33">
        <v>42961</v>
      </c>
      <c r="B405" s="34">
        <v>570</v>
      </c>
      <c r="C405" s="34">
        <f t="shared" si="12"/>
        <v>4.9079679759236584E-2</v>
      </c>
      <c r="E405" s="33">
        <v>42961</v>
      </c>
      <c r="F405" s="34">
        <v>31449.03</v>
      </c>
      <c r="G405" s="34">
        <f t="shared" si="13"/>
        <v>7.5145631610697835E-3</v>
      </c>
    </row>
    <row r="406" spans="1:7" x14ac:dyDescent="0.3">
      <c r="A406" s="33">
        <v>42963</v>
      </c>
      <c r="B406" s="34">
        <v>590.20000000000005</v>
      </c>
      <c r="C406" s="34">
        <f t="shared" si="12"/>
        <v>3.4825101680243178E-2</v>
      </c>
      <c r="E406" s="33">
        <v>42963</v>
      </c>
      <c r="F406" s="34">
        <v>31770.89</v>
      </c>
      <c r="G406" s="34">
        <f t="shared" si="13"/>
        <v>1.0182321675094587E-2</v>
      </c>
    </row>
    <row r="407" spans="1:7" x14ac:dyDescent="0.3">
      <c r="A407" s="33">
        <v>42964</v>
      </c>
      <c r="B407" s="34">
        <v>573.35</v>
      </c>
      <c r="C407" s="34">
        <f t="shared" si="12"/>
        <v>-2.8965112024525709E-2</v>
      </c>
      <c r="E407" s="33">
        <v>42964</v>
      </c>
      <c r="F407" s="34">
        <v>31795.46</v>
      </c>
      <c r="G407" s="34">
        <f t="shared" si="13"/>
        <v>7.7305055972544802E-4</v>
      </c>
    </row>
    <row r="408" spans="1:7" x14ac:dyDescent="0.3">
      <c r="A408" s="33">
        <v>42965</v>
      </c>
      <c r="B408" s="34">
        <v>565.70000000000005</v>
      </c>
      <c r="C408" s="34">
        <f t="shared" si="12"/>
        <v>-1.3432448135203338E-2</v>
      </c>
      <c r="E408" s="33">
        <v>42965</v>
      </c>
      <c r="F408" s="34">
        <v>31524.68</v>
      </c>
      <c r="G408" s="34">
        <f t="shared" si="13"/>
        <v>-8.5527811729165931E-3</v>
      </c>
    </row>
    <row r="409" spans="1:7" x14ac:dyDescent="0.3">
      <c r="A409" s="33">
        <v>42968</v>
      </c>
      <c r="B409" s="34">
        <v>560.75</v>
      </c>
      <c r="C409" s="34">
        <f t="shared" si="12"/>
        <v>-8.7887289487923997E-3</v>
      </c>
      <c r="E409" s="33">
        <v>42968</v>
      </c>
      <c r="F409" s="34">
        <v>31258.85</v>
      </c>
      <c r="G409" s="34">
        <f t="shared" si="13"/>
        <v>-8.4681950365367107E-3</v>
      </c>
    </row>
    <row r="410" spans="1:7" x14ac:dyDescent="0.3">
      <c r="A410" s="33">
        <v>42969</v>
      </c>
      <c r="B410" s="34">
        <v>559.15</v>
      </c>
      <c r="C410" s="34">
        <f t="shared" si="12"/>
        <v>-2.8573999261203983E-3</v>
      </c>
      <c r="E410" s="33">
        <v>42969</v>
      </c>
      <c r="F410" s="34">
        <v>31291.85</v>
      </c>
      <c r="G410" s="34">
        <f t="shared" si="13"/>
        <v>1.0551441650261922E-3</v>
      </c>
    </row>
    <row r="411" spans="1:7" x14ac:dyDescent="0.3">
      <c r="A411" s="33">
        <v>42970</v>
      </c>
      <c r="B411" s="34">
        <v>559.6</v>
      </c>
      <c r="C411" s="34">
        <f t="shared" si="12"/>
        <v>8.0446931712879668E-4</v>
      </c>
      <c r="E411" s="33">
        <v>42970</v>
      </c>
      <c r="F411" s="34">
        <v>31568.01</v>
      </c>
      <c r="G411" s="34">
        <f t="shared" si="13"/>
        <v>8.7865858028056253E-3</v>
      </c>
    </row>
    <row r="412" spans="1:7" x14ac:dyDescent="0.3">
      <c r="A412" s="33">
        <v>42971</v>
      </c>
      <c r="B412" s="34">
        <v>573.4</v>
      </c>
      <c r="C412" s="34">
        <f t="shared" si="12"/>
        <v>2.4361310657943287E-2</v>
      </c>
      <c r="E412" s="33">
        <v>42971</v>
      </c>
      <c r="F412" s="34">
        <v>31596.06</v>
      </c>
      <c r="G412" s="34">
        <f t="shared" si="13"/>
        <v>8.8816321823157428E-4</v>
      </c>
    </row>
    <row r="413" spans="1:7" x14ac:dyDescent="0.3">
      <c r="A413" s="33">
        <v>42975</v>
      </c>
      <c r="B413" s="34">
        <v>572.75</v>
      </c>
      <c r="C413" s="34">
        <f t="shared" si="12"/>
        <v>-1.1342321156645515E-3</v>
      </c>
      <c r="E413" s="33">
        <v>42975</v>
      </c>
      <c r="F413" s="34">
        <v>31750.82</v>
      </c>
      <c r="G413" s="34">
        <f t="shared" si="13"/>
        <v>4.8861225019254228E-3</v>
      </c>
    </row>
    <row r="414" spans="1:7" x14ac:dyDescent="0.3">
      <c r="A414" s="33">
        <v>42976</v>
      </c>
      <c r="B414" s="34">
        <v>567.95000000000005</v>
      </c>
      <c r="C414" s="34">
        <f t="shared" si="12"/>
        <v>-8.4159346561741739E-3</v>
      </c>
      <c r="E414" s="33">
        <v>42976</v>
      </c>
      <c r="F414" s="34">
        <v>31388.39</v>
      </c>
      <c r="G414" s="34">
        <f t="shared" si="13"/>
        <v>-1.1480472458190227E-2</v>
      </c>
    </row>
    <row r="415" spans="1:7" x14ac:dyDescent="0.3">
      <c r="A415" s="33">
        <v>42977</v>
      </c>
      <c r="B415" s="34">
        <v>566.85</v>
      </c>
      <c r="C415" s="34">
        <f t="shared" si="12"/>
        <v>-1.9386682138230302E-3</v>
      </c>
      <c r="E415" s="33">
        <v>42977</v>
      </c>
      <c r="F415" s="34">
        <v>31646.46</v>
      </c>
      <c r="G415" s="34">
        <f t="shared" si="13"/>
        <v>8.1882146748021318E-3</v>
      </c>
    </row>
    <row r="416" spans="1:7" x14ac:dyDescent="0.3">
      <c r="A416" s="33">
        <v>42978</v>
      </c>
      <c r="B416" s="34">
        <v>571.70000000000005</v>
      </c>
      <c r="C416" s="34">
        <f t="shared" si="12"/>
        <v>8.519659806318065E-3</v>
      </c>
      <c r="E416" s="33">
        <v>42978</v>
      </c>
      <c r="F416" s="34">
        <v>31730.49</v>
      </c>
      <c r="G416" s="34">
        <f t="shared" si="13"/>
        <v>2.6517542810180652E-3</v>
      </c>
    </row>
    <row r="417" spans="1:7" x14ac:dyDescent="0.3">
      <c r="A417" s="33">
        <v>42979</v>
      </c>
      <c r="B417" s="34">
        <v>568.6</v>
      </c>
      <c r="C417" s="34">
        <f t="shared" si="12"/>
        <v>-5.4371790530262408E-3</v>
      </c>
      <c r="E417" s="33">
        <v>42979</v>
      </c>
      <c r="F417" s="34">
        <v>31892.23</v>
      </c>
      <c r="G417" s="34">
        <f t="shared" si="13"/>
        <v>5.0843581797249526E-3</v>
      </c>
    </row>
    <row r="418" spans="1:7" x14ac:dyDescent="0.3">
      <c r="A418" s="33">
        <v>42982</v>
      </c>
      <c r="B418" s="34">
        <v>561.95000000000005</v>
      </c>
      <c r="C418" s="34">
        <f t="shared" si="12"/>
        <v>-1.176432125262322E-2</v>
      </c>
      <c r="E418" s="33">
        <v>42982</v>
      </c>
      <c r="F418" s="34">
        <v>31702.25</v>
      </c>
      <c r="G418" s="34">
        <f t="shared" si="13"/>
        <v>-5.9747501718008739E-3</v>
      </c>
    </row>
    <row r="419" spans="1:7" x14ac:dyDescent="0.3">
      <c r="A419" s="33">
        <v>42983</v>
      </c>
      <c r="B419" s="34">
        <v>559.85</v>
      </c>
      <c r="C419" s="34">
        <f t="shared" si="12"/>
        <v>-3.7439872580701484E-3</v>
      </c>
      <c r="E419" s="33">
        <v>42983</v>
      </c>
      <c r="F419" s="34">
        <v>31809.55</v>
      </c>
      <c r="G419" s="34">
        <f t="shared" si="13"/>
        <v>3.3789028837743745E-3</v>
      </c>
    </row>
    <row r="420" spans="1:7" x14ac:dyDescent="0.3">
      <c r="A420" s="33">
        <v>42984</v>
      </c>
      <c r="B420" s="34">
        <v>556.65</v>
      </c>
      <c r="C420" s="34">
        <f t="shared" si="12"/>
        <v>-5.7322145314897162E-3</v>
      </c>
      <c r="E420" s="33">
        <v>42984</v>
      </c>
      <c r="F420" s="34">
        <v>31661.97</v>
      </c>
      <c r="G420" s="34">
        <f t="shared" si="13"/>
        <v>-4.650283023094056E-3</v>
      </c>
    </row>
    <row r="421" spans="1:7" x14ac:dyDescent="0.3">
      <c r="A421" s="33">
        <v>42985</v>
      </c>
      <c r="B421" s="34">
        <v>553.25</v>
      </c>
      <c r="C421" s="34">
        <f t="shared" si="12"/>
        <v>-6.1266972435572598E-3</v>
      </c>
      <c r="E421" s="33">
        <v>42985</v>
      </c>
      <c r="F421" s="34">
        <v>31662.74</v>
      </c>
      <c r="G421" s="34">
        <f t="shared" si="13"/>
        <v>2.4319100712494776E-5</v>
      </c>
    </row>
    <row r="422" spans="1:7" x14ac:dyDescent="0.3">
      <c r="A422" s="33">
        <v>42986</v>
      </c>
      <c r="B422" s="34">
        <v>550.65</v>
      </c>
      <c r="C422" s="34">
        <f t="shared" si="12"/>
        <v>-4.7105803202060611E-3</v>
      </c>
      <c r="E422" s="33">
        <v>42986</v>
      </c>
      <c r="F422" s="34">
        <v>31687.52</v>
      </c>
      <c r="G422" s="34">
        <f t="shared" si="13"/>
        <v>7.8231727111518112E-4</v>
      </c>
    </row>
    <row r="423" spans="1:7" x14ac:dyDescent="0.3">
      <c r="A423" s="33">
        <v>42989</v>
      </c>
      <c r="B423" s="34">
        <v>551.85</v>
      </c>
      <c r="C423" s="34">
        <f t="shared" si="12"/>
        <v>2.1768716079401708E-3</v>
      </c>
      <c r="E423" s="33">
        <v>42989</v>
      </c>
      <c r="F423" s="34">
        <v>31882.16</v>
      </c>
      <c r="G423" s="34">
        <f t="shared" si="13"/>
        <v>6.1236931896913784E-3</v>
      </c>
    </row>
    <row r="424" spans="1:7" x14ac:dyDescent="0.3">
      <c r="A424" s="33">
        <v>42990</v>
      </c>
      <c r="B424" s="34">
        <v>559.4</v>
      </c>
      <c r="C424" s="34">
        <f t="shared" si="12"/>
        <v>1.3588510548966305E-2</v>
      </c>
      <c r="E424" s="33">
        <v>42990</v>
      </c>
      <c r="F424" s="34">
        <v>32158.66</v>
      </c>
      <c r="G424" s="34">
        <f t="shared" si="13"/>
        <v>8.6351710714171227E-3</v>
      </c>
    </row>
    <row r="425" spans="1:7" x14ac:dyDescent="0.3">
      <c r="A425" s="33">
        <v>42991</v>
      </c>
      <c r="B425" s="34">
        <v>554.29999999999995</v>
      </c>
      <c r="C425" s="34">
        <f t="shared" si="12"/>
        <v>-9.1587243421004192E-3</v>
      </c>
      <c r="E425" s="33">
        <v>42991</v>
      </c>
      <c r="F425" s="34">
        <v>32186.41</v>
      </c>
      <c r="G425" s="34">
        <f t="shared" si="13"/>
        <v>8.6253699686482193E-4</v>
      </c>
    </row>
    <row r="426" spans="1:7" x14ac:dyDescent="0.3">
      <c r="A426" s="33">
        <v>42992</v>
      </c>
      <c r="B426" s="34">
        <v>564.79999999999995</v>
      </c>
      <c r="C426" s="34">
        <f t="shared" si="12"/>
        <v>1.8765629753273318E-2</v>
      </c>
      <c r="E426" s="33">
        <v>42992</v>
      </c>
      <c r="F426" s="34">
        <v>32241.93</v>
      </c>
      <c r="G426" s="34">
        <f t="shared" si="13"/>
        <v>1.7234655973673648E-3</v>
      </c>
    </row>
    <row r="427" spans="1:7" x14ac:dyDescent="0.3">
      <c r="A427" s="33">
        <v>42993</v>
      </c>
      <c r="B427" s="34">
        <v>560.5</v>
      </c>
      <c r="C427" s="34">
        <f t="shared" si="12"/>
        <v>-7.6424436668175964E-3</v>
      </c>
      <c r="E427" s="33">
        <v>42993</v>
      </c>
      <c r="F427" s="34">
        <v>32272.61</v>
      </c>
      <c r="G427" s="34">
        <f t="shared" si="13"/>
        <v>9.5110349737456776E-4</v>
      </c>
    </row>
    <row r="428" spans="1:7" x14ac:dyDescent="0.3">
      <c r="A428" s="33">
        <v>42996</v>
      </c>
      <c r="B428" s="34">
        <v>570.04999999999995</v>
      </c>
      <c r="C428" s="34">
        <f t="shared" si="12"/>
        <v>1.689483376751413E-2</v>
      </c>
      <c r="E428" s="33">
        <v>42996</v>
      </c>
      <c r="F428" s="34">
        <v>32423.759999999998</v>
      </c>
      <c r="G428" s="34">
        <f t="shared" si="13"/>
        <v>4.6726045064865024E-3</v>
      </c>
    </row>
    <row r="429" spans="1:7" x14ac:dyDescent="0.3">
      <c r="A429" s="33">
        <v>42997</v>
      </c>
      <c r="B429" s="34">
        <v>573.5</v>
      </c>
      <c r="C429" s="34">
        <f t="shared" si="12"/>
        <v>6.0338602896966489E-3</v>
      </c>
      <c r="E429" s="33">
        <v>42997</v>
      </c>
      <c r="F429" s="34">
        <v>32402.37</v>
      </c>
      <c r="G429" s="34">
        <f t="shared" si="13"/>
        <v>-6.5991910287618828E-4</v>
      </c>
    </row>
    <row r="430" spans="1:7" x14ac:dyDescent="0.3">
      <c r="A430" s="33">
        <v>42998</v>
      </c>
      <c r="B430" s="34">
        <v>568.5</v>
      </c>
      <c r="C430" s="34">
        <f t="shared" si="12"/>
        <v>-8.7566233788346198E-3</v>
      </c>
      <c r="E430" s="33">
        <v>42998</v>
      </c>
      <c r="F430" s="34">
        <v>32400.51</v>
      </c>
      <c r="G430" s="34">
        <f t="shared" si="13"/>
        <v>-5.740485609625554E-5</v>
      </c>
    </row>
    <row r="431" spans="1:7" x14ac:dyDescent="0.3">
      <c r="A431" s="33">
        <v>42999</v>
      </c>
      <c r="B431" s="34">
        <v>591.45000000000005</v>
      </c>
      <c r="C431" s="34">
        <f t="shared" si="12"/>
        <v>3.9575835801155125E-2</v>
      </c>
      <c r="E431" s="33">
        <v>42999</v>
      </c>
      <c r="F431" s="34">
        <v>32370.04</v>
      </c>
      <c r="G431" s="34">
        <f t="shared" si="13"/>
        <v>-9.4085976567166848E-4</v>
      </c>
    </row>
    <row r="432" spans="1:7" x14ac:dyDescent="0.3">
      <c r="A432" s="33">
        <v>43000</v>
      </c>
      <c r="B432" s="34">
        <v>583.79999999999995</v>
      </c>
      <c r="C432" s="34">
        <f t="shared" si="12"/>
        <v>-1.3018690571731599E-2</v>
      </c>
      <c r="E432" s="33">
        <v>43000</v>
      </c>
      <c r="F432" s="34">
        <v>31922.44</v>
      </c>
      <c r="G432" s="34">
        <f t="shared" si="13"/>
        <v>-1.3924092886575935E-2</v>
      </c>
    </row>
    <row r="433" spans="1:7" x14ac:dyDescent="0.3">
      <c r="A433" s="33">
        <v>43003</v>
      </c>
      <c r="B433" s="34">
        <v>576.9</v>
      </c>
      <c r="C433" s="34">
        <f t="shared" si="12"/>
        <v>-1.1889517157170631E-2</v>
      </c>
      <c r="E433" s="33">
        <v>43003</v>
      </c>
      <c r="F433" s="34">
        <v>31626.63</v>
      </c>
      <c r="G433" s="34">
        <f t="shared" si="13"/>
        <v>-9.3097235414496583E-3</v>
      </c>
    </row>
    <row r="434" spans="1:7" x14ac:dyDescent="0.3">
      <c r="A434" s="33">
        <v>43004</v>
      </c>
      <c r="B434" s="34">
        <v>578.15</v>
      </c>
      <c r="C434" s="34">
        <f t="shared" si="12"/>
        <v>2.1644093121270811E-3</v>
      </c>
      <c r="E434" s="33">
        <v>43004</v>
      </c>
      <c r="F434" s="34">
        <v>31599.759999999998</v>
      </c>
      <c r="G434" s="34">
        <f t="shared" si="13"/>
        <v>-8.499615941271909E-4</v>
      </c>
    </row>
    <row r="435" spans="1:7" x14ac:dyDescent="0.3">
      <c r="A435" s="33">
        <v>43005</v>
      </c>
      <c r="B435" s="34">
        <v>569.79999999999995</v>
      </c>
      <c r="C435" s="34">
        <f t="shared" si="12"/>
        <v>-1.454792851116295E-2</v>
      </c>
      <c r="E435" s="33">
        <v>43005</v>
      </c>
      <c r="F435" s="34">
        <v>31159.81</v>
      </c>
      <c r="G435" s="34">
        <f t="shared" si="13"/>
        <v>-1.4020402204334077E-2</v>
      </c>
    </row>
    <row r="436" spans="1:7" x14ac:dyDescent="0.3">
      <c r="A436" s="33">
        <v>43006</v>
      </c>
      <c r="B436" s="34">
        <v>581.5</v>
      </c>
      <c r="C436" s="34">
        <f t="shared" si="12"/>
        <v>2.0325549894911303E-2</v>
      </c>
      <c r="E436" s="33">
        <v>43006</v>
      </c>
      <c r="F436" s="34">
        <v>31282.48</v>
      </c>
      <c r="G436" s="34">
        <f t="shared" si="13"/>
        <v>3.9290729987953429E-3</v>
      </c>
    </row>
    <row r="437" spans="1:7" x14ac:dyDescent="0.3">
      <c r="A437" s="33">
        <v>43007</v>
      </c>
      <c r="B437" s="34">
        <v>584.95000000000005</v>
      </c>
      <c r="C437" s="34">
        <f t="shared" si="12"/>
        <v>5.9154015348914053E-3</v>
      </c>
      <c r="E437" s="33">
        <v>43007</v>
      </c>
      <c r="F437" s="34">
        <v>31283.72</v>
      </c>
      <c r="G437" s="34">
        <f t="shared" si="13"/>
        <v>3.963801541924924E-5</v>
      </c>
    </row>
    <row r="438" spans="1:7" x14ac:dyDescent="0.3">
      <c r="A438" s="33">
        <v>43011</v>
      </c>
      <c r="B438" s="34">
        <v>580.4</v>
      </c>
      <c r="C438" s="34">
        <f t="shared" si="12"/>
        <v>-7.8088524835778919E-3</v>
      </c>
      <c r="E438" s="33">
        <v>43011</v>
      </c>
      <c r="F438" s="34">
        <v>31497.38</v>
      </c>
      <c r="G438" s="34">
        <f t="shared" si="13"/>
        <v>6.8065333320172245E-3</v>
      </c>
    </row>
    <row r="439" spans="1:7" x14ac:dyDescent="0.3">
      <c r="A439" s="33">
        <v>43012</v>
      </c>
      <c r="B439" s="34">
        <v>581.65</v>
      </c>
      <c r="C439" s="34">
        <f t="shared" si="12"/>
        <v>2.151371252742514E-3</v>
      </c>
      <c r="E439" s="33">
        <v>43012</v>
      </c>
      <c r="F439" s="34">
        <v>31671.71</v>
      </c>
      <c r="G439" s="34">
        <f t="shared" si="13"/>
        <v>5.5194856400817248E-3</v>
      </c>
    </row>
    <row r="440" spans="1:7" x14ac:dyDescent="0.3">
      <c r="A440" s="33">
        <v>43013</v>
      </c>
      <c r="B440" s="34">
        <v>584.95000000000005</v>
      </c>
      <c r="C440" s="34">
        <f t="shared" si="12"/>
        <v>5.6574812308351962E-3</v>
      </c>
      <c r="E440" s="33">
        <v>43013</v>
      </c>
      <c r="F440" s="34">
        <v>31592.03</v>
      </c>
      <c r="G440" s="34">
        <f t="shared" si="13"/>
        <v>-2.5189798179026E-3</v>
      </c>
    </row>
    <row r="441" spans="1:7" x14ac:dyDescent="0.3">
      <c r="A441" s="33">
        <v>43014</v>
      </c>
      <c r="B441" s="34">
        <v>585</v>
      </c>
      <c r="C441" s="34">
        <f t="shared" si="12"/>
        <v>8.5473738245951119E-5</v>
      </c>
      <c r="E441" s="33">
        <v>43014</v>
      </c>
      <c r="F441" s="34">
        <v>31814.22</v>
      </c>
      <c r="G441" s="34">
        <f t="shared" si="13"/>
        <v>7.0084860554343867E-3</v>
      </c>
    </row>
    <row r="442" spans="1:7" x14ac:dyDescent="0.3">
      <c r="A442" s="33">
        <v>43017</v>
      </c>
      <c r="B442" s="34">
        <v>585.45000000000005</v>
      </c>
      <c r="C442" s="34">
        <f t="shared" si="12"/>
        <v>7.6893506287725667E-4</v>
      </c>
      <c r="E442" s="33">
        <v>43017</v>
      </c>
      <c r="F442" s="34">
        <v>31846.89</v>
      </c>
      <c r="G442" s="34">
        <f t="shared" si="13"/>
        <v>1.0263723918100881E-3</v>
      </c>
    </row>
    <row r="443" spans="1:7" x14ac:dyDescent="0.3">
      <c r="A443" s="33">
        <v>43018</v>
      </c>
      <c r="B443" s="34">
        <v>589.29999999999995</v>
      </c>
      <c r="C443" s="34">
        <f t="shared" si="12"/>
        <v>6.5546095491337648E-3</v>
      </c>
      <c r="E443" s="33">
        <v>43018</v>
      </c>
      <c r="F443" s="34">
        <v>31924.41</v>
      </c>
      <c r="G443" s="34">
        <f t="shared" si="13"/>
        <v>2.4311888947844995E-3</v>
      </c>
    </row>
    <row r="444" spans="1:7" x14ac:dyDescent="0.3">
      <c r="A444" s="33">
        <v>43019</v>
      </c>
      <c r="B444" s="34">
        <v>584.95000000000005</v>
      </c>
      <c r="C444" s="34">
        <f t="shared" si="12"/>
        <v>-7.4090183502570324E-3</v>
      </c>
      <c r="E444" s="33">
        <v>43019</v>
      </c>
      <c r="F444" s="34">
        <v>31833.99</v>
      </c>
      <c r="G444" s="34">
        <f t="shared" si="13"/>
        <v>-2.8363340553555177E-3</v>
      </c>
    </row>
    <row r="445" spans="1:7" x14ac:dyDescent="0.3">
      <c r="A445" s="33">
        <v>43020</v>
      </c>
      <c r="B445" s="34">
        <v>590.04999999999995</v>
      </c>
      <c r="C445" s="34">
        <f t="shared" si="12"/>
        <v>8.6809055781469566E-3</v>
      </c>
      <c r="E445" s="33">
        <v>43020</v>
      </c>
      <c r="F445" s="34">
        <v>32182.22</v>
      </c>
      <c r="G445" s="34">
        <f t="shared" si="13"/>
        <v>1.087953925509602E-2</v>
      </c>
    </row>
    <row r="446" spans="1:7" x14ac:dyDescent="0.3">
      <c r="A446" s="33">
        <v>43021</v>
      </c>
      <c r="B446" s="34">
        <v>592.1</v>
      </c>
      <c r="C446" s="34">
        <f t="shared" si="12"/>
        <v>3.4682604659727395E-3</v>
      </c>
      <c r="E446" s="33">
        <v>43021</v>
      </c>
      <c r="F446" s="34">
        <v>32432.69</v>
      </c>
      <c r="G446" s="34">
        <f t="shared" si="13"/>
        <v>7.7527386338367933E-3</v>
      </c>
    </row>
    <row r="447" spans="1:7" x14ac:dyDescent="0.3">
      <c r="A447" s="33">
        <v>43024</v>
      </c>
      <c r="B447" s="34">
        <v>606.45000000000005</v>
      </c>
      <c r="C447" s="34">
        <f t="shared" si="12"/>
        <v>2.3946745217159192E-2</v>
      </c>
      <c r="E447" s="33">
        <v>43024</v>
      </c>
      <c r="F447" s="34">
        <v>32633.64</v>
      </c>
      <c r="G447" s="34">
        <f t="shared" si="13"/>
        <v>6.1767934014300228E-3</v>
      </c>
    </row>
    <row r="448" spans="1:7" x14ac:dyDescent="0.3">
      <c r="A448" s="33">
        <v>43025</v>
      </c>
      <c r="B448" s="34">
        <v>631.25</v>
      </c>
      <c r="C448" s="34">
        <f t="shared" si="12"/>
        <v>4.0079695834679872E-2</v>
      </c>
      <c r="E448" s="33">
        <v>43025</v>
      </c>
      <c r="F448" s="34">
        <v>32609.16</v>
      </c>
      <c r="G448" s="34">
        <f t="shared" si="13"/>
        <v>-7.5042766861040729E-4</v>
      </c>
    </row>
    <row r="449" spans="1:7" x14ac:dyDescent="0.3">
      <c r="A449" s="33">
        <v>43026</v>
      </c>
      <c r="B449" s="34">
        <v>610.70000000000005</v>
      </c>
      <c r="C449" s="34">
        <f t="shared" si="12"/>
        <v>-3.3096140360480426E-2</v>
      </c>
      <c r="E449" s="33">
        <v>43026</v>
      </c>
      <c r="F449" s="34">
        <v>32584.35</v>
      </c>
      <c r="G449" s="34">
        <f t="shared" si="13"/>
        <v>-7.6111874319103939E-4</v>
      </c>
    </row>
    <row r="450" spans="1:7" x14ac:dyDescent="0.3">
      <c r="A450" s="33">
        <v>43027</v>
      </c>
      <c r="B450" s="34">
        <v>608.20000000000005</v>
      </c>
      <c r="C450" s="34">
        <f t="shared" si="12"/>
        <v>-4.1020649858248279E-3</v>
      </c>
      <c r="E450" s="33">
        <v>43027</v>
      </c>
      <c r="F450" s="34">
        <v>32389.96</v>
      </c>
      <c r="G450" s="34">
        <f t="shared" si="13"/>
        <v>-5.9836135232105058E-3</v>
      </c>
    </row>
    <row r="451" spans="1:7" x14ac:dyDescent="0.3">
      <c r="A451" s="33">
        <v>43031</v>
      </c>
      <c r="B451" s="34">
        <v>593.70000000000005</v>
      </c>
      <c r="C451" s="34">
        <f t="shared" si="12"/>
        <v>-2.4129633966634489E-2</v>
      </c>
      <c r="E451" s="33">
        <v>43031</v>
      </c>
      <c r="F451" s="34">
        <v>32506.720000000001</v>
      </c>
      <c r="G451" s="34">
        <f t="shared" si="13"/>
        <v>3.5983389592329374E-3</v>
      </c>
    </row>
    <row r="452" spans="1:7" x14ac:dyDescent="0.3">
      <c r="A452" s="33">
        <v>43032</v>
      </c>
      <c r="B452" s="34">
        <v>595.25</v>
      </c>
      <c r="C452" s="34">
        <f t="shared" si="12"/>
        <v>2.6073440903422607E-3</v>
      </c>
      <c r="E452" s="33">
        <v>43032</v>
      </c>
      <c r="F452" s="34">
        <v>32607.34</v>
      </c>
      <c r="G452" s="34">
        <f t="shared" si="13"/>
        <v>3.0905792110281155E-3</v>
      </c>
    </row>
    <row r="453" spans="1:7" x14ac:dyDescent="0.3">
      <c r="A453" s="33">
        <v>43033</v>
      </c>
      <c r="B453" s="34">
        <v>593.54999999999995</v>
      </c>
      <c r="C453" s="34">
        <f t="shared" si="12"/>
        <v>-2.860028867429234E-3</v>
      </c>
      <c r="E453" s="33">
        <v>43033</v>
      </c>
      <c r="F453" s="34">
        <v>33042.5</v>
      </c>
      <c r="G453" s="34">
        <f t="shared" si="13"/>
        <v>1.3257195246146488E-2</v>
      </c>
    </row>
    <row r="454" spans="1:7" x14ac:dyDescent="0.3">
      <c r="A454" s="33">
        <v>43034</v>
      </c>
      <c r="B454" s="34">
        <v>612.4</v>
      </c>
      <c r="C454" s="34">
        <f t="shared" si="12"/>
        <v>3.1264207283985809E-2</v>
      </c>
      <c r="E454" s="33">
        <v>43034</v>
      </c>
      <c r="F454" s="34">
        <v>33147.129999999997</v>
      </c>
      <c r="G454" s="34">
        <f t="shared" si="13"/>
        <v>3.1615250651847774E-3</v>
      </c>
    </row>
    <row r="455" spans="1:7" x14ac:dyDescent="0.3">
      <c r="A455" s="33">
        <v>43035</v>
      </c>
      <c r="B455" s="34">
        <v>623.29999999999995</v>
      </c>
      <c r="C455" s="34">
        <f t="shared" ref="C455:C518" si="14">LN(B455/B454)</f>
        <v>1.7642280031276082E-2</v>
      </c>
      <c r="E455" s="33">
        <v>43035</v>
      </c>
      <c r="F455" s="34">
        <v>33157.22</v>
      </c>
      <c r="G455" s="34">
        <f t="shared" ref="G455:G518" si="15">LN(F455/F454)</f>
        <v>3.0435409073135218E-4</v>
      </c>
    </row>
    <row r="456" spans="1:7" x14ac:dyDescent="0.3">
      <c r="A456" s="33">
        <v>43038</v>
      </c>
      <c r="B456" s="34">
        <v>626.65</v>
      </c>
      <c r="C456" s="34">
        <f t="shared" si="14"/>
        <v>5.3602272427264574E-3</v>
      </c>
      <c r="E456" s="33">
        <v>43038</v>
      </c>
      <c r="F456" s="34">
        <v>33266.160000000003</v>
      </c>
      <c r="G456" s="34">
        <f t="shared" si="15"/>
        <v>3.2801732666614281E-3</v>
      </c>
    </row>
    <row r="457" spans="1:7" x14ac:dyDescent="0.3">
      <c r="A457" s="33">
        <v>43039</v>
      </c>
      <c r="B457" s="34">
        <v>625.70000000000005</v>
      </c>
      <c r="C457" s="34">
        <f t="shared" si="14"/>
        <v>-1.5171480532133728E-3</v>
      </c>
      <c r="E457" s="33">
        <v>43039</v>
      </c>
      <c r="F457" s="34">
        <v>33213.129999999997</v>
      </c>
      <c r="G457" s="34">
        <f t="shared" si="15"/>
        <v>-1.5953844046136477E-3</v>
      </c>
    </row>
    <row r="458" spans="1:7" x14ac:dyDescent="0.3">
      <c r="A458" s="33">
        <v>43040</v>
      </c>
      <c r="B458" s="34">
        <v>624</v>
      </c>
      <c r="C458" s="34">
        <f t="shared" si="14"/>
        <v>-2.7206546348901568E-3</v>
      </c>
      <c r="E458" s="33">
        <v>43040</v>
      </c>
      <c r="F458" s="34">
        <v>33600.269999999997</v>
      </c>
      <c r="G458" s="34">
        <f t="shared" si="15"/>
        <v>1.1588822983369463E-2</v>
      </c>
    </row>
    <row r="459" spans="1:7" x14ac:dyDescent="0.3">
      <c r="A459" s="33">
        <v>43041</v>
      </c>
      <c r="B459" s="34">
        <v>633.54999999999995</v>
      </c>
      <c r="C459" s="34">
        <f t="shared" si="14"/>
        <v>1.5188554875489615E-2</v>
      </c>
      <c r="E459" s="33">
        <v>43041</v>
      </c>
      <c r="F459" s="34">
        <v>33573.22</v>
      </c>
      <c r="G459" s="34">
        <f t="shared" si="15"/>
        <v>-8.0537728386963366E-4</v>
      </c>
    </row>
    <row r="460" spans="1:7" x14ac:dyDescent="0.3">
      <c r="A460" s="33">
        <v>43042</v>
      </c>
      <c r="B460" s="34">
        <v>639.6</v>
      </c>
      <c r="C460" s="34">
        <f t="shared" si="14"/>
        <v>9.5040577148820925E-3</v>
      </c>
      <c r="E460" s="33">
        <v>43042</v>
      </c>
      <c r="F460" s="34">
        <v>33685.56</v>
      </c>
      <c r="G460" s="34">
        <f t="shared" si="15"/>
        <v>3.3405335175081146E-3</v>
      </c>
    </row>
    <row r="461" spans="1:7" x14ac:dyDescent="0.3">
      <c r="A461" s="33">
        <v>43045</v>
      </c>
      <c r="B461" s="34">
        <v>655.4</v>
      </c>
      <c r="C461" s="34">
        <f t="shared" si="14"/>
        <v>2.440275530491505E-2</v>
      </c>
      <c r="E461" s="33">
        <v>43045</v>
      </c>
      <c r="F461" s="34">
        <v>33731.19</v>
      </c>
      <c r="G461" s="34">
        <f t="shared" si="15"/>
        <v>1.3536697324563641E-3</v>
      </c>
    </row>
    <row r="462" spans="1:7" x14ac:dyDescent="0.3">
      <c r="A462" s="33">
        <v>43046</v>
      </c>
      <c r="B462" s="34">
        <v>608.35</v>
      </c>
      <c r="C462" s="34">
        <f t="shared" si="14"/>
        <v>-7.4495362031256021E-2</v>
      </c>
      <c r="E462" s="33">
        <v>43046</v>
      </c>
      <c r="F462" s="34">
        <v>33370.76</v>
      </c>
      <c r="G462" s="34">
        <f t="shared" si="15"/>
        <v>-1.0742861165757588E-2</v>
      </c>
    </row>
    <row r="463" spans="1:7" x14ac:dyDescent="0.3">
      <c r="A463" s="33">
        <v>43047</v>
      </c>
      <c r="B463" s="34">
        <v>620.95000000000005</v>
      </c>
      <c r="C463" s="34">
        <f t="shared" si="14"/>
        <v>2.0500189160583542E-2</v>
      </c>
      <c r="E463" s="33">
        <v>43047</v>
      </c>
      <c r="F463" s="34">
        <v>33218.81</v>
      </c>
      <c r="G463" s="34">
        <f t="shared" si="15"/>
        <v>-4.5637857020621531E-3</v>
      </c>
    </row>
    <row r="464" spans="1:7" x14ac:dyDescent="0.3">
      <c r="A464" s="33">
        <v>43048</v>
      </c>
      <c r="B464" s="34">
        <v>614.20000000000005</v>
      </c>
      <c r="C464" s="34">
        <f t="shared" si="14"/>
        <v>-1.09299553873196E-2</v>
      </c>
      <c r="E464" s="33">
        <v>43048</v>
      </c>
      <c r="F464" s="34">
        <v>33250.93</v>
      </c>
      <c r="G464" s="34">
        <f t="shared" si="15"/>
        <v>9.664548860910773E-4</v>
      </c>
    </row>
    <row r="465" spans="1:7" x14ac:dyDescent="0.3">
      <c r="A465" s="33">
        <v>43049</v>
      </c>
      <c r="B465" s="34">
        <v>609.04999999999995</v>
      </c>
      <c r="C465" s="34">
        <f t="shared" si="14"/>
        <v>-8.4202418607541556E-3</v>
      </c>
      <c r="E465" s="33">
        <v>43049</v>
      </c>
      <c r="F465" s="34">
        <v>33314.559999999998</v>
      </c>
      <c r="G465" s="34">
        <f t="shared" si="15"/>
        <v>1.9118020277643683E-3</v>
      </c>
    </row>
    <row r="466" spans="1:7" x14ac:dyDescent="0.3">
      <c r="A466" s="33">
        <v>43052</v>
      </c>
      <c r="B466" s="34">
        <v>602.15</v>
      </c>
      <c r="C466" s="34">
        <f t="shared" si="14"/>
        <v>-1.1393782439478977E-2</v>
      </c>
      <c r="E466" s="33">
        <v>43052</v>
      </c>
      <c r="F466" s="34">
        <v>33033.56</v>
      </c>
      <c r="G466" s="34">
        <f t="shared" si="15"/>
        <v>-8.4705242631954794E-3</v>
      </c>
    </row>
    <row r="467" spans="1:7" x14ac:dyDescent="0.3">
      <c r="A467" s="33">
        <v>43053</v>
      </c>
      <c r="B467" s="34">
        <v>602.1</v>
      </c>
      <c r="C467" s="34">
        <f t="shared" si="14"/>
        <v>-8.3039236086657347E-5</v>
      </c>
      <c r="E467" s="33">
        <v>43053</v>
      </c>
      <c r="F467" s="34">
        <v>32941.870000000003</v>
      </c>
      <c r="G467" s="34">
        <f t="shared" si="15"/>
        <v>-2.7795213773088262E-3</v>
      </c>
    </row>
    <row r="468" spans="1:7" x14ac:dyDescent="0.3">
      <c r="A468" s="33">
        <v>43054</v>
      </c>
      <c r="B468" s="34">
        <v>593.6</v>
      </c>
      <c r="C468" s="34">
        <f t="shared" si="14"/>
        <v>-1.4217852617231418E-2</v>
      </c>
      <c r="E468" s="33">
        <v>43054</v>
      </c>
      <c r="F468" s="34">
        <v>32760.44</v>
      </c>
      <c r="G468" s="34">
        <f t="shared" si="15"/>
        <v>-5.5228031146797767E-3</v>
      </c>
    </row>
    <row r="469" spans="1:7" x14ac:dyDescent="0.3">
      <c r="A469" s="33">
        <v>43055</v>
      </c>
      <c r="B469" s="34">
        <v>593</v>
      </c>
      <c r="C469" s="34">
        <f t="shared" si="14"/>
        <v>-1.0112928554452997E-3</v>
      </c>
      <c r="E469" s="33">
        <v>43055</v>
      </c>
      <c r="F469" s="34">
        <v>33106.82</v>
      </c>
      <c r="G469" s="34">
        <f t="shared" si="15"/>
        <v>1.0517613547186626E-2</v>
      </c>
    </row>
    <row r="470" spans="1:7" x14ac:dyDescent="0.3">
      <c r="A470" s="33">
        <v>43056</v>
      </c>
      <c r="B470" s="34">
        <v>608.65</v>
      </c>
      <c r="C470" s="34">
        <f t="shared" si="14"/>
        <v>2.6048990857879904E-2</v>
      </c>
      <c r="E470" s="33">
        <v>43056</v>
      </c>
      <c r="F470" s="34">
        <v>33342.800000000003</v>
      </c>
      <c r="G470" s="34">
        <f t="shared" si="15"/>
        <v>7.1025535443244719E-3</v>
      </c>
    </row>
    <row r="471" spans="1:7" x14ac:dyDescent="0.3">
      <c r="A471" s="33">
        <v>43059</v>
      </c>
      <c r="B471" s="34">
        <v>602.6</v>
      </c>
      <c r="C471" s="34">
        <f t="shared" si="14"/>
        <v>-9.9897631594044189E-3</v>
      </c>
      <c r="E471" s="33">
        <v>43059</v>
      </c>
      <c r="F471" s="34">
        <v>33359.9</v>
      </c>
      <c r="G471" s="34">
        <f t="shared" si="15"/>
        <v>5.1272288451911568E-4</v>
      </c>
    </row>
    <row r="472" spans="1:7" x14ac:dyDescent="0.3">
      <c r="A472" s="33">
        <v>43060</v>
      </c>
      <c r="B472" s="34">
        <v>616.5</v>
      </c>
      <c r="C472" s="34">
        <f t="shared" si="14"/>
        <v>2.2804695908198065E-2</v>
      </c>
      <c r="E472" s="33">
        <v>43060</v>
      </c>
      <c r="F472" s="34">
        <v>33478.35</v>
      </c>
      <c r="G472" s="34">
        <f t="shared" si="15"/>
        <v>3.544381368563413E-3</v>
      </c>
    </row>
    <row r="473" spans="1:7" x14ac:dyDescent="0.3">
      <c r="A473" s="33">
        <v>43061</v>
      </c>
      <c r="B473" s="34">
        <v>618.85</v>
      </c>
      <c r="C473" s="34">
        <f t="shared" si="14"/>
        <v>3.8045943816324185E-3</v>
      </c>
      <c r="E473" s="33">
        <v>43061</v>
      </c>
      <c r="F473" s="34">
        <v>33561.550000000003</v>
      </c>
      <c r="G473" s="34">
        <f t="shared" si="15"/>
        <v>2.4821052154075959E-3</v>
      </c>
    </row>
    <row r="474" spans="1:7" x14ac:dyDescent="0.3">
      <c r="A474" s="33">
        <v>43062</v>
      </c>
      <c r="B474" s="34">
        <v>617.29999999999995</v>
      </c>
      <c r="C474" s="34">
        <f t="shared" si="14"/>
        <v>-2.5077875861812338E-3</v>
      </c>
      <c r="E474" s="33">
        <v>43062</v>
      </c>
      <c r="F474" s="34">
        <v>33588.080000000002</v>
      </c>
      <c r="G474" s="34">
        <f t="shared" si="15"/>
        <v>7.9017565339952562E-4</v>
      </c>
    </row>
    <row r="475" spans="1:7" x14ac:dyDescent="0.3">
      <c r="A475" s="33">
        <v>43063</v>
      </c>
      <c r="B475" s="34">
        <v>614.45000000000005</v>
      </c>
      <c r="C475" s="34">
        <f t="shared" si="14"/>
        <v>-4.6275706692437716E-3</v>
      </c>
      <c r="E475" s="33">
        <v>43063</v>
      </c>
      <c r="F475" s="34">
        <v>33679.24</v>
      </c>
      <c r="G475" s="34">
        <f t="shared" si="15"/>
        <v>2.7103816773548341E-3</v>
      </c>
    </row>
    <row r="476" spans="1:7" x14ac:dyDescent="0.3">
      <c r="A476" s="33">
        <v>43066</v>
      </c>
      <c r="B476" s="34">
        <v>615</v>
      </c>
      <c r="C476" s="34">
        <f t="shared" si="14"/>
        <v>8.9470907591146216E-4</v>
      </c>
      <c r="E476" s="33">
        <v>43066</v>
      </c>
      <c r="F476" s="34">
        <v>33724.44</v>
      </c>
      <c r="G476" s="34">
        <f t="shared" si="15"/>
        <v>1.3411732645836688E-3</v>
      </c>
    </row>
    <row r="477" spans="1:7" x14ac:dyDescent="0.3">
      <c r="A477" s="33">
        <v>43067</v>
      </c>
      <c r="B477" s="34">
        <v>610.5</v>
      </c>
      <c r="C477" s="34">
        <f t="shared" si="14"/>
        <v>-7.343974255758506E-3</v>
      </c>
      <c r="E477" s="33">
        <v>43067</v>
      </c>
      <c r="F477" s="34">
        <v>33618.589999999997</v>
      </c>
      <c r="G477" s="34">
        <f t="shared" si="15"/>
        <v>-3.1436092842846816E-3</v>
      </c>
    </row>
    <row r="478" spans="1:7" x14ac:dyDescent="0.3">
      <c r="A478" s="33">
        <v>43068</v>
      </c>
      <c r="B478" s="34">
        <v>608.5</v>
      </c>
      <c r="C478" s="34">
        <f t="shared" si="14"/>
        <v>-3.281381123177534E-3</v>
      </c>
      <c r="E478" s="33">
        <v>43068</v>
      </c>
      <c r="F478" s="34">
        <v>33602.76</v>
      </c>
      <c r="G478" s="34">
        <f t="shared" si="15"/>
        <v>-4.7098132639754249E-4</v>
      </c>
    </row>
    <row r="479" spans="1:7" x14ac:dyDescent="0.3">
      <c r="A479" s="33">
        <v>43069</v>
      </c>
      <c r="B479" s="34">
        <v>600.35</v>
      </c>
      <c r="C479" s="34">
        <f t="shared" si="14"/>
        <v>-1.3484093950854785E-2</v>
      </c>
      <c r="E479" s="33">
        <v>43069</v>
      </c>
      <c r="F479" s="34">
        <v>33149.35</v>
      </c>
      <c r="G479" s="34">
        <f t="shared" si="15"/>
        <v>-1.3585097856263726E-2</v>
      </c>
    </row>
    <row r="480" spans="1:7" x14ac:dyDescent="0.3">
      <c r="A480" s="33">
        <v>43070</v>
      </c>
      <c r="B480" s="34">
        <v>597.25</v>
      </c>
      <c r="C480" s="34">
        <f t="shared" si="14"/>
        <v>-5.177032270808098E-3</v>
      </c>
      <c r="E480" s="33">
        <v>43070</v>
      </c>
      <c r="F480" s="34">
        <v>32832.94</v>
      </c>
      <c r="G480" s="34">
        <f t="shared" si="15"/>
        <v>-9.5908288537530067E-3</v>
      </c>
    </row>
    <row r="481" spans="1:7" x14ac:dyDescent="0.3">
      <c r="A481" s="33">
        <v>43073</v>
      </c>
      <c r="B481" s="34">
        <v>595.25</v>
      </c>
      <c r="C481" s="34">
        <f t="shared" si="14"/>
        <v>-3.3543008389467581E-3</v>
      </c>
      <c r="E481" s="33">
        <v>43073</v>
      </c>
      <c r="F481" s="34">
        <v>32869.72</v>
      </c>
      <c r="G481" s="34">
        <f t="shared" si="15"/>
        <v>1.1195894912600407E-3</v>
      </c>
    </row>
    <row r="482" spans="1:7" x14ac:dyDescent="0.3">
      <c r="A482" s="33">
        <v>43074</v>
      </c>
      <c r="B482" s="34">
        <v>596.45000000000005</v>
      </c>
      <c r="C482" s="34">
        <f t="shared" si="14"/>
        <v>2.0139303609827621E-3</v>
      </c>
      <c r="E482" s="33">
        <v>43074</v>
      </c>
      <c r="F482" s="34">
        <v>32802.44</v>
      </c>
      <c r="G482" s="34">
        <f t="shared" si="15"/>
        <v>-2.0489663668215325E-3</v>
      </c>
    </row>
    <row r="483" spans="1:7" x14ac:dyDescent="0.3">
      <c r="A483" s="33">
        <v>43075</v>
      </c>
      <c r="B483" s="34">
        <v>595.5</v>
      </c>
      <c r="C483" s="34">
        <f t="shared" si="14"/>
        <v>-1.5940269326001144E-3</v>
      </c>
      <c r="E483" s="33">
        <v>43075</v>
      </c>
      <c r="F483" s="34">
        <v>32597.18</v>
      </c>
      <c r="G483" s="34">
        <f t="shared" si="15"/>
        <v>-6.27712130361242E-3</v>
      </c>
    </row>
    <row r="484" spans="1:7" x14ac:dyDescent="0.3">
      <c r="A484" s="33">
        <v>43076</v>
      </c>
      <c r="B484" s="34">
        <v>592.5</v>
      </c>
      <c r="C484" s="34">
        <f t="shared" si="14"/>
        <v>-5.0505157860685915E-3</v>
      </c>
      <c r="E484" s="33">
        <v>43076</v>
      </c>
      <c r="F484" s="34">
        <v>32949.21</v>
      </c>
      <c r="G484" s="34">
        <f t="shared" si="15"/>
        <v>1.0741503376733682E-2</v>
      </c>
    </row>
    <row r="485" spans="1:7" x14ac:dyDescent="0.3">
      <c r="A485" s="33">
        <v>43077</v>
      </c>
      <c r="B485" s="34">
        <v>603.6</v>
      </c>
      <c r="C485" s="34">
        <f t="shared" si="14"/>
        <v>1.8560853884407591E-2</v>
      </c>
      <c r="E485" s="33">
        <v>43077</v>
      </c>
      <c r="F485" s="34">
        <v>33250.300000000003</v>
      </c>
      <c r="G485" s="34">
        <f t="shared" si="15"/>
        <v>9.0965046772463164E-3</v>
      </c>
    </row>
    <row r="486" spans="1:7" x14ac:dyDescent="0.3">
      <c r="A486" s="33">
        <v>43080</v>
      </c>
      <c r="B486" s="34">
        <v>603.85</v>
      </c>
      <c r="C486" s="34">
        <f t="shared" si="14"/>
        <v>4.1409582769039096E-4</v>
      </c>
      <c r="E486" s="33">
        <v>43080</v>
      </c>
      <c r="F486" s="34">
        <v>33455.79</v>
      </c>
      <c r="G486" s="34">
        <f t="shared" si="15"/>
        <v>6.1610761480224291E-3</v>
      </c>
    </row>
    <row r="487" spans="1:7" x14ac:dyDescent="0.3">
      <c r="A487" s="33">
        <v>43081</v>
      </c>
      <c r="B487" s="34">
        <v>590.75</v>
      </c>
      <c r="C487" s="34">
        <f t="shared" si="14"/>
        <v>-2.1932906654367076E-2</v>
      </c>
      <c r="E487" s="33">
        <v>43081</v>
      </c>
      <c r="F487" s="34">
        <v>33227.99</v>
      </c>
      <c r="G487" s="34">
        <f t="shared" si="15"/>
        <v>-6.8322727397990999E-3</v>
      </c>
    </row>
    <row r="488" spans="1:7" x14ac:dyDescent="0.3">
      <c r="A488" s="33">
        <v>43082</v>
      </c>
      <c r="B488" s="34">
        <v>578.15</v>
      </c>
      <c r="C488" s="34">
        <f t="shared" si="14"/>
        <v>-2.1559565492046438E-2</v>
      </c>
      <c r="E488" s="33">
        <v>43082</v>
      </c>
      <c r="F488" s="34">
        <v>33053.040000000001</v>
      </c>
      <c r="G488" s="34">
        <f t="shared" si="15"/>
        <v>-5.2790491124615167E-3</v>
      </c>
    </row>
    <row r="489" spans="1:7" x14ac:dyDescent="0.3">
      <c r="A489" s="33">
        <v>43083</v>
      </c>
      <c r="B489" s="34">
        <v>590.79999999999995</v>
      </c>
      <c r="C489" s="34">
        <f t="shared" si="14"/>
        <v>2.1644200082253928E-2</v>
      </c>
      <c r="E489" s="33">
        <v>43083</v>
      </c>
      <c r="F489" s="34">
        <v>33246.699999999997</v>
      </c>
      <c r="G489" s="34">
        <f t="shared" si="15"/>
        <v>5.8419701428286423E-3</v>
      </c>
    </row>
    <row r="490" spans="1:7" x14ac:dyDescent="0.3">
      <c r="A490" s="33">
        <v>43084</v>
      </c>
      <c r="B490" s="34">
        <v>575.9</v>
      </c>
      <c r="C490" s="34">
        <f t="shared" si="14"/>
        <v>-2.5543516144598006E-2</v>
      </c>
      <c r="E490" s="33">
        <v>43084</v>
      </c>
      <c r="F490" s="34">
        <v>33462.97</v>
      </c>
      <c r="G490" s="34">
        <f t="shared" si="15"/>
        <v>6.4839402650940549E-3</v>
      </c>
    </row>
    <row r="491" spans="1:7" x14ac:dyDescent="0.3">
      <c r="A491" s="33">
        <v>43087</v>
      </c>
      <c r="B491" s="34">
        <v>590.35</v>
      </c>
      <c r="C491" s="34">
        <f t="shared" si="14"/>
        <v>2.4781546840492098E-2</v>
      </c>
      <c r="E491" s="33">
        <v>43087</v>
      </c>
      <c r="F491" s="34">
        <v>33601.68</v>
      </c>
      <c r="G491" s="34">
        <f t="shared" si="15"/>
        <v>4.1366113979644757E-3</v>
      </c>
    </row>
    <row r="492" spans="1:7" x14ac:dyDescent="0.3">
      <c r="A492" s="33">
        <v>43088</v>
      </c>
      <c r="B492" s="34">
        <v>602.20000000000005</v>
      </c>
      <c r="C492" s="34">
        <f t="shared" si="14"/>
        <v>1.9874034694514684E-2</v>
      </c>
      <c r="E492" s="33">
        <v>43088</v>
      </c>
      <c r="F492" s="34">
        <v>33836.74</v>
      </c>
      <c r="G492" s="34">
        <f t="shared" si="15"/>
        <v>6.9711286808413243E-3</v>
      </c>
    </row>
    <row r="493" spans="1:7" x14ac:dyDescent="0.3">
      <c r="A493" s="33">
        <v>43089</v>
      </c>
      <c r="B493" s="34">
        <v>598.9</v>
      </c>
      <c r="C493" s="34">
        <f t="shared" si="14"/>
        <v>-5.4949767772168642E-3</v>
      </c>
      <c r="E493" s="33">
        <v>43089</v>
      </c>
      <c r="F493" s="34">
        <v>33777.379999999997</v>
      </c>
      <c r="G493" s="34">
        <f t="shared" si="15"/>
        <v>-1.7558467151702363E-3</v>
      </c>
    </row>
    <row r="494" spans="1:7" x14ac:dyDescent="0.3">
      <c r="A494" s="33">
        <v>43090</v>
      </c>
      <c r="B494" s="34">
        <v>598.45000000000005</v>
      </c>
      <c r="C494" s="34">
        <f t="shared" si="14"/>
        <v>-7.5165995103718152E-4</v>
      </c>
      <c r="E494" s="33">
        <v>43090</v>
      </c>
      <c r="F494" s="34">
        <v>33756.28</v>
      </c>
      <c r="G494" s="34">
        <f t="shared" si="15"/>
        <v>-6.2487360189189057E-4</v>
      </c>
    </row>
    <row r="495" spans="1:7" x14ac:dyDescent="0.3">
      <c r="A495" s="33">
        <v>43091</v>
      </c>
      <c r="B495" s="34">
        <v>599.5</v>
      </c>
      <c r="C495" s="34">
        <f t="shared" si="14"/>
        <v>1.7529951481893623E-3</v>
      </c>
      <c r="E495" s="33">
        <v>43091</v>
      </c>
      <c r="F495" s="34">
        <v>33940.300000000003</v>
      </c>
      <c r="G495" s="34">
        <f t="shared" si="15"/>
        <v>5.4366248119086932E-3</v>
      </c>
    </row>
    <row r="496" spans="1:7" x14ac:dyDescent="0.3">
      <c r="A496" s="33">
        <v>43095</v>
      </c>
      <c r="B496" s="34">
        <v>610.95000000000005</v>
      </c>
      <c r="C496" s="34">
        <f t="shared" si="14"/>
        <v>1.891914829496243E-2</v>
      </c>
      <c r="E496" s="33">
        <v>43095</v>
      </c>
      <c r="F496" s="34">
        <v>34010.61</v>
      </c>
      <c r="G496" s="34">
        <f t="shared" si="15"/>
        <v>2.0694358645751676E-3</v>
      </c>
    </row>
    <row r="497" spans="1:7" x14ac:dyDescent="0.3">
      <c r="A497" s="33">
        <v>43096</v>
      </c>
      <c r="B497" s="34">
        <v>612.29999999999995</v>
      </c>
      <c r="C497" s="34">
        <f t="shared" si="14"/>
        <v>2.2072357213773646E-3</v>
      </c>
      <c r="E497" s="33">
        <v>43096</v>
      </c>
      <c r="F497" s="34">
        <v>33911.81</v>
      </c>
      <c r="G497" s="34">
        <f t="shared" si="15"/>
        <v>-2.9092034613171637E-3</v>
      </c>
    </row>
    <row r="498" spans="1:7" x14ac:dyDescent="0.3">
      <c r="A498" s="33">
        <v>43097</v>
      </c>
      <c r="B498" s="34">
        <v>605.04999999999995</v>
      </c>
      <c r="C498" s="34">
        <f t="shared" si="14"/>
        <v>-1.1911259239847318E-2</v>
      </c>
      <c r="E498" s="33">
        <v>43097</v>
      </c>
      <c r="F498" s="34">
        <v>33848.03</v>
      </c>
      <c r="G498" s="34">
        <f t="shared" si="15"/>
        <v>-1.8825315654806677E-3</v>
      </c>
    </row>
    <row r="499" spans="1:7" x14ac:dyDescent="0.3">
      <c r="A499" s="33">
        <v>43098</v>
      </c>
      <c r="B499" s="34">
        <v>607.15</v>
      </c>
      <c r="C499" s="34">
        <f t="shared" si="14"/>
        <v>3.4647782557665186E-3</v>
      </c>
      <c r="E499" s="33">
        <v>43098</v>
      </c>
      <c r="F499" s="34">
        <v>34056.83</v>
      </c>
      <c r="G499" s="34">
        <f t="shared" si="15"/>
        <v>6.1498001194114941E-3</v>
      </c>
    </row>
    <row r="500" spans="1:7" x14ac:dyDescent="0.3">
      <c r="A500" s="33">
        <v>43101</v>
      </c>
      <c r="B500" s="34">
        <v>611.75</v>
      </c>
      <c r="C500" s="34">
        <f t="shared" si="14"/>
        <v>7.5478248229531829E-3</v>
      </c>
      <c r="E500" s="33">
        <v>43101</v>
      </c>
      <c r="F500" s="34">
        <v>33812.75</v>
      </c>
      <c r="G500" s="34">
        <f t="shared" si="15"/>
        <v>-7.1926495573680204E-3</v>
      </c>
    </row>
    <row r="501" spans="1:7" x14ac:dyDescent="0.3">
      <c r="A501" s="33">
        <v>43102</v>
      </c>
      <c r="B501" s="34">
        <v>606.85</v>
      </c>
      <c r="C501" s="34">
        <f t="shared" si="14"/>
        <v>-8.0420587704105127E-3</v>
      </c>
      <c r="E501" s="33">
        <v>43102</v>
      </c>
      <c r="F501" s="34">
        <v>33812.26</v>
      </c>
      <c r="G501" s="34">
        <f t="shared" si="15"/>
        <v>-1.4491679927500413E-5</v>
      </c>
    </row>
    <row r="502" spans="1:7" x14ac:dyDescent="0.3">
      <c r="A502" s="33">
        <v>43103</v>
      </c>
      <c r="B502" s="34">
        <v>607.04999999999995</v>
      </c>
      <c r="C502" s="34">
        <f t="shared" si="14"/>
        <v>3.2951643761362738E-4</v>
      </c>
      <c r="E502" s="33">
        <v>43103</v>
      </c>
      <c r="F502" s="34">
        <v>33793.379999999997</v>
      </c>
      <c r="G502" s="34">
        <f t="shared" si="15"/>
        <v>-5.585332966545868E-4</v>
      </c>
    </row>
    <row r="503" spans="1:7" x14ac:dyDescent="0.3">
      <c r="A503" s="33">
        <v>43104</v>
      </c>
      <c r="B503" s="34">
        <v>614.9</v>
      </c>
      <c r="C503" s="34">
        <f t="shared" si="14"/>
        <v>1.2848492969439853E-2</v>
      </c>
      <c r="E503" s="33">
        <v>43104</v>
      </c>
      <c r="F503" s="34">
        <v>33969.64</v>
      </c>
      <c r="G503" s="34">
        <f t="shared" si="15"/>
        <v>5.2022592121054641E-3</v>
      </c>
    </row>
    <row r="504" spans="1:7" x14ac:dyDescent="0.3">
      <c r="A504" s="33">
        <v>43105</v>
      </c>
      <c r="B504" s="34">
        <v>613</v>
      </c>
      <c r="C504" s="34">
        <f t="shared" si="14"/>
        <v>-3.0947170232125698E-3</v>
      </c>
      <c r="E504" s="33">
        <v>43105</v>
      </c>
      <c r="F504" s="34">
        <v>34153.85</v>
      </c>
      <c r="G504" s="34">
        <f t="shared" si="15"/>
        <v>5.4081330530619132E-3</v>
      </c>
    </row>
    <row r="505" spans="1:7" x14ac:dyDescent="0.3">
      <c r="A505" s="33">
        <v>43108</v>
      </c>
      <c r="B505" s="34">
        <v>613.45000000000005</v>
      </c>
      <c r="C505" s="34">
        <f t="shared" si="14"/>
        <v>7.3382530098061425E-4</v>
      </c>
      <c r="E505" s="33">
        <v>43108</v>
      </c>
      <c r="F505" s="34">
        <v>34352.79</v>
      </c>
      <c r="G505" s="34">
        <f t="shared" si="15"/>
        <v>5.8079204941020972E-3</v>
      </c>
    </row>
    <row r="506" spans="1:7" x14ac:dyDescent="0.3">
      <c r="A506" s="33">
        <v>43109</v>
      </c>
      <c r="B506" s="34">
        <v>613.25</v>
      </c>
      <c r="C506" s="34">
        <f t="shared" si="14"/>
        <v>-3.2607809859323578E-4</v>
      </c>
      <c r="E506" s="33">
        <v>43109</v>
      </c>
      <c r="F506" s="34">
        <v>34443.19</v>
      </c>
      <c r="G506" s="34">
        <f t="shared" si="15"/>
        <v>2.6280620475367302E-3</v>
      </c>
    </row>
    <row r="507" spans="1:7" x14ac:dyDescent="0.3">
      <c r="A507" s="33">
        <v>43110</v>
      </c>
      <c r="B507" s="34">
        <v>618.1</v>
      </c>
      <c r="C507" s="34">
        <f t="shared" si="14"/>
        <v>7.8775735266289892E-3</v>
      </c>
      <c r="E507" s="33">
        <v>43110</v>
      </c>
      <c r="F507" s="34">
        <v>34433.07</v>
      </c>
      <c r="G507" s="34">
        <f t="shared" si="15"/>
        <v>-2.9386032496035345E-4</v>
      </c>
    </row>
    <row r="508" spans="1:7" x14ac:dyDescent="0.3">
      <c r="A508" s="33">
        <v>43111</v>
      </c>
      <c r="B508" s="34">
        <v>612.65</v>
      </c>
      <c r="C508" s="34">
        <f t="shared" si="14"/>
        <v>-8.8564462697721842E-3</v>
      </c>
      <c r="E508" s="33">
        <v>43111</v>
      </c>
      <c r="F508" s="34">
        <v>34503.49</v>
      </c>
      <c r="G508" s="34">
        <f t="shared" si="15"/>
        <v>2.0430385413620906E-3</v>
      </c>
    </row>
    <row r="509" spans="1:7" x14ac:dyDescent="0.3">
      <c r="A509" s="33">
        <v>43112</v>
      </c>
      <c r="B509" s="34">
        <v>610.5</v>
      </c>
      <c r="C509" s="34">
        <f t="shared" si="14"/>
        <v>-3.5155168446961782E-3</v>
      </c>
      <c r="E509" s="33">
        <v>43112</v>
      </c>
      <c r="F509" s="34">
        <v>34592.39</v>
      </c>
      <c r="G509" s="34">
        <f t="shared" si="15"/>
        <v>2.5732373349799911E-3</v>
      </c>
    </row>
    <row r="510" spans="1:7" x14ac:dyDescent="0.3">
      <c r="A510" s="33">
        <v>43115</v>
      </c>
      <c r="B510" s="34">
        <v>608.65</v>
      </c>
      <c r="C510" s="34">
        <f t="shared" si="14"/>
        <v>-3.034903695154047E-3</v>
      </c>
      <c r="E510" s="33">
        <v>43115</v>
      </c>
      <c r="F510" s="34">
        <v>34843.51</v>
      </c>
      <c r="G510" s="34">
        <f t="shared" si="15"/>
        <v>7.2331775020795692E-3</v>
      </c>
    </row>
    <row r="511" spans="1:7" x14ac:dyDescent="0.3">
      <c r="A511" s="33">
        <v>43116</v>
      </c>
      <c r="B511" s="34">
        <v>601.20000000000005</v>
      </c>
      <c r="C511" s="34">
        <f t="shared" si="14"/>
        <v>-1.2315731976785843E-2</v>
      </c>
      <c r="E511" s="33">
        <v>43116</v>
      </c>
      <c r="F511" s="34">
        <v>34771.050000000003</v>
      </c>
      <c r="G511" s="34">
        <f t="shared" si="15"/>
        <v>-2.0817491676511455E-3</v>
      </c>
    </row>
    <row r="512" spans="1:7" x14ac:dyDescent="0.3">
      <c r="A512" s="33">
        <v>43117</v>
      </c>
      <c r="B512" s="34">
        <v>606.20000000000005</v>
      </c>
      <c r="C512" s="34">
        <f t="shared" si="14"/>
        <v>8.2823067448834602E-3</v>
      </c>
      <c r="E512" s="33">
        <v>43117</v>
      </c>
      <c r="F512" s="34">
        <v>35081.82</v>
      </c>
      <c r="G512" s="34">
        <f t="shared" si="15"/>
        <v>8.8979035613561356E-3</v>
      </c>
    </row>
    <row r="513" spans="1:7" x14ac:dyDescent="0.3">
      <c r="A513" s="33">
        <v>43118</v>
      </c>
      <c r="B513" s="34">
        <v>603.20000000000005</v>
      </c>
      <c r="C513" s="34">
        <f t="shared" si="14"/>
        <v>-4.9611479299564382E-3</v>
      </c>
      <c r="E513" s="33">
        <v>43118</v>
      </c>
      <c r="F513" s="34">
        <v>35260.29</v>
      </c>
      <c r="G513" s="34">
        <f t="shared" si="15"/>
        <v>5.0743539809327025E-3</v>
      </c>
    </row>
    <row r="514" spans="1:7" x14ac:dyDescent="0.3">
      <c r="A514" s="33">
        <v>43119</v>
      </c>
      <c r="B514" s="34">
        <v>602.04999999999995</v>
      </c>
      <c r="C514" s="34">
        <f t="shared" si="14"/>
        <v>-1.9083183555183934E-3</v>
      </c>
      <c r="E514" s="33">
        <v>43119</v>
      </c>
      <c r="F514" s="34">
        <v>35511.58</v>
      </c>
      <c r="G514" s="34">
        <f t="shared" si="15"/>
        <v>7.101438920702227E-3</v>
      </c>
    </row>
    <row r="515" spans="1:7" x14ac:dyDescent="0.3">
      <c r="A515" s="33">
        <v>43122</v>
      </c>
      <c r="B515" s="34">
        <v>601.1</v>
      </c>
      <c r="C515" s="34">
        <f t="shared" si="14"/>
        <v>-1.5791882931115307E-3</v>
      </c>
      <c r="E515" s="33">
        <v>43122</v>
      </c>
      <c r="F515" s="34">
        <v>35798.01</v>
      </c>
      <c r="G515" s="34">
        <f t="shared" si="15"/>
        <v>8.0334647957495519E-3</v>
      </c>
    </row>
    <row r="516" spans="1:7" x14ac:dyDescent="0.3">
      <c r="A516" s="33">
        <v>43123</v>
      </c>
      <c r="B516" s="34">
        <v>622.6</v>
      </c>
      <c r="C516" s="34">
        <f t="shared" si="14"/>
        <v>3.5142947962391417E-2</v>
      </c>
      <c r="E516" s="33">
        <v>43123</v>
      </c>
      <c r="F516" s="34">
        <v>36139.980000000003</v>
      </c>
      <c r="G516" s="34">
        <f t="shared" si="15"/>
        <v>9.5074264910143414E-3</v>
      </c>
    </row>
    <row r="517" spans="1:7" x14ac:dyDescent="0.3">
      <c r="A517" s="33">
        <v>43124</v>
      </c>
      <c r="B517" s="34">
        <v>617.65</v>
      </c>
      <c r="C517" s="34">
        <f t="shared" si="14"/>
        <v>-7.9823040246851194E-3</v>
      </c>
      <c r="E517" s="33">
        <v>43124</v>
      </c>
      <c r="F517" s="34">
        <v>36161.64</v>
      </c>
      <c r="G517" s="34">
        <f t="shared" si="15"/>
        <v>5.9915671731762326E-4</v>
      </c>
    </row>
    <row r="518" spans="1:7" x14ac:dyDescent="0.3">
      <c r="A518" s="33">
        <v>43125</v>
      </c>
      <c r="B518" s="34">
        <v>621.29999999999995</v>
      </c>
      <c r="C518" s="34">
        <f t="shared" si="14"/>
        <v>5.8921030868253708E-3</v>
      </c>
      <c r="E518" s="33">
        <v>43125</v>
      </c>
      <c r="F518" s="34">
        <v>36050.44</v>
      </c>
      <c r="G518" s="34">
        <f t="shared" si="15"/>
        <v>-3.0798195508837645E-3</v>
      </c>
    </row>
    <row r="519" spans="1:7" x14ac:dyDescent="0.3">
      <c r="A519" s="33">
        <v>43129</v>
      </c>
      <c r="B519" s="34">
        <v>612.54999999999995</v>
      </c>
      <c r="C519" s="34">
        <f t="shared" ref="C519:C582" si="16">LN(B519/B518)</f>
        <v>-1.4183485329468604E-2</v>
      </c>
      <c r="E519" s="33">
        <v>43129</v>
      </c>
      <c r="F519" s="34">
        <v>36283.25</v>
      </c>
      <c r="G519" s="34">
        <f t="shared" ref="G519:G582" si="17">LN(F519/F518)</f>
        <v>6.4371333442458881E-3</v>
      </c>
    </row>
    <row r="520" spans="1:7" x14ac:dyDescent="0.3">
      <c r="A520" s="33">
        <v>43130</v>
      </c>
      <c r="B520" s="34">
        <v>606.54999999999995</v>
      </c>
      <c r="C520" s="34">
        <f t="shared" si="16"/>
        <v>-9.8434065232512139E-3</v>
      </c>
      <c r="E520" s="33">
        <v>43130</v>
      </c>
      <c r="F520" s="34">
        <v>36033.730000000003</v>
      </c>
      <c r="G520" s="34">
        <f t="shared" si="17"/>
        <v>-6.9007580290918928E-3</v>
      </c>
    </row>
    <row r="521" spans="1:7" x14ac:dyDescent="0.3">
      <c r="A521" s="33">
        <v>43131</v>
      </c>
      <c r="B521" s="34">
        <v>587.45000000000005</v>
      </c>
      <c r="C521" s="34">
        <f t="shared" si="16"/>
        <v>-3.1996029203346654E-2</v>
      </c>
      <c r="E521" s="33">
        <v>43131</v>
      </c>
      <c r="F521" s="34">
        <v>35965.019999999997</v>
      </c>
      <c r="G521" s="34">
        <f t="shared" si="17"/>
        <v>-1.9086448267168234E-3</v>
      </c>
    </row>
    <row r="522" spans="1:7" x14ac:dyDescent="0.3">
      <c r="A522" s="33">
        <v>43132</v>
      </c>
      <c r="B522" s="34">
        <v>586.75</v>
      </c>
      <c r="C522" s="34">
        <f t="shared" si="16"/>
        <v>-1.1923012824487547E-3</v>
      </c>
      <c r="E522" s="33">
        <v>43132</v>
      </c>
      <c r="F522" s="34">
        <v>35906.660000000003</v>
      </c>
      <c r="G522" s="34">
        <f t="shared" si="17"/>
        <v>-1.6240058066410528E-3</v>
      </c>
    </row>
    <row r="523" spans="1:7" x14ac:dyDescent="0.3">
      <c r="A523" s="33">
        <v>43133</v>
      </c>
      <c r="B523" s="34">
        <v>579.1</v>
      </c>
      <c r="C523" s="34">
        <f t="shared" si="16"/>
        <v>-1.3123660499388703E-2</v>
      </c>
      <c r="E523" s="33">
        <v>43133</v>
      </c>
      <c r="F523" s="34">
        <v>35066.75</v>
      </c>
      <c r="G523" s="34">
        <f t="shared" si="17"/>
        <v>-2.3669405550196834E-2</v>
      </c>
    </row>
    <row r="524" spans="1:7" x14ac:dyDescent="0.3">
      <c r="A524" s="33">
        <v>43136</v>
      </c>
      <c r="B524" s="34">
        <v>580.1</v>
      </c>
      <c r="C524" s="34">
        <f t="shared" si="16"/>
        <v>1.7253282402745038E-3</v>
      </c>
      <c r="E524" s="33">
        <v>43136</v>
      </c>
      <c r="F524" s="34">
        <v>34757.160000000003</v>
      </c>
      <c r="G524" s="34">
        <f t="shared" si="17"/>
        <v>-8.8677941062404279E-3</v>
      </c>
    </row>
    <row r="525" spans="1:7" x14ac:dyDescent="0.3">
      <c r="A525" s="33">
        <v>43137</v>
      </c>
      <c r="B525" s="34">
        <v>565.65</v>
      </c>
      <c r="C525" s="34">
        <f t="shared" si="16"/>
        <v>-2.5224990099542859E-2</v>
      </c>
      <c r="E525" s="33">
        <v>43137</v>
      </c>
      <c r="F525" s="34">
        <v>34195.94</v>
      </c>
      <c r="G525" s="34">
        <f t="shared" si="17"/>
        <v>-1.627867038102343E-2</v>
      </c>
    </row>
    <row r="526" spans="1:7" x14ac:dyDescent="0.3">
      <c r="A526" s="33">
        <v>43138</v>
      </c>
      <c r="B526" s="34">
        <v>569.15</v>
      </c>
      <c r="C526" s="34">
        <f t="shared" si="16"/>
        <v>6.1685073987499403E-3</v>
      </c>
      <c r="E526" s="33">
        <v>43138</v>
      </c>
      <c r="F526" s="34">
        <v>34082.71</v>
      </c>
      <c r="G526" s="34">
        <f t="shared" si="17"/>
        <v>-3.316705992260614E-3</v>
      </c>
    </row>
    <row r="527" spans="1:7" x14ac:dyDescent="0.3">
      <c r="A527" s="33">
        <v>43139</v>
      </c>
      <c r="B527" s="34">
        <v>613.70000000000005</v>
      </c>
      <c r="C527" s="34">
        <f t="shared" si="16"/>
        <v>7.5362189623825834E-2</v>
      </c>
      <c r="E527" s="33">
        <v>43139</v>
      </c>
      <c r="F527" s="34">
        <v>34413.160000000003</v>
      </c>
      <c r="G527" s="34">
        <f t="shared" si="17"/>
        <v>9.648831783172572E-3</v>
      </c>
    </row>
    <row r="528" spans="1:7" x14ac:dyDescent="0.3">
      <c r="A528" s="33">
        <v>43140</v>
      </c>
      <c r="B528" s="34">
        <v>621.9</v>
      </c>
      <c r="C528" s="34">
        <f t="shared" si="16"/>
        <v>1.3273098714792167E-2</v>
      </c>
      <c r="E528" s="33">
        <v>43140</v>
      </c>
      <c r="F528" s="34">
        <v>34005.760000000002</v>
      </c>
      <c r="G528" s="34">
        <f t="shared" si="17"/>
        <v>-1.1909127329864964E-2</v>
      </c>
    </row>
    <row r="529" spans="1:7" x14ac:dyDescent="0.3">
      <c r="A529" s="33">
        <v>43143</v>
      </c>
      <c r="B529" s="34">
        <v>621.20000000000005</v>
      </c>
      <c r="C529" s="34">
        <f t="shared" si="16"/>
        <v>-1.1262168353114899E-3</v>
      </c>
      <c r="E529" s="33">
        <v>43143</v>
      </c>
      <c r="F529" s="34">
        <v>34300.47</v>
      </c>
      <c r="G529" s="34">
        <f t="shared" si="17"/>
        <v>8.6291346696060322E-3</v>
      </c>
    </row>
    <row r="530" spans="1:7" x14ac:dyDescent="0.3">
      <c r="A530" s="33">
        <v>43145</v>
      </c>
      <c r="B530" s="34">
        <v>616.95000000000005</v>
      </c>
      <c r="C530" s="34">
        <f t="shared" si="16"/>
        <v>-6.8651079299891756E-3</v>
      </c>
      <c r="E530" s="33">
        <v>43145</v>
      </c>
      <c r="F530" s="34">
        <v>34155.949999999997</v>
      </c>
      <c r="G530" s="34">
        <f t="shared" si="17"/>
        <v>-4.222254529280451E-3</v>
      </c>
    </row>
    <row r="531" spans="1:7" x14ac:dyDescent="0.3">
      <c r="A531" s="33">
        <v>43146</v>
      </c>
      <c r="B531" s="34">
        <v>606.85</v>
      </c>
      <c r="C531" s="34">
        <f t="shared" si="16"/>
        <v>-1.6506339792172336E-2</v>
      </c>
      <c r="E531" s="33">
        <v>43146</v>
      </c>
      <c r="F531" s="34">
        <v>34297.47</v>
      </c>
      <c r="G531" s="34">
        <f t="shared" si="17"/>
        <v>4.1347883458379177E-3</v>
      </c>
    </row>
    <row r="532" spans="1:7" x14ac:dyDescent="0.3">
      <c r="A532" s="33">
        <v>43147</v>
      </c>
      <c r="B532" s="34">
        <v>609.95000000000005</v>
      </c>
      <c r="C532" s="34">
        <f t="shared" si="16"/>
        <v>5.0953430423760371E-3</v>
      </c>
      <c r="E532" s="33">
        <v>43147</v>
      </c>
      <c r="F532" s="34">
        <v>34010.76</v>
      </c>
      <c r="G532" s="34">
        <f t="shared" si="17"/>
        <v>-8.394645380335462E-3</v>
      </c>
    </row>
    <row r="533" spans="1:7" x14ac:dyDescent="0.3">
      <c r="A533" s="33">
        <v>43150</v>
      </c>
      <c r="B533" s="34">
        <v>599.95000000000005</v>
      </c>
      <c r="C533" s="34">
        <f t="shared" si="16"/>
        <v>-1.6530668184348674E-2</v>
      </c>
      <c r="E533" s="33">
        <v>43150</v>
      </c>
      <c r="F533" s="34">
        <v>33774.660000000003</v>
      </c>
      <c r="G533" s="34">
        <f t="shared" si="17"/>
        <v>-6.9661279598693913E-3</v>
      </c>
    </row>
    <row r="534" spans="1:7" x14ac:dyDescent="0.3">
      <c r="A534" s="33">
        <v>43151</v>
      </c>
      <c r="B534" s="34">
        <v>601.9</v>
      </c>
      <c r="C534" s="34">
        <f t="shared" si="16"/>
        <v>3.2450001433271367E-3</v>
      </c>
      <c r="E534" s="33">
        <v>43151</v>
      </c>
      <c r="F534" s="34">
        <v>33703.589999999997</v>
      </c>
      <c r="G534" s="34">
        <f t="shared" si="17"/>
        <v>-2.1064573037711605E-3</v>
      </c>
    </row>
    <row r="535" spans="1:7" x14ac:dyDescent="0.3">
      <c r="A535" s="33">
        <v>43152</v>
      </c>
      <c r="B535" s="34">
        <v>596.85</v>
      </c>
      <c r="C535" s="34">
        <f t="shared" si="16"/>
        <v>-8.425493012677733E-3</v>
      </c>
      <c r="E535" s="33">
        <v>43152</v>
      </c>
      <c r="F535" s="34">
        <v>33844.86</v>
      </c>
      <c r="G535" s="34">
        <f t="shared" si="17"/>
        <v>4.1827815728598793E-3</v>
      </c>
    </row>
    <row r="536" spans="1:7" x14ac:dyDescent="0.3">
      <c r="A536" s="33">
        <v>43153</v>
      </c>
      <c r="B536" s="34">
        <v>589.85</v>
      </c>
      <c r="C536" s="34">
        <f t="shared" si="16"/>
        <v>-1.1797558253195803E-2</v>
      </c>
      <c r="E536" s="33">
        <v>43153</v>
      </c>
      <c r="F536" s="34">
        <v>33819.5</v>
      </c>
      <c r="G536" s="34">
        <f t="shared" si="17"/>
        <v>-7.4958223760413151E-4</v>
      </c>
    </row>
    <row r="537" spans="1:7" x14ac:dyDescent="0.3">
      <c r="A537" s="33">
        <v>43154</v>
      </c>
      <c r="B537" s="34">
        <v>595.15</v>
      </c>
      <c r="C537" s="34">
        <f t="shared" si="16"/>
        <v>8.9452073260372997E-3</v>
      </c>
      <c r="E537" s="33">
        <v>43154</v>
      </c>
      <c r="F537" s="34">
        <v>34142.15</v>
      </c>
      <c r="G537" s="34">
        <f t="shared" si="17"/>
        <v>9.4951321548864681E-3</v>
      </c>
    </row>
    <row r="538" spans="1:7" x14ac:dyDescent="0.3">
      <c r="A538" s="33">
        <v>43157</v>
      </c>
      <c r="B538" s="34">
        <v>591.04999999999995</v>
      </c>
      <c r="C538" s="34">
        <f t="shared" si="16"/>
        <v>-6.9128584175028101E-3</v>
      </c>
      <c r="E538" s="33">
        <v>43157</v>
      </c>
      <c r="F538" s="34">
        <v>34445.75</v>
      </c>
      <c r="G538" s="34">
        <f t="shared" si="17"/>
        <v>8.8529312858255053E-3</v>
      </c>
    </row>
    <row r="539" spans="1:7" x14ac:dyDescent="0.3">
      <c r="A539" s="33">
        <v>43158</v>
      </c>
      <c r="B539" s="34">
        <v>586.15</v>
      </c>
      <c r="C539" s="34">
        <f t="shared" si="16"/>
        <v>-8.3248866785486878E-3</v>
      </c>
      <c r="E539" s="33">
        <v>43158</v>
      </c>
      <c r="F539" s="34">
        <v>34346.39</v>
      </c>
      <c r="G539" s="34">
        <f t="shared" si="17"/>
        <v>-2.8887041192023604E-3</v>
      </c>
    </row>
    <row r="540" spans="1:7" x14ac:dyDescent="0.3">
      <c r="A540" s="33">
        <v>43159</v>
      </c>
      <c r="B540" s="34">
        <v>589.35</v>
      </c>
      <c r="C540" s="34">
        <f t="shared" si="16"/>
        <v>5.444505154741301E-3</v>
      </c>
      <c r="E540" s="33">
        <v>43159</v>
      </c>
      <c r="F540" s="34">
        <v>34184.04</v>
      </c>
      <c r="G540" s="34">
        <f t="shared" si="17"/>
        <v>-4.7380500521519943E-3</v>
      </c>
    </row>
    <row r="541" spans="1:7" x14ac:dyDescent="0.3">
      <c r="A541" s="33">
        <v>43160</v>
      </c>
      <c r="B541" s="34">
        <v>581.9</v>
      </c>
      <c r="C541" s="34">
        <f t="shared" si="16"/>
        <v>-1.2721623009954346E-2</v>
      </c>
      <c r="E541" s="33">
        <v>43160</v>
      </c>
      <c r="F541" s="34">
        <v>34046.94</v>
      </c>
      <c r="G541" s="34">
        <f t="shared" si="17"/>
        <v>-4.0187077633601709E-3</v>
      </c>
    </row>
    <row r="542" spans="1:7" x14ac:dyDescent="0.3">
      <c r="A542" s="33">
        <v>43164</v>
      </c>
      <c r="B542" s="34">
        <v>579.4</v>
      </c>
      <c r="C542" s="34">
        <f t="shared" si="16"/>
        <v>-4.3055263273741873E-3</v>
      </c>
      <c r="E542" s="33">
        <v>43164</v>
      </c>
      <c r="F542" s="34">
        <v>33746.78</v>
      </c>
      <c r="G542" s="34">
        <f t="shared" si="17"/>
        <v>-8.8551553562001093E-3</v>
      </c>
    </row>
    <row r="543" spans="1:7" x14ac:dyDescent="0.3">
      <c r="A543" s="33">
        <v>43165</v>
      </c>
      <c r="B543" s="34">
        <v>582.75</v>
      </c>
      <c r="C543" s="34">
        <f t="shared" si="16"/>
        <v>5.7651925806164453E-3</v>
      </c>
      <c r="E543" s="33">
        <v>43165</v>
      </c>
      <c r="F543" s="34">
        <v>33317.199999999997</v>
      </c>
      <c r="G543" s="34">
        <f t="shared" si="17"/>
        <v>-1.2811225205380625E-2</v>
      </c>
    </row>
    <row r="544" spans="1:7" x14ac:dyDescent="0.3">
      <c r="A544" s="33">
        <v>43166</v>
      </c>
      <c r="B544" s="34">
        <v>580.04999999999995</v>
      </c>
      <c r="C544" s="34">
        <f t="shared" si="16"/>
        <v>-4.6439711944508168E-3</v>
      </c>
      <c r="E544" s="33">
        <v>43166</v>
      </c>
      <c r="F544" s="34">
        <v>33033.089999999997</v>
      </c>
      <c r="G544" s="34">
        <f t="shared" si="17"/>
        <v>-8.5639938101434079E-3</v>
      </c>
    </row>
    <row r="545" spans="1:7" x14ac:dyDescent="0.3">
      <c r="A545" s="33">
        <v>43167</v>
      </c>
      <c r="B545" s="34">
        <v>576.70000000000005</v>
      </c>
      <c r="C545" s="34">
        <f t="shared" si="16"/>
        <v>-5.7921061000486595E-3</v>
      </c>
      <c r="E545" s="33">
        <v>43167</v>
      </c>
      <c r="F545" s="34">
        <v>33351.57</v>
      </c>
      <c r="G545" s="34">
        <f t="shared" si="17"/>
        <v>9.5950613713088953E-3</v>
      </c>
    </row>
    <row r="546" spans="1:7" x14ac:dyDescent="0.3">
      <c r="A546" s="33">
        <v>43168</v>
      </c>
      <c r="B546" s="34">
        <v>573.35</v>
      </c>
      <c r="C546" s="34">
        <f t="shared" si="16"/>
        <v>-5.8258501370535851E-3</v>
      </c>
      <c r="E546" s="33">
        <v>43168</v>
      </c>
      <c r="F546" s="34">
        <v>33307.14</v>
      </c>
      <c r="G546" s="34">
        <f t="shared" si="17"/>
        <v>-1.3330592980127683E-3</v>
      </c>
    </row>
    <row r="547" spans="1:7" x14ac:dyDescent="0.3">
      <c r="A547" s="33">
        <v>43171</v>
      </c>
      <c r="B547" s="34">
        <v>579.4</v>
      </c>
      <c r="C547" s="34">
        <f t="shared" si="16"/>
        <v>1.0496734850936586E-2</v>
      </c>
      <c r="E547" s="33">
        <v>43171</v>
      </c>
      <c r="F547" s="34">
        <v>33917.94</v>
      </c>
      <c r="G547" s="34">
        <f t="shared" si="17"/>
        <v>1.8172289530089706E-2</v>
      </c>
    </row>
    <row r="548" spans="1:7" x14ac:dyDescent="0.3">
      <c r="A548" s="33">
        <v>43172</v>
      </c>
      <c r="B548" s="34">
        <v>578.45000000000005</v>
      </c>
      <c r="C548" s="34">
        <f t="shared" si="16"/>
        <v>-1.6409728603520434E-3</v>
      </c>
      <c r="E548" s="33">
        <v>43172</v>
      </c>
      <c r="F548" s="34">
        <v>33856.78</v>
      </c>
      <c r="G548" s="34">
        <f t="shared" si="17"/>
        <v>-1.8048032246079321E-3</v>
      </c>
    </row>
    <row r="549" spans="1:7" x14ac:dyDescent="0.3">
      <c r="A549" s="33">
        <v>43173</v>
      </c>
      <c r="B549" s="34">
        <v>577.70000000000005</v>
      </c>
      <c r="C549" s="34">
        <f t="shared" si="16"/>
        <v>-1.2974096876781037E-3</v>
      </c>
      <c r="E549" s="33">
        <v>43173</v>
      </c>
      <c r="F549" s="34">
        <v>33835.74</v>
      </c>
      <c r="G549" s="34">
        <f t="shared" si="17"/>
        <v>-6.2163443398295887E-4</v>
      </c>
    </row>
    <row r="550" spans="1:7" x14ac:dyDescent="0.3">
      <c r="A550" s="33">
        <v>43174</v>
      </c>
      <c r="B550" s="34">
        <v>571.25</v>
      </c>
      <c r="C550" s="34">
        <f t="shared" si="16"/>
        <v>-1.1227760578805451E-2</v>
      </c>
      <c r="E550" s="33">
        <v>43174</v>
      </c>
      <c r="F550" s="34">
        <v>33685.54</v>
      </c>
      <c r="G550" s="34">
        <f t="shared" si="17"/>
        <v>-4.4489751304196724E-3</v>
      </c>
    </row>
    <row r="551" spans="1:7" x14ac:dyDescent="0.3">
      <c r="A551" s="33">
        <v>43175</v>
      </c>
      <c r="B551" s="34">
        <v>559</v>
      </c>
      <c r="C551" s="34">
        <f t="shared" si="16"/>
        <v>-2.167746905331526E-2</v>
      </c>
      <c r="E551" s="33">
        <v>43175</v>
      </c>
      <c r="F551" s="34">
        <v>33176</v>
      </c>
      <c r="G551" s="34">
        <f t="shared" si="17"/>
        <v>-1.5241942214326256E-2</v>
      </c>
    </row>
    <row r="552" spans="1:7" x14ac:dyDescent="0.3">
      <c r="A552" s="33">
        <v>43178</v>
      </c>
      <c r="B552" s="34">
        <v>559.35</v>
      </c>
      <c r="C552" s="34">
        <f t="shared" si="16"/>
        <v>6.2592213784032997E-4</v>
      </c>
      <c r="E552" s="33">
        <v>43178</v>
      </c>
      <c r="F552" s="34">
        <v>32923.120000000003</v>
      </c>
      <c r="G552" s="34">
        <f t="shared" si="17"/>
        <v>-7.6515764134610165E-3</v>
      </c>
    </row>
    <row r="553" spans="1:7" x14ac:dyDescent="0.3">
      <c r="A553" s="33">
        <v>43179</v>
      </c>
      <c r="B553" s="34">
        <v>552.5</v>
      </c>
      <c r="C553" s="34">
        <f t="shared" si="16"/>
        <v>-1.2321961901031615E-2</v>
      </c>
      <c r="E553" s="33">
        <v>43179</v>
      </c>
      <c r="F553" s="34">
        <v>32996.76</v>
      </c>
      <c r="G553" s="34">
        <f t="shared" si="17"/>
        <v>2.234228297529246E-3</v>
      </c>
    </row>
    <row r="554" spans="1:7" x14ac:dyDescent="0.3">
      <c r="A554" s="33">
        <v>43180</v>
      </c>
      <c r="B554" s="34">
        <v>549.45000000000005</v>
      </c>
      <c r="C554" s="34">
        <f t="shared" si="16"/>
        <v>-5.5356554989747699E-3</v>
      </c>
      <c r="E554" s="33">
        <v>43180</v>
      </c>
      <c r="F554" s="34">
        <v>33136.18</v>
      </c>
      <c r="G554" s="34">
        <f t="shared" si="17"/>
        <v>4.2163619687036061E-3</v>
      </c>
    </row>
    <row r="555" spans="1:7" x14ac:dyDescent="0.3">
      <c r="A555" s="33">
        <v>43181</v>
      </c>
      <c r="B555" s="34">
        <v>540.54999999999995</v>
      </c>
      <c r="C555" s="34">
        <f t="shared" si="16"/>
        <v>-1.6330638154152793E-2</v>
      </c>
      <c r="E555" s="33">
        <v>43181</v>
      </c>
      <c r="F555" s="34">
        <v>33006.269999999997</v>
      </c>
      <c r="G555" s="34">
        <f t="shared" si="17"/>
        <v>-3.9281933780856695E-3</v>
      </c>
    </row>
    <row r="556" spans="1:7" x14ac:dyDescent="0.3">
      <c r="A556" s="33">
        <v>43182</v>
      </c>
      <c r="B556" s="34">
        <v>537.29999999999995</v>
      </c>
      <c r="C556" s="34">
        <f t="shared" si="16"/>
        <v>-6.0305420040046524E-3</v>
      </c>
      <c r="E556" s="33">
        <v>43182</v>
      </c>
      <c r="F556" s="34">
        <v>32596.54</v>
      </c>
      <c r="G556" s="34">
        <f t="shared" si="17"/>
        <v>-1.2491395648143744E-2</v>
      </c>
    </row>
    <row r="557" spans="1:7" x14ac:dyDescent="0.3">
      <c r="A557" s="33">
        <v>43185</v>
      </c>
      <c r="B557" s="34">
        <v>540.75</v>
      </c>
      <c r="C557" s="34">
        <f t="shared" si="16"/>
        <v>6.4004670983924209E-3</v>
      </c>
      <c r="E557" s="33">
        <v>43185</v>
      </c>
      <c r="F557" s="34">
        <v>33066.410000000003</v>
      </c>
      <c r="G557" s="34">
        <f t="shared" si="17"/>
        <v>1.4311815725195782E-2</v>
      </c>
    </row>
    <row r="558" spans="1:7" x14ac:dyDescent="0.3">
      <c r="A558" s="33">
        <v>43186</v>
      </c>
      <c r="B558" s="34">
        <v>543</v>
      </c>
      <c r="C558" s="34">
        <f t="shared" si="16"/>
        <v>4.1522551007672883E-3</v>
      </c>
      <c r="E558" s="33">
        <v>43186</v>
      </c>
      <c r="F558" s="34">
        <v>33174.39</v>
      </c>
      <c r="G558" s="34">
        <f t="shared" si="17"/>
        <v>3.2602292135395471E-3</v>
      </c>
    </row>
    <row r="559" spans="1:7" x14ac:dyDescent="0.3">
      <c r="A559" s="33">
        <v>43187</v>
      </c>
      <c r="B559" s="34">
        <v>543.25</v>
      </c>
      <c r="C559" s="34">
        <f t="shared" si="16"/>
        <v>4.6029920260360751E-4</v>
      </c>
      <c r="E559" s="33">
        <v>43187</v>
      </c>
      <c r="F559" s="34">
        <v>32968.68</v>
      </c>
      <c r="G559" s="34">
        <f t="shared" si="17"/>
        <v>-6.2201728239201703E-3</v>
      </c>
    </row>
    <row r="560" spans="1:7" x14ac:dyDescent="0.3">
      <c r="A560" s="33">
        <v>43192</v>
      </c>
      <c r="B560" s="34">
        <v>576.4</v>
      </c>
      <c r="C560" s="34">
        <f t="shared" si="16"/>
        <v>5.9232244988828009E-2</v>
      </c>
      <c r="E560" s="33">
        <v>43192</v>
      </c>
      <c r="F560" s="34">
        <v>33255.360000000001</v>
      </c>
      <c r="G560" s="34">
        <f t="shared" si="17"/>
        <v>8.6579372321358133E-3</v>
      </c>
    </row>
    <row r="561" spans="1:7" x14ac:dyDescent="0.3">
      <c r="A561" s="33">
        <v>43193</v>
      </c>
      <c r="B561" s="34">
        <v>570.5</v>
      </c>
      <c r="C561" s="34">
        <f t="shared" si="16"/>
        <v>-1.0288694823236693E-2</v>
      </c>
      <c r="E561" s="33">
        <v>43193</v>
      </c>
      <c r="F561" s="34">
        <v>33370.629999999997</v>
      </c>
      <c r="G561" s="34">
        <f t="shared" si="17"/>
        <v>3.4602147003425293E-3</v>
      </c>
    </row>
    <row r="562" spans="1:7" x14ac:dyDescent="0.3">
      <c r="A562" s="33">
        <v>43194</v>
      </c>
      <c r="B562" s="34">
        <v>569.6</v>
      </c>
      <c r="C562" s="34">
        <f t="shared" si="16"/>
        <v>-1.5788092043642621E-3</v>
      </c>
      <c r="E562" s="33">
        <v>43194</v>
      </c>
      <c r="F562" s="34">
        <v>33019.07</v>
      </c>
      <c r="G562" s="34">
        <f t="shared" si="17"/>
        <v>-1.0590898471205187E-2</v>
      </c>
    </row>
    <row r="563" spans="1:7" x14ac:dyDescent="0.3">
      <c r="A563" s="33">
        <v>43195</v>
      </c>
      <c r="B563" s="34">
        <v>561.1</v>
      </c>
      <c r="C563" s="34">
        <f t="shared" si="16"/>
        <v>-1.5035217340839742E-2</v>
      </c>
      <c r="E563" s="33">
        <v>43195</v>
      </c>
      <c r="F563" s="34">
        <v>33596.800000000003</v>
      </c>
      <c r="G563" s="34">
        <f t="shared" si="17"/>
        <v>1.7345550991774351E-2</v>
      </c>
    </row>
    <row r="564" spans="1:7" x14ac:dyDescent="0.3">
      <c r="A564" s="33">
        <v>43196</v>
      </c>
      <c r="B564" s="34">
        <v>559.1</v>
      </c>
      <c r="C564" s="34">
        <f t="shared" si="16"/>
        <v>-3.5707947243266819E-3</v>
      </c>
      <c r="E564" s="33">
        <v>43196</v>
      </c>
      <c r="F564" s="34">
        <v>33626.97</v>
      </c>
      <c r="G564" s="34">
        <f t="shared" si="17"/>
        <v>8.9759922794047998E-4</v>
      </c>
    </row>
    <row r="565" spans="1:7" x14ac:dyDescent="0.3">
      <c r="A565" s="33">
        <v>43199</v>
      </c>
      <c r="B565" s="34">
        <v>556.95000000000005</v>
      </c>
      <c r="C565" s="34">
        <f t="shared" si="16"/>
        <v>-3.852878741400769E-3</v>
      </c>
      <c r="E565" s="33">
        <v>43199</v>
      </c>
      <c r="F565" s="34">
        <v>33788.54</v>
      </c>
      <c r="G565" s="34">
        <f t="shared" si="17"/>
        <v>4.7932681765594952E-3</v>
      </c>
    </row>
    <row r="566" spans="1:7" x14ac:dyDescent="0.3">
      <c r="A566" s="33">
        <v>43200</v>
      </c>
      <c r="B566" s="34">
        <v>557.85</v>
      </c>
      <c r="C566" s="34">
        <f t="shared" si="16"/>
        <v>1.6146397479900043E-3</v>
      </c>
      <c r="E566" s="33">
        <v>43200</v>
      </c>
      <c r="F566" s="34">
        <v>33880.25</v>
      </c>
      <c r="G566" s="34">
        <f t="shared" si="17"/>
        <v>2.7105569982957783E-3</v>
      </c>
    </row>
    <row r="567" spans="1:7" x14ac:dyDescent="0.3">
      <c r="A567" s="33">
        <v>43201</v>
      </c>
      <c r="B567" s="34">
        <v>560.65</v>
      </c>
      <c r="C567" s="34">
        <f t="shared" si="16"/>
        <v>5.0067158677009659E-3</v>
      </c>
      <c r="E567" s="33">
        <v>43201</v>
      </c>
      <c r="F567" s="34">
        <v>33940.44</v>
      </c>
      <c r="G567" s="34">
        <f t="shared" si="17"/>
        <v>1.7749750349801358E-3</v>
      </c>
    </row>
    <row r="568" spans="1:7" x14ac:dyDescent="0.3">
      <c r="A568" s="33">
        <v>43202</v>
      </c>
      <c r="B568" s="34">
        <v>555.25</v>
      </c>
      <c r="C568" s="34">
        <f t="shared" si="16"/>
        <v>-9.6783621323528572E-3</v>
      </c>
      <c r="E568" s="33">
        <v>43202</v>
      </c>
      <c r="F568" s="34">
        <v>34101.129999999997</v>
      </c>
      <c r="G568" s="34">
        <f t="shared" si="17"/>
        <v>4.7232977940763294E-3</v>
      </c>
    </row>
    <row r="569" spans="1:7" x14ac:dyDescent="0.3">
      <c r="A569" s="33">
        <v>43203</v>
      </c>
      <c r="B569" s="34">
        <v>554.6</v>
      </c>
      <c r="C569" s="34">
        <f t="shared" si="16"/>
        <v>-1.1713295928590856E-3</v>
      </c>
      <c r="E569" s="33">
        <v>43203</v>
      </c>
      <c r="F569" s="34">
        <v>34192.65</v>
      </c>
      <c r="G569" s="34">
        <f t="shared" si="17"/>
        <v>2.6801871205669025E-3</v>
      </c>
    </row>
    <row r="570" spans="1:7" x14ac:dyDescent="0.3">
      <c r="A570" s="33">
        <v>43206</v>
      </c>
      <c r="B570" s="34">
        <v>583.54999999999995</v>
      </c>
      <c r="C570" s="34">
        <f t="shared" si="16"/>
        <v>5.0883004676684974E-2</v>
      </c>
      <c r="E570" s="33">
        <v>43206</v>
      </c>
      <c r="F570" s="34">
        <v>34305.43</v>
      </c>
      <c r="G570" s="34">
        <f t="shared" si="17"/>
        <v>3.2929419893374988E-3</v>
      </c>
    </row>
    <row r="571" spans="1:7" x14ac:dyDescent="0.3">
      <c r="A571" s="33">
        <v>43207</v>
      </c>
      <c r="B571" s="34">
        <v>579.9</v>
      </c>
      <c r="C571" s="34">
        <f t="shared" si="16"/>
        <v>-6.2744629759677716E-3</v>
      </c>
      <c r="E571" s="33">
        <v>43207</v>
      </c>
      <c r="F571" s="34">
        <v>34395.06</v>
      </c>
      <c r="G571" s="34">
        <f t="shared" si="17"/>
        <v>2.6092987358130181E-3</v>
      </c>
    </row>
    <row r="572" spans="1:7" x14ac:dyDescent="0.3">
      <c r="A572" s="33">
        <v>43208</v>
      </c>
      <c r="B572" s="34">
        <v>583.85</v>
      </c>
      <c r="C572" s="34">
        <f t="shared" si="16"/>
        <v>6.7884256393291398E-3</v>
      </c>
      <c r="E572" s="33">
        <v>43208</v>
      </c>
      <c r="F572" s="34">
        <v>34331.68</v>
      </c>
      <c r="G572" s="34">
        <f t="shared" si="17"/>
        <v>-1.8444063538399277E-3</v>
      </c>
    </row>
    <row r="573" spans="1:7" x14ac:dyDescent="0.3">
      <c r="A573" s="33">
        <v>43209</v>
      </c>
      <c r="B573" s="34">
        <v>584.20000000000005</v>
      </c>
      <c r="C573" s="34">
        <f t="shared" si="16"/>
        <v>5.9928943191670783E-4</v>
      </c>
      <c r="E573" s="33">
        <v>43209</v>
      </c>
      <c r="F573" s="34">
        <v>34427.29</v>
      </c>
      <c r="G573" s="34">
        <f t="shared" si="17"/>
        <v>2.7810207634362894E-3</v>
      </c>
    </row>
    <row r="574" spans="1:7" x14ac:dyDescent="0.3">
      <c r="A574" s="33">
        <v>43210</v>
      </c>
      <c r="B574" s="34">
        <v>587.85</v>
      </c>
      <c r="C574" s="34">
        <f t="shared" si="16"/>
        <v>6.228423360109433E-3</v>
      </c>
      <c r="E574" s="33">
        <v>43210</v>
      </c>
      <c r="F574" s="34">
        <v>34415.58</v>
      </c>
      <c r="G574" s="34">
        <f t="shared" si="17"/>
        <v>-3.4019500096190916E-4</v>
      </c>
    </row>
    <row r="575" spans="1:7" x14ac:dyDescent="0.3">
      <c r="A575" s="33">
        <v>43213</v>
      </c>
      <c r="B575" s="34">
        <v>599.35</v>
      </c>
      <c r="C575" s="34">
        <f t="shared" si="16"/>
        <v>1.9373921339358762E-2</v>
      </c>
      <c r="E575" s="33">
        <v>43213</v>
      </c>
      <c r="F575" s="34">
        <v>34450.769999999997</v>
      </c>
      <c r="G575" s="34">
        <f t="shared" si="17"/>
        <v>1.0219796188653163E-3</v>
      </c>
    </row>
    <row r="576" spans="1:7" x14ac:dyDescent="0.3">
      <c r="A576" s="33">
        <v>43214</v>
      </c>
      <c r="B576" s="34">
        <v>600</v>
      </c>
      <c r="C576" s="34">
        <f t="shared" si="16"/>
        <v>1.0839205630374718E-3</v>
      </c>
      <c r="E576" s="33">
        <v>43214</v>
      </c>
      <c r="F576" s="34">
        <v>34616.639999999999</v>
      </c>
      <c r="G576" s="34">
        <f t="shared" si="17"/>
        <v>4.8031428683212992E-3</v>
      </c>
    </row>
    <row r="577" spans="1:7" x14ac:dyDescent="0.3">
      <c r="A577" s="33">
        <v>43215</v>
      </c>
      <c r="B577" s="34">
        <v>594.20000000000005</v>
      </c>
      <c r="C577" s="34">
        <f t="shared" si="16"/>
        <v>-9.7136921876390357E-3</v>
      </c>
      <c r="E577" s="33">
        <v>43215</v>
      </c>
      <c r="F577" s="34">
        <v>34501.269999999997</v>
      </c>
      <c r="G577" s="34">
        <f t="shared" si="17"/>
        <v>-3.3383563578889739E-3</v>
      </c>
    </row>
    <row r="578" spans="1:7" x14ac:dyDescent="0.3">
      <c r="A578" s="33">
        <v>43216</v>
      </c>
      <c r="B578" s="34">
        <v>599.85</v>
      </c>
      <c r="C578" s="34">
        <f t="shared" si="16"/>
        <v>9.463660932429771E-3</v>
      </c>
      <c r="E578" s="33">
        <v>43216</v>
      </c>
      <c r="F578" s="34">
        <v>34713.599999999999</v>
      </c>
      <c r="G578" s="34">
        <f t="shared" si="17"/>
        <v>6.1354060497338806E-3</v>
      </c>
    </row>
    <row r="579" spans="1:7" x14ac:dyDescent="0.3">
      <c r="A579" s="33">
        <v>43217</v>
      </c>
      <c r="B579" s="34">
        <v>599.85</v>
      </c>
      <c r="C579" s="34">
        <f t="shared" si="16"/>
        <v>0</v>
      </c>
      <c r="E579" s="33">
        <v>43217</v>
      </c>
      <c r="F579" s="34">
        <v>34969.699999999997</v>
      </c>
      <c r="G579" s="34">
        <f t="shared" si="17"/>
        <v>7.3504312529528897E-3</v>
      </c>
    </row>
    <row r="580" spans="1:7" x14ac:dyDescent="0.3">
      <c r="A580" s="33">
        <v>43220</v>
      </c>
      <c r="B580" s="34">
        <v>606.65</v>
      </c>
      <c r="C580" s="34">
        <f t="shared" si="16"/>
        <v>1.12723945369449E-2</v>
      </c>
      <c r="E580" s="33">
        <v>43220</v>
      </c>
      <c r="F580" s="34">
        <v>35160.36</v>
      </c>
      <c r="G580" s="34">
        <f t="shared" si="17"/>
        <v>5.437339415735363E-3</v>
      </c>
    </row>
    <row r="581" spans="1:7" x14ac:dyDescent="0.3">
      <c r="A581" s="33">
        <v>43222</v>
      </c>
      <c r="B581" s="34">
        <v>610.35</v>
      </c>
      <c r="C581" s="34">
        <f t="shared" si="16"/>
        <v>6.0805446179266164E-3</v>
      </c>
      <c r="E581" s="33">
        <v>43222</v>
      </c>
      <c r="F581" s="34">
        <v>35176.42</v>
      </c>
      <c r="G581" s="34">
        <f t="shared" si="17"/>
        <v>4.566600938824442E-4</v>
      </c>
    </row>
    <row r="582" spans="1:7" x14ac:dyDescent="0.3">
      <c r="A582" s="33">
        <v>43223</v>
      </c>
      <c r="B582" s="34">
        <v>608.04999999999995</v>
      </c>
      <c r="C582" s="34">
        <f t="shared" si="16"/>
        <v>-3.775447688800183E-3</v>
      </c>
      <c r="E582" s="33">
        <v>43223</v>
      </c>
      <c r="F582" s="34">
        <v>35103.14</v>
      </c>
      <c r="G582" s="34">
        <f t="shared" si="17"/>
        <v>-2.0853866062023152E-3</v>
      </c>
    </row>
    <row r="583" spans="1:7" x14ac:dyDescent="0.3">
      <c r="A583" s="33">
        <v>43224</v>
      </c>
      <c r="B583" s="34">
        <v>596.95000000000005</v>
      </c>
      <c r="C583" s="34">
        <f t="shared" ref="C583:C646" si="18">LN(B583/B582)</f>
        <v>-1.8423757635611052E-2</v>
      </c>
      <c r="E583" s="33">
        <v>43224</v>
      </c>
      <c r="F583" s="34">
        <v>34915.379999999997</v>
      </c>
      <c r="G583" s="34">
        <f t="shared" ref="G583:G646" si="19">LN(F583/F582)</f>
        <v>-5.3631653469210731E-3</v>
      </c>
    </row>
    <row r="584" spans="1:7" x14ac:dyDescent="0.3">
      <c r="A584" s="33">
        <v>43227</v>
      </c>
      <c r="B584" s="34">
        <v>591.04999999999995</v>
      </c>
      <c r="C584" s="34">
        <f t="shared" si="18"/>
        <v>-9.932741595011528E-3</v>
      </c>
      <c r="E584" s="33">
        <v>43227</v>
      </c>
      <c r="F584" s="34">
        <v>35208.14</v>
      </c>
      <c r="G584" s="34">
        <f t="shared" si="19"/>
        <v>8.3498860567236769E-3</v>
      </c>
    </row>
    <row r="585" spans="1:7" x14ac:dyDescent="0.3">
      <c r="A585" s="33">
        <v>43228</v>
      </c>
      <c r="B585" s="34">
        <v>590.79999999999995</v>
      </c>
      <c r="C585" s="34">
        <f t="shared" si="18"/>
        <v>-4.2306553916118014E-4</v>
      </c>
      <c r="E585" s="33">
        <v>43228</v>
      </c>
      <c r="F585" s="34">
        <v>35216.32</v>
      </c>
      <c r="G585" s="34">
        <f t="shared" si="19"/>
        <v>2.3230565166673244E-4</v>
      </c>
    </row>
    <row r="586" spans="1:7" x14ac:dyDescent="0.3">
      <c r="A586" s="33">
        <v>43229</v>
      </c>
      <c r="B586" s="34">
        <v>589.20000000000005</v>
      </c>
      <c r="C586" s="34">
        <f t="shared" si="18"/>
        <v>-2.7118660687493997E-3</v>
      </c>
      <c r="E586" s="33">
        <v>43229</v>
      </c>
      <c r="F586" s="34">
        <v>35319.35</v>
      </c>
      <c r="G586" s="34">
        <f t="shared" si="19"/>
        <v>2.9213608738525403E-3</v>
      </c>
    </row>
    <row r="587" spans="1:7" x14ac:dyDescent="0.3">
      <c r="A587" s="33">
        <v>43230</v>
      </c>
      <c r="B587" s="34">
        <v>575.65</v>
      </c>
      <c r="C587" s="34">
        <f t="shared" si="18"/>
        <v>-2.3265847468801851E-2</v>
      </c>
      <c r="E587" s="33">
        <v>43230</v>
      </c>
      <c r="F587" s="34">
        <v>35246.269999999997</v>
      </c>
      <c r="G587" s="34">
        <f t="shared" si="19"/>
        <v>-2.0712643388360792E-3</v>
      </c>
    </row>
    <row r="588" spans="1:7" x14ac:dyDescent="0.3">
      <c r="A588" s="33">
        <v>43231</v>
      </c>
      <c r="B588" s="34">
        <v>573.65</v>
      </c>
      <c r="C588" s="34">
        <f t="shared" si="18"/>
        <v>-3.4803828745214246E-3</v>
      </c>
      <c r="E588" s="33">
        <v>43231</v>
      </c>
      <c r="F588" s="34">
        <v>35535.79</v>
      </c>
      <c r="G588" s="34">
        <f t="shared" si="19"/>
        <v>8.1806495778105944E-3</v>
      </c>
    </row>
    <row r="589" spans="1:7" x14ac:dyDescent="0.3">
      <c r="A589" s="33">
        <v>43234</v>
      </c>
      <c r="B589" s="34">
        <v>577.04999999999995</v>
      </c>
      <c r="C589" s="34">
        <f t="shared" si="18"/>
        <v>5.9094636212618122E-3</v>
      </c>
      <c r="E589" s="33">
        <v>43234</v>
      </c>
      <c r="F589" s="34">
        <v>35556.71</v>
      </c>
      <c r="G589" s="34">
        <f t="shared" si="19"/>
        <v>5.8852904606908655E-4</v>
      </c>
    </row>
    <row r="590" spans="1:7" x14ac:dyDescent="0.3">
      <c r="A590" s="33">
        <v>43235</v>
      </c>
      <c r="B590" s="34">
        <v>574.9</v>
      </c>
      <c r="C590" s="34">
        <f t="shared" si="18"/>
        <v>-3.7328052371685587E-3</v>
      </c>
      <c r="E590" s="33">
        <v>43235</v>
      </c>
      <c r="F590" s="34">
        <v>35543.94</v>
      </c>
      <c r="G590" s="34">
        <f t="shared" si="19"/>
        <v>-3.5920909688756024E-4</v>
      </c>
    </row>
    <row r="591" spans="1:7" x14ac:dyDescent="0.3">
      <c r="A591" s="33">
        <v>43236</v>
      </c>
      <c r="B591" s="34">
        <v>559.85</v>
      </c>
      <c r="C591" s="34">
        <f t="shared" si="18"/>
        <v>-2.6527221923039222E-2</v>
      </c>
      <c r="E591" s="33">
        <v>43236</v>
      </c>
      <c r="F591" s="34">
        <v>35387.879999999997</v>
      </c>
      <c r="G591" s="34">
        <f t="shared" si="19"/>
        <v>-4.4002889481700664E-3</v>
      </c>
    </row>
    <row r="592" spans="1:7" x14ac:dyDescent="0.3">
      <c r="A592" s="33">
        <v>43237</v>
      </c>
      <c r="B592" s="34">
        <v>553.04999999999995</v>
      </c>
      <c r="C592" s="34">
        <f t="shared" si="18"/>
        <v>-1.222047735794287E-2</v>
      </c>
      <c r="E592" s="33">
        <v>43237</v>
      </c>
      <c r="F592" s="34">
        <v>35149.120000000003</v>
      </c>
      <c r="G592" s="34">
        <f t="shared" si="19"/>
        <v>-6.7698062539954529E-3</v>
      </c>
    </row>
    <row r="593" spans="1:7" x14ac:dyDescent="0.3">
      <c r="A593" s="33">
        <v>43238</v>
      </c>
      <c r="B593" s="34">
        <v>533.95000000000005</v>
      </c>
      <c r="C593" s="34">
        <f t="shared" si="18"/>
        <v>-3.5146211730708879E-2</v>
      </c>
      <c r="E593" s="33">
        <v>43238</v>
      </c>
      <c r="F593" s="34">
        <v>34848.300000000003</v>
      </c>
      <c r="G593" s="34">
        <f t="shared" si="19"/>
        <v>-8.5952268524799851E-3</v>
      </c>
    </row>
    <row r="594" spans="1:7" x14ac:dyDescent="0.3">
      <c r="A594" s="33">
        <v>43241</v>
      </c>
      <c r="B594" s="34">
        <v>519.79999999999995</v>
      </c>
      <c r="C594" s="34">
        <f t="shared" si="18"/>
        <v>-2.6858079410164482E-2</v>
      </c>
      <c r="E594" s="33">
        <v>43241</v>
      </c>
      <c r="F594" s="34">
        <v>34616.129999999997</v>
      </c>
      <c r="G594" s="34">
        <f t="shared" si="19"/>
        <v>-6.6845971245983711E-3</v>
      </c>
    </row>
    <row r="595" spans="1:7" x14ac:dyDescent="0.3">
      <c r="A595" s="33">
        <v>43242</v>
      </c>
      <c r="B595" s="34">
        <v>524.35</v>
      </c>
      <c r="C595" s="34">
        <f t="shared" si="18"/>
        <v>8.7152780730244666E-3</v>
      </c>
      <c r="E595" s="33">
        <v>43242</v>
      </c>
      <c r="F595" s="34">
        <v>34651.24</v>
      </c>
      <c r="G595" s="34">
        <f t="shared" si="19"/>
        <v>1.013753027056267E-3</v>
      </c>
    </row>
    <row r="596" spans="1:7" x14ac:dyDescent="0.3">
      <c r="A596" s="33">
        <v>43243</v>
      </c>
      <c r="B596" s="34">
        <v>532.75</v>
      </c>
      <c r="C596" s="34">
        <f t="shared" si="18"/>
        <v>1.5892870698312241E-2</v>
      </c>
      <c r="E596" s="33">
        <v>43243</v>
      </c>
      <c r="F596" s="34">
        <v>34344.910000000003</v>
      </c>
      <c r="G596" s="34">
        <f t="shared" si="19"/>
        <v>-8.8796842377405292E-3</v>
      </c>
    </row>
    <row r="597" spans="1:7" x14ac:dyDescent="0.3">
      <c r="A597" s="33">
        <v>43244</v>
      </c>
      <c r="B597" s="34">
        <v>532.1</v>
      </c>
      <c r="C597" s="34">
        <f t="shared" si="18"/>
        <v>-1.220829376402899E-3</v>
      </c>
      <c r="E597" s="33">
        <v>43244</v>
      </c>
      <c r="F597" s="34">
        <v>34663.11</v>
      </c>
      <c r="G597" s="34">
        <f t="shared" si="19"/>
        <v>9.2221818624325016E-3</v>
      </c>
    </row>
    <row r="598" spans="1:7" x14ac:dyDescent="0.3">
      <c r="A598" s="33">
        <v>43245</v>
      </c>
      <c r="B598" s="34">
        <v>535.85</v>
      </c>
      <c r="C598" s="34">
        <f t="shared" si="18"/>
        <v>7.0228295566823916E-3</v>
      </c>
      <c r="E598" s="33">
        <v>43245</v>
      </c>
      <c r="F598" s="34">
        <v>34924.870000000003</v>
      </c>
      <c r="G598" s="34">
        <f t="shared" si="19"/>
        <v>7.5231738180366109E-3</v>
      </c>
    </row>
    <row r="599" spans="1:7" x14ac:dyDescent="0.3">
      <c r="A599" s="33">
        <v>43248</v>
      </c>
      <c r="B599" s="34">
        <v>540.35</v>
      </c>
      <c r="C599" s="34">
        <f t="shared" si="18"/>
        <v>8.3628065901686192E-3</v>
      </c>
      <c r="E599" s="33">
        <v>43248</v>
      </c>
      <c r="F599" s="34">
        <v>35165.480000000003</v>
      </c>
      <c r="G599" s="34">
        <f t="shared" si="19"/>
        <v>6.865736728730077E-3</v>
      </c>
    </row>
    <row r="600" spans="1:7" x14ac:dyDescent="0.3">
      <c r="A600" s="33">
        <v>43249</v>
      </c>
      <c r="B600" s="34">
        <v>530.75</v>
      </c>
      <c r="C600" s="34">
        <f t="shared" si="18"/>
        <v>-1.7925977165809182E-2</v>
      </c>
      <c r="E600" s="33">
        <v>43249</v>
      </c>
      <c r="F600" s="34">
        <v>34949.24</v>
      </c>
      <c r="G600" s="34">
        <f t="shared" si="19"/>
        <v>-6.1681965099531205E-3</v>
      </c>
    </row>
    <row r="601" spans="1:7" x14ac:dyDescent="0.3">
      <c r="A601" s="33">
        <v>43250</v>
      </c>
      <c r="B601" s="34">
        <v>525.29999999999995</v>
      </c>
      <c r="C601" s="34">
        <f t="shared" si="18"/>
        <v>-1.0321572623449661E-2</v>
      </c>
      <c r="E601" s="33">
        <v>43250</v>
      </c>
      <c r="F601" s="34">
        <v>34906.11</v>
      </c>
      <c r="G601" s="34">
        <f t="shared" si="19"/>
        <v>-1.234837574515541E-3</v>
      </c>
    </row>
    <row r="602" spans="1:7" x14ac:dyDescent="0.3">
      <c r="A602" s="33">
        <v>43251</v>
      </c>
      <c r="B602" s="34">
        <v>524.5</v>
      </c>
      <c r="C602" s="34">
        <f t="shared" si="18"/>
        <v>-1.5241001235639484E-3</v>
      </c>
      <c r="E602" s="33">
        <v>43251</v>
      </c>
      <c r="F602" s="34">
        <v>35322.379999999997</v>
      </c>
      <c r="G602" s="34">
        <f t="shared" si="19"/>
        <v>1.1854871865655467E-2</v>
      </c>
    </row>
    <row r="603" spans="1:7" x14ac:dyDescent="0.3">
      <c r="A603" s="33">
        <v>43252</v>
      </c>
      <c r="B603" s="34">
        <v>523.35</v>
      </c>
      <c r="C603" s="34">
        <f t="shared" si="18"/>
        <v>-2.194971535459017E-3</v>
      </c>
      <c r="E603" s="33">
        <v>43252</v>
      </c>
      <c r="F603" s="34">
        <v>35227.26</v>
      </c>
      <c r="G603" s="34">
        <f t="shared" si="19"/>
        <v>-2.6965426793813499E-3</v>
      </c>
    </row>
    <row r="604" spans="1:7" x14ac:dyDescent="0.3">
      <c r="A604" s="33">
        <v>43255</v>
      </c>
      <c r="B604" s="34">
        <v>519.85</v>
      </c>
      <c r="C604" s="34">
        <f t="shared" si="18"/>
        <v>-6.7101478769136524E-3</v>
      </c>
      <c r="E604" s="33">
        <v>43255</v>
      </c>
      <c r="F604" s="34">
        <v>35011.89</v>
      </c>
      <c r="G604" s="34">
        <f t="shared" si="19"/>
        <v>-6.1324966193483368E-3</v>
      </c>
    </row>
    <row r="605" spans="1:7" x14ac:dyDescent="0.3">
      <c r="A605" s="33">
        <v>43256</v>
      </c>
      <c r="B605" s="34">
        <v>540.5</v>
      </c>
      <c r="C605" s="34">
        <f t="shared" si="18"/>
        <v>3.8954328655283636E-2</v>
      </c>
      <c r="E605" s="33">
        <v>43256</v>
      </c>
      <c r="F605" s="34">
        <v>34903.21</v>
      </c>
      <c r="G605" s="34">
        <f t="shared" si="19"/>
        <v>-3.1089160291816759E-3</v>
      </c>
    </row>
    <row r="606" spans="1:7" x14ac:dyDescent="0.3">
      <c r="A606" s="33">
        <v>43257</v>
      </c>
      <c r="B606" s="34">
        <v>537.35</v>
      </c>
      <c r="C606" s="34">
        <f t="shared" si="18"/>
        <v>-5.8449857921005956E-3</v>
      </c>
      <c r="E606" s="33">
        <v>43257</v>
      </c>
      <c r="F606" s="34">
        <v>35178.879999999997</v>
      </c>
      <c r="G606" s="34">
        <f t="shared" si="19"/>
        <v>7.8671004759056449E-3</v>
      </c>
    </row>
    <row r="607" spans="1:7" x14ac:dyDescent="0.3">
      <c r="A607" s="33">
        <v>43258</v>
      </c>
      <c r="B607" s="34">
        <v>540.25</v>
      </c>
      <c r="C607" s="34">
        <f t="shared" si="18"/>
        <v>5.3823440998330791E-3</v>
      </c>
      <c r="E607" s="33">
        <v>43258</v>
      </c>
      <c r="F607" s="34">
        <v>35463.08</v>
      </c>
      <c r="G607" s="34">
        <f t="shared" si="19"/>
        <v>8.0462527741038577E-3</v>
      </c>
    </row>
    <row r="608" spans="1:7" x14ac:dyDescent="0.3">
      <c r="A608" s="33">
        <v>43259</v>
      </c>
      <c r="B608" s="34">
        <v>558.25</v>
      </c>
      <c r="C608" s="34">
        <f t="shared" si="18"/>
        <v>3.2774895333271929E-2</v>
      </c>
      <c r="E608" s="33">
        <v>43259</v>
      </c>
      <c r="F608" s="34">
        <v>35443.67</v>
      </c>
      <c r="G608" s="34">
        <f t="shared" si="19"/>
        <v>-5.4747962598265777E-4</v>
      </c>
    </row>
    <row r="609" spans="1:7" x14ac:dyDescent="0.3">
      <c r="A609" s="33">
        <v>43262</v>
      </c>
      <c r="B609" s="34">
        <v>559.75</v>
      </c>
      <c r="C609" s="34">
        <f t="shared" si="18"/>
        <v>2.6833647585970278E-3</v>
      </c>
      <c r="E609" s="33">
        <v>43262</v>
      </c>
      <c r="F609" s="34">
        <v>35483.47</v>
      </c>
      <c r="G609" s="34">
        <f t="shared" si="19"/>
        <v>1.1222785573301065E-3</v>
      </c>
    </row>
    <row r="610" spans="1:7" x14ac:dyDescent="0.3">
      <c r="A610" s="33">
        <v>43263</v>
      </c>
      <c r="B610" s="34">
        <v>567.04999999999995</v>
      </c>
      <c r="C610" s="34">
        <f t="shared" si="18"/>
        <v>1.2957227782475194E-2</v>
      </c>
      <c r="E610" s="33">
        <v>43263</v>
      </c>
      <c r="F610" s="34">
        <v>35692.519999999997</v>
      </c>
      <c r="G610" s="34">
        <f t="shared" si="19"/>
        <v>5.8741887854194237E-3</v>
      </c>
    </row>
    <row r="611" spans="1:7" x14ac:dyDescent="0.3">
      <c r="A611" s="33">
        <v>43264</v>
      </c>
      <c r="B611" s="34">
        <v>581.4</v>
      </c>
      <c r="C611" s="34">
        <f t="shared" si="18"/>
        <v>2.4991504863436136E-2</v>
      </c>
      <c r="E611" s="33">
        <v>43264</v>
      </c>
      <c r="F611" s="34">
        <v>35739.160000000003</v>
      </c>
      <c r="G611" s="34">
        <f t="shared" si="19"/>
        <v>1.3058633544068686E-3</v>
      </c>
    </row>
    <row r="612" spans="1:7" x14ac:dyDescent="0.3">
      <c r="A612" s="33">
        <v>43265</v>
      </c>
      <c r="B612" s="34">
        <v>587.95000000000005</v>
      </c>
      <c r="C612" s="34">
        <f t="shared" si="18"/>
        <v>1.1202922144649234E-2</v>
      </c>
      <c r="E612" s="33">
        <v>43265</v>
      </c>
      <c r="F612" s="34">
        <v>35599.82</v>
      </c>
      <c r="G612" s="34">
        <f t="shared" si="19"/>
        <v>-3.9064247118694882E-3</v>
      </c>
    </row>
    <row r="613" spans="1:7" x14ac:dyDescent="0.3">
      <c r="A613" s="33">
        <v>43266</v>
      </c>
      <c r="B613" s="34">
        <v>612</v>
      </c>
      <c r="C613" s="34">
        <f t="shared" si="18"/>
        <v>4.0090372242901295E-2</v>
      </c>
      <c r="E613" s="33">
        <v>43266</v>
      </c>
      <c r="F613" s="34">
        <v>35622.14</v>
      </c>
      <c r="G613" s="34">
        <f t="shared" si="19"/>
        <v>6.2677299896527242E-4</v>
      </c>
    </row>
    <row r="614" spans="1:7" x14ac:dyDescent="0.3">
      <c r="A614" s="33">
        <v>43269</v>
      </c>
      <c r="B614" s="34">
        <v>606</v>
      </c>
      <c r="C614" s="34">
        <f t="shared" si="18"/>
        <v>-9.8522964430115944E-3</v>
      </c>
      <c r="E614" s="33">
        <v>43269</v>
      </c>
      <c r="F614" s="34">
        <v>35548.26</v>
      </c>
      <c r="G614" s="34">
        <f t="shared" si="19"/>
        <v>-2.0761447606744308E-3</v>
      </c>
    </row>
    <row r="615" spans="1:7" x14ac:dyDescent="0.3">
      <c r="A615" s="33">
        <v>43270</v>
      </c>
      <c r="B615" s="34">
        <v>602.25</v>
      </c>
      <c r="C615" s="34">
        <f t="shared" si="18"/>
        <v>-6.2073445743337117E-3</v>
      </c>
      <c r="E615" s="33">
        <v>43270</v>
      </c>
      <c r="F615" s="34">
        <v>35286.74</v>
      </c>
      <c r="G615" s="34">
        <f t="shared" si="19"/>
        <v>-7.3839539276331096E-3</v>
      </c>
    </row>
    <row r="616" spans="1:7" x14ac:dyDescent="0.3">
      <c r="A616" s="33">
        <v>43271</v>
      </c>
      <c r="B616" s="34">
        <v>603.54999999999995</v>
      </c>
      <c r="C616" s="34">
        <f t="shared" si="18"/>
        <v>2.1562456521551543E-3</v>
      </c>
      <c r="E616" s="33">
        <v>43271</v>
      </c>
      <c r="F616" s="34">
        <v>35547.33</v>
      </c>
      <c r="G616" s="34">
        <f t="shared" si="19"/>
        <v>7.3577919673750193E-3</v>
      </c>
    </row>
    <row r="617" spans="1:7" x14ac:dyDescent="0.3">
      <c r="A617" s="33">
        <v>43272</v>
      </c>
      <c r="B617" s="34">
        <v>601.65</v>
      </c>
      <c r="C617" s="34">
        <f t="shared" si="18"/>
        <v>-3.1530062629644578E-3</v>
      </c>
      <c r="E617" s="33">
        <v>43272</v>
      </c>
      <c r="F617" s="34">
        <v>35432.39</v>
      </c>
      <c r="G617" s="34">
        <f t="shared" si="19"/>
        <v>-3.2386743838165514E-3</v>
      </c>
    </row>
    <row r="618" spans="1:7" x14ac:dyDescent="0.3">
      <c r="A618" s="33">
        <v>43273</v>
      </c>
      <c r="B618" s="34">
        <v>614</v>
      </c>
      <c r="C618" s="34">
        <f t="shared" si="18"/>
        <v>2.0319047262971013E-2</v>
      </c>
      <c r="E618" s="33">
        <v>43273</v>
      </c>
      <c r="F618" s="34">
        <v>35689.599999999999</v>
      </c>
      <c r="G618" s="34">
        <f t="shared" si="19"/>
        <v>7.2329562584374672E-3</v>
      </c>
    </row>
    <row r="619" spans="1:7" x14ac:dyDescent="0.3">
      <c r="A619" s="33">
        <v>43276</v>
      </c>
      <c r="B619" s="34">
        <v>610.70000000000005</v>
      </c>
      <c r="C619" s="34">
        <f t="shared" si="18"/>
        <v>-5.3890879180533745E-3</v>
      </c>
      <c r="E619" s="33">
        <v>43276</v>
      </c>
      <c r="F619" s="34">
        <v>35470.35</v>
      </c>
      <c r="G619" s="34">
        <f t="shared" si="19"/>
        <v>-6.1621935875770962E-3</v>
      </c>
    </row>
    <row r="620" spans="1:7" x14ac:dyDescent="0.3">
      <c r="A620" s="33">
        <v>43277</v>
      </c>
      <c r="B620" s="34">
        <v>599.29999999999995</v>
      </c>
      <c r="C620" s="34">
        <f t="shared" si="18"/>
        <v>-1.8843532764949662E-2</v>
      </c>
      <c r="E620" s="33">
        <v>43277</v>
      </c>
      <c r="F620" s="34">
        <v>35490.04</v>
      </c>
      <c r="G620" s="34">
        <f t="shared" si="19"/>
        <v>5.549575053163991E-4</v>
      </c>
    </row>
    <row r="621" spans="1:7" x14ac:dyDescent="0.3">
      <c r="A621" s="33">
        <v>43278</v>
      </c>
      <c r="B621" s="34">
        <v>602</v>
      </c>
      <c r="C621" s="34">
        <f t="shared" si="18"/>
        <v>4.495137844681643E-3</v>
      </c>
      <c r="E621" s="33">
        <v>43278</v>
      </c>
      <c r="F621" s="34">
        <v>35217.11</v>
      </c>
      <c r="G621" s="34">
        <f t="shared" si="19"/>
        <v>-7.7200496847077693E-3</v>
      </c>
    </row>
    <row r="622" spans="1:7" x14ac:dyDescent="0.3">
      <c r="A622" s="33">
        <v>43279</v>
      </c>
      <c r="B622" s="34">
        <v>600.70000000000005</v>
      </c>
      <c r="C622" s="34">
        <f t="shared" si="18"/>
        <v>-2.1618034527051805E-3</v>
      </c>
      <c r="E622" s="33">
        <v>43279</v>
      </c>
      <c r="F622" s="34">
        <v>35037.64</v>
      </c>
      <c r="G622" s="34">
        <f t="shared" si="19"/>
        <v>-5.1091318493158584E-3</v>
      </c>
    </row>
    <row r="623" spans="1:7" x14ac:dyDescent="0.3">
      <c r="A623" s="33">
        <v>43280</v>
      </c>
      <c r="B623" s="34">
        <v>614.95000000000005</v>
      </c>
      <c r="C623" s="34">
        <f t="shared" si="18"/>
        <v>2.34453218323038E-2</v>
      </c>
      <c r="E623" s="33">
        <v>43280</v>
      </c>
      <c r="F623" s="34">
        <v>35423.480000000003</v>
      </c>
      <c r="G623" s="34">
        <f t="shared" si="19"/>
        <v>1.0951964903228105E-2</v>
      </c>
    </row>
    <row r="624" spans="1:7" x14ac:dyDescent="0.3">
      <c r="A624" s="33">
        <v>43283</v>
      </c>
      <c r="B624" s="34">
        <v>615.75</v>
      </c>
      <c r="C624" s="34">
        <f t="shared" si="18"/>
        <v>1.300073312227677E-3</v>
      </c>
      <c r="E624" s="33">
        <v>43283</v>
      </c>
      <c r="F624" s="34">
        <v>35264.410000000003</v>
      </c>
      <c r="G624" s="34">
        <f t="shared" si="19"/>
        <v>-4.5006370541415368E-3</v>
      </c>
    </row>
    <row r="625" spans="1:7" x14ac:dyDescent="0.3">
      <c r="A625" s="33">
        <v>43284</v>
      </c>
      <c r="B625" s="34">
        <v>640.35</v>
      </c>
      <c r="C625" s="34">
        <f t="shared" si="18"/>
        <v>3.9173864871433484E-2</v>
      </c>
      <c r="E625" s="33">
        <v>43284</v>
      </c>
      <c r="F625" s="34">
        <v>35378.6</v>
      </c>
      <c r="G625" s="34">
        <f t="shared" si="19"/>
        <v>3.2328775190831023E-3</v>
      </c>
    </row>
    <row r="626" spans="1:7" x14ac:dyDescent="0.3">
      <c r="A626" s="33">
        <v>43285</v>
      </c>
      <c r="B626" s="34">
        <v>629.25</v>
      </c>
      <c r="C626" s="34">
        <f t="shared" si="18"/>
        <v>-1.7486267856655538E-2</v>
      </c>
      <c r="E626" s="33">
        <v>43285</v>
      </c>
      <c r="F626" s="34">
        <v>35645.4</v>
      </c>
      <c r="G626" s="34">
        <f t="shared" si="19"/>
        <v>7.5129887068965629E-3</v>
      </c>
    </row>
    <row r="627" spans="1:7" x14ac:dyDescent="0.3">
      <c r="A627" s="33">
        <v>43286</v>
      </c>
      <c r="B627" s="34">
        <v>626.70000000000005</v>
      </c>
      <c r="C627" s="34">
        <f t="shared" si="18"/>
        <v>-4.0606767847953416E-3</v>
      </c>
      <c r="E627" s="33">
        <v>43286</v>
      </c>
      <c r="F627" s="34">
        <v>35574.550000000003</v>
      </c>
      <c r="G627" s="34">
        <f t="shared" si="19"/>
        <v>-1.9896117133461769E-3</v>
      </c>
    </row>
    <row r="628" spans="1:7" x14ac:dyDescent="0.3">
      <c r="A628" s="33">
        <v>43287</v>
      </c>
      <c r="B628" s="34">
        <v>613.45000000000005</v>
      </c>
      <c r="C628" s="34">
        <f t="shared" si="18"/>
        <v>-2.1369195993437968E-2</v>
      </c>
      <c r="E628" s="33">
        <v>43287</v>
      </c>
      <c r="F628" s="34">
        <v>35657.86</v>
      </c>
      <c r="G628" s="34">
        <f t="shared" si="19"/>
        <v>2.3391048536829961E-3</v>
      </c>
    </row>
    <row r="629" spans="1:7" x14ac:dyDescent="0.3">
      <c r="A629" s="33">
        <v>43290</v>
      </c>
      <c r="B629" s="34">
        <v>622.6</v>
      </c>
      <c r="C629" s="34">
        <f t="shared" si="18"/>
        <v>1.4805496770315974E-2</v>
      </c>
      <c r="E629" s="33">
        <v>43290</v>
      </c>
      <c r="F629" s="34">
        <v>35934.720000000001</v>
      </c>
      <c r="G629" s="34">
        <f t="shared" si="19"/>
        <v>7.7343596264608083E-3</v>
      </c>
    </row>
    <row r="630" spans="1:7" x14ac:dyDescent="0.3">
      <c r="A630" s="33">
        <v>43291</v>
      </c>
      <c r="B630" s="34">
        <v>630.6</v>
      </c>
      <c r="C630" s="34">
        <f t="shared" si="18"/>
        <v>1.276748910345266E-2</v>
      </c>
      <c r="E630" s="33">
        <v>43291</v>
      </c>
      <c r="F630" s="34">
        <v>36239.620000000003</v>
      </c>
      <c r="G630" s="34">
        <f t="shared" si="19"/>
        <v>8.449036424929569E-3</v>
      </c>
    </row>
    <row r="631" spans="1:7" x14ac:dyDescent="0.3">
      <c r="A631" s="33">
        <v>43292</v>
      </c>
      <c r="B631" s="34">
        <v>624.70000000000005</v>
      </c>
      <c r="C631" s="34">
        <f t="shared" si="18"/>
        <v>-9.4002126114361862E-3</v>
      </c>
      <c r="E631" s="33">
        <v>43292</v>
      </c>
      <c r="F631" s="34">
        <v>36265.93</v>
      </c>
      <c r="G631" s="34">
        <f t="shared" si="19"/>
        <v>7.2573757884117514E-4</v>
      </c>
    </row>
    <row r="632" spans="1:7" x14ac:dyDescent="0.3">
      <c r="A632" s="33">
        <v>43293</v>
      </c>
      <c r="B632" s="34">
        <v>632.20000000000005</v>
      </c>
      <c r="C632" s="34">
        <f t="shared" si="18"/>
        <v>1.1934265281993027E-2</v>
      </c>
      <c r="E632" s="33">
        <v>43293</v>
      </c>
      <c r="F632" s="34">
        <v>36548.410000000003</v>
      </c>
      <c r="G632" s="34">
        <f t="shared" si="19"/>
        <v>7.7589501501314712E-3</v>
      </c>
    </row>
    <row r="633" spans="1:7" x14ac:dyDescent="0.3">
      <c r="A633" s="33">
        <v>43294</v>
      </c>
      <c r="B633" s="34">
        <v>626.45000000000005</v>
      </c>
      <c r="C633" s="34">
        <f t="shared" si="18"/>
        <v>-9.136837089955609E-3</v>
      </c>
      <c r="E633" s="33">
        <v>43294</v>
      </c>
      <c r="F633" s="34">
        <v>36541.629999999997</v>
      </c>
      <c r="G633" s="34">
        <f t="shared" si="19"/>
        <v>-1.8552459458094601E-4</v>
      </c>
    </row>
    <row r="634" spans="1:7" x14ac:dyDescent="0.3">
      <c r="A634" s="33">
        <v>43297</v>
      </c>
      <c r="B634" s="34">
        <v>621.4</v>
      </c>
      <c r="C634" s="34">
        <f t="shared" si="18"/>
        <v>-8.0939657326147829E-3</v>
      </c>
      <c r="E634" s="33">
        <v>43297</v>
      </c>
      <c r="F634" s="34">
        <v>36323.769999999997</v>
      </c>
      <c r="G634" s="34">
        <f t="shared" si="19"/>
        <v>-5.9798106972190528E-3</v>
      </c>
    </row>
    <row r="635" spans="1:7" x14ac:dyDescent="0.3">
      <c r="A635" s="33">
        <v>43298</v>
      </c>
      <c r="B635" s="34">
        <v>637.54999999999995</v>
      </c>
      <c r="C635" s="34">
        <f t="shared" si="18"/>
        <v>2.5657708370603896E-2</v>
      </c>
      <c r="E635" s="33">
        <v>43298</v>
      </c>
      <c r="F635" s="34">
        <v>36519.96</v>
      </c>
      <c r="G635" s="34">
        <f t="shared" si="19"/>
        <v>5.3866125301535858E-3</v>
      </c>
    </row>
    <row r="636" spans="1:7" x14ac:dyDescent="0.3">
      <c r="A636" s="33">
        <v>43299</v>
      </c>
      <c r="B636" s="34">
        <v>627.15</v>
      </c>
      <c r="C636" s="34">
        <f t="shared" si="18"/>
        <v>-1.6446958858867187E-2</v>
      </c>
      <c r="E636" s="33">
        <v>43299</v>
      </c>
      <c r="F636" s="34">
        <v>36373.440000000002</v>
      </c>
      <c r="G636" s="34">
        <f t="shared" si="19"/>
        <v>-4.0201224618538998E-3</v>
      </c>
    </row>
    <row r="637" spans="1:7" x14ac:dyDescent="0.3">
      <c r="A637" s="33">
        <v>43300</v>
      </c>
      <c r="B637" s="34">
        <v>611.04999999999995</v>
      </c>
      <c r="C637" s="34">
        <f t="shared" si="18"/>
        <v>-2.6006957586674234E-2</v>
      </c>
      <c r="E637" s="33">
        <v>43300</v>
      </c>
      <c r="F637" s="34">
        <v>36351.230000000003</v>
      </c>
      <c r="G637" s="34">
        <f t="shared" si="19"/>
        <v>-6.1079687788185037E-4</v>
      </c>
    </row>
    <row r="638" spans="1:7" x14ac:dyDescent="0.3">
      <c r="A638" s="33">
        <v>43301</v>
      </c>
      <c r="B638" s="34">
        <v>625.70000000000005</v>
      </c>
      <c r="C638" s="34">
        <f t="shared" si="18"/>
        <v>2.3692234120308485E-2</v>
      </c>
      <c r="E638" s="33">
        <v>43301</v>
      </c>
      <c r="F638" s="34">
        <v>36496.370000000003</v>
      </c>
      <c r="G638" s="34">
        <f t="shared" si="19"/>
        <v>3.9847624917876429E-3</v>
      </c>
    </row>
    <row r="639" spans="1:7" x14ac:dyDescent="0.3">
      <c r="A639" s="33">
        <v>43304</v>
      </c>
      <c r="B639" s="34">
        <v>633.5</v>
      </c>
      <c r="C639" s="34">
        <f t="shared" si="18"/>
        <v>1.2388976756875811E-2</v>
      </c>
      <c r="E639" s="33">
        <v>43304</v>
      </c>
      <c r="F639" s="34">
        <v>36718.6</v>
      </c>
      <c r="G639" s="34">
        <f t="shared" si="19"/>
        <v>6.0706350758377775E-3</v>
      </c>
    </row>
    <row r="640" spans="1:7" x14ac:dyDescent="0.3">
      <c r="A640" s="33">
        <v>43305</v>
      </c>
      <c r="B640" s="34">
        <v>627.29999999999995</v>
      </c>
      <c r="C640" s="34">
        <f t="shared" si="18"/>
        <v>-9.8351046584962843E-3</v>
      </c>
      <c r="E640" s="33">
        <v>43305</v>
      </c>
      <c r="F640" s="34">
        <v>36825.1</v>
      </c>
      <c r="G640" s="34">
        <f t="shared" si="19"/>
        <v>2.8962392277048776E-3</v>
      </c>
    </row>
    <row r="641" spans="1:7" x14ac:dyDescent="0.3">
      <c r="A641" s="33">
        <v>43306</v>
      </c>
      <c r="B641" s="34">
        <v>623.54999999999995</v>
      </c>
      <c r="C641" s="34">
        <f t="shared" si="18"/>
        <v>-5.9959407359414466E-3</v>
      </c>
      <c r="E641" s="33">
        <v>43306</v>
      </c>
      <c r="F641" s="34">
        <v>36858.230000000003</v>
      </c>
      <c r="G641" s="34">
        <f t="shared" si="19"/>
        <v>8.9925366382261692E-4</v>
      </c>
    </row>
    <row r="642" spans="1:7" x14ac:dyDescent="0.3">
      <c r="A642" s="33">
        <v>43307</v>
      </c>
      <c r="B642" s="34">
        <v>627.04999999999995</v>
      </c>
      <c r="C642" s="34">
        <f t="shared" si="18"/>
        <v>5.5973279033025743E-3</v>
      </c>
      <c r="E642" s="33">
        <v>43307</v>
      </c>
      <c r="F642" s="34">
        <v>36984.639999999999</v>
      </c>
      <c r="G642" s="34">
        <f t="shared" si="19"/>
        <v>3.4237597613107217E-3</v>
      </c>
    </row>
    <row r="643" spans="1:7" x14ac:dyDescent="0.3">
      <c r="A643" s="33">
        <v>43308</v>
      </c>
      <c r="B643" s="34">
        <v>634.1</v>
      </c>
      <c r="C643" s="34">
        <f t="shared" si="18"/>
        <v>1.1180388435927302E-2</v>
      </c>
      <c r="E643" s="33">
        <v>43308</v>
      </c>
      <c r="F643" s="34">
        <v>37336.85</v>
      </c>
      <c r="G643" s="34">
        <f t="shared" si="19"/>
        <v>9.4780833027072863E-3</v>
      </c>
    </row>
    <row r="644" spans="1:7" x14ac:dyDescent="0.3">
      <c r="A644" s="33">
        <v>43311</v>
      </c>
      <c r="B644" s="34">
        <v>632.5</v>
      </c>
      <c r="C644" s="34">
        <f t="shared" si="18"/>
        <v>-2.5264501043107245E-3</v>
      </c>
      <c r="E644" s="33">
        <v>43311</v>
      </c>
      <c r="F644" s="34">
        <v>37494.400000000001</v>
      </c>
      <c r="G644" s="34">
        <f t="shared" si="19"/>
        <v>4.2108138723482014E-3</v>
      </c>
    </row>
    <row r="645" spans="1:7" x14ac:dyDescent="0.3">
      <c r="A645" s="33">
        <v>43312</v>
      </c>
      <c r="B645" s="34">
        <v>639.75</v>
      </c>
      <c r="C645" s="34">
        <f t="shared" si="18"/>
        <v>1.1397254438222825E-2</v>
      </c>
      <c r="E645" s="33">
        <v>43312</v>
      </c>
      <c r="F645" s="34">
        <v>37606.58</v>
      </c>
      <c r="G645" s="34">
        <f t="shared" si="19"/>
        <v>2.987446593435682E-3</v>
      </c>
    </row>
    <row r="646" spans="1:7" x14ac:dyDescent="0.3">
      <c r="A646" s="33">
        <v>43313</v>
      </c>
      <c r="B646" s="34">
        <v>638.35</v>
      </c>
      <c r="C646" s="34">
        <f t="shared" si="18"/>
        <v>-2.1907527735383235E-3</v>
      </c>
      <c r="E646" s="33">
        <v>43313</v>
      </c>
      <c r="F646" s="34">
        <v>37521.620000000003</v>
      </c>
      <c r="G646" s="34">
        <f t="shared" si="19"/>
        <v>-2.2617349069283272E-3</v>
      </c>
    </row>
    <row r="647" spans="1:7" x14ac:dyDescent="0.3">
      <c r="A647" s="33">
        <v>43314</v>
      </c>
      <c r="B647" s="34">
        <v>638.15</v>
      </c>
      <c r="C647" s="34">
        <f t="shared" ref="C647:C710" si="20">LN(B647/B646)</f>
        <v>-3.1335683766019304E-4</v>
      </c>
      <c r="E647" s="33">
        <v>43314</v>
      </c>
      <c r="F647" s="34">
        <v>37165.160000000003</v>
      </c>
      <c r="G647" s="34">
        <f t="shared" ref="G647:G710" si="21">LN(F647/F646)</f>
        <v>-9.5455368844265722E-3</v>
      </c>
    </row>
    <row r="648" spans="1:7" x14ac:dyDescent="0.3">
      <c r="A648" s="33">
        <v>43315</v>
      </c>
      <c r="B648" s="34">
        <v>640.54999999999995</v>
      </c>
      <c r="C648" s="34">
        <f t="shared" si="20"/>
        <v>3.7538168737428585E-3</v>
      </c>
      <c r="E648" s="33">
        <v>43315</v>
      </c>
      <c r="F648" s="34">
        <v>37556.160000000003</v>
      </c>
      <c r="G648" s="34">
        <f t="shared" si="21"/>
        <v>1.0465649398057643E-2</v>
      </c>
    </row>
    <row r="649" spans="1:7" x14ac:dyDescent="0.3">
      <c r="A649" s="33">
        <v>43318</v>
      </c>
      <c r="B649" s="34">
        <v>637.1</v>
      </c>
      <c r="C649" s="34">
        <f t="shared" si="20"/>
        <v>-5.4005531800000537E-3</v>
      </c>
      <c r="E649" s="33">
        <v>43318</v>
      </c>
      <c r="F649" s="34">
        <v>37691.89</v>
      </c>
      <c r="G649" s="34">
        <f t="shared" si="21"/>
        <v>3.6075392572428315E-3</v>
      </c>
    </row>
    <row r="650" spans="1:7" x14ac:dyDescent="0.3">
      <c r="A650" s="33">
        <v>43319</v>
      </c>
      <c r="B650" s="34">
        <v>628.70000000000005</v>
      </c>
      <c r="C650" s="34">
        <f t="shared" si="20"/>
        <v>-1.3272433733427024E-2</v>
      </c>
      <c r="E650" s="33">
        <v>43319</v>
      </c>
      <c r="F650" s="34">
        <v>37665.800000000003</v>
      </c>
      <c r="G650" s="34">
        <f t="shared" si="21"/>
        <v>-6.9243101911494376E-4</v>
      </c>
    </row>
    <row r="651" spans="1:7" x14ac:dyDescent="0.3">
      <c r="A651" s="33">
        <v>43320</v>
      </c>
      <c r="B651" s="34">
        <v>633.4</v>
      </c>
      <c r="C651" s="34">
        <f t="shared" si="20"/>
        <v>7.4479387155238531E-3</v>
      </c>
      <c r="E651" s="33">
        <v>43320</v>
      </c>
      <c r="F651" s="34">
        <v>37887.56</v>
      </c>
      <c r="G651" s="34">
        <f t="shared" si="21"/>
        <v>5.8703050884654469E-3</v>
      </c>
    </row>
    <row r="652" spans="1:7" x14ac:dyDescent="0.3">
      <c r="A652" s="33">
        <v>43321</v>
      </c>
      <c r="B652" s="34">
        <v>619.25</v>
      </c>
      <c r="C652" s="34">
        <f t="shared" si="20"/>
        <v>-2.2593065735070451E-2</v>
      </c>
      <c r="E652" s="33">
        <v>43321</v>
      </c>
      <c r="F652" s="34">
        <v>38024.370000000003</v>
      </c>
      <c r="G652" s="34">
        <f t="shared" si="21"/>
        <v>3.6044439423363181E-3</v>
      </c>
    </row>
    <row r="653" spans="1:7" x14ac:dyDescent="0.3">
      <c r="A653" s="33">
        <v>43322</v>
      </c>
      <c r="B653" s="34">
        <v>620.9</v>
      </c>
      <c r="C653" s="34">
        <f t="shared" si="20"/>
        <v>2.660970001378226E-3</v>
      </c>
      <c r="E653" s="33">
        <v>43322</v>
      </c>
      <c r="F653" s="34">
        <v>37869.230000000003</v>
      </c>
      <c r="G653" s="34">
        <f t="shared" si="21"/>
        <v>-4.0883609709670239E-3</v>
      </c>
    </row>
    <row r="654" spans="1:7" x14ac:dyDescent="0.3">
      <c r="A654" s="33">
        <v>43325</v>
      </c>
      <c r="B654" s="34">
        <v>626.65</v>
      </c>
      <c r="C654" s="34">
        <f t="shared" si="20"/>
        <v>9.2181326866840919E-3</v>
      </c>
      <c r="E654" s="33">
        <v>43325</v>
      </c>
      <c r="F654" s="34">
        <v>37644.9</v>
      </c>
      <c r="G654" s="34">
        <f t="shared" si="21"/>
        <v>-5.9414220865148777E-3</v>
      </c>
    </row>
    <row r="655" spans="1:7" x14ac:dyDescent="0.3">
      <c r="A655" s="33">
        <v>43326</v>
      </c>
      <c r="B655" s="34">
        <v>641.95000000000005</v>
      </c>
      <c r="C655" s="34">
        <f t="shared" si="20"/>
        <v>2.412224797956157E-2</v>
      </c>
      <c r="E655" s="33">
        <v>43326</v>
      </c>
      <c r="F655" s="34">
        <v>37852</v>
      </c>
      <c r="G655" s="34">
        <f t="shared" si="21"/>
        <v>5.4863317427003844E-3</v>
      </c>
    </row>
    <row r="656" spans="1:7" x14ac:dyDescent="0.3">
      <c r="A656" s="33">
        <v>43328</v>
      </c>
      <c r="B656" s="34">
        <v>647.4</v>
      </c>
      <c r="C656" s="34">
        <f t="shared" si="20"/>
        <v>8.4539224550512718E-3</v>
      </c>
      <c r="E656" s="33">
        <v>43328</v>
      </c>
      <c r="F656" s="34">
        <v>37663.56</v>
      </c>
      <c r="G656" s="34">
        <f t="shared" si="21"/>
        <v>-4.9907698793486841E-3</v>
      </c>
    </row>
    <row r="657" spans="1:7" x14ac:dyDescent="0.3">
      <c r="A657" s="33">
        <v>43329</v>
      </c>
      <c r="B657" s="34">
        <v>648.15</v>
      </c>
      <c r="C657" s="34">
        <f t="shared" si="20"/>
        <v>1.1578095539078188E-3</v>
      </c>
      <c r="E657" s="33">
        <v>43329</v>
      </c>
      <c r="F657" s="34">
        <v>37947.879999999997</v>
      </c>
      <c r="G657" s="34">
        <f t="shared" si="21"/>
        <v>7.5205905370050227E-3</v>
      </c>
    </row>
    <row r="658" spans="1:7" x14ac:dyDescent="0.3">
      <c r="A658" s="33">
        <v>43332</v>
      </c>
      <c r="B658" s="34">
        <v>643.70000000000005</v>
      </c>
      <c r="C658" s="34">
        <f t="shared" si="20"/>
        <v>-6.8893719874815315E-3</v>
      </c>
      <c r="E658" s="33">
        <v>43332</v>
      </c>
      <c r="F658" s="34">
        <v>38278.75</v>
      </c>
      <c r="G658" s="34">
        <f t="shared" si="21"/>
        <v>8.6812726204717472E-3</v>
      </c>
    </row>
    <row r="659" spans="1:7" x14ac:dyDescent="0.3">
      <c r="A659" s="33">
        <v>43333</v>
      </c>
      <c r="B659" s="34">
        <v>650.65</v>
      </c>
      <c r="C659" s="34">
        <f t="shared" si="20"/>
        <v>1.0739084164196071E-2</v>
      </c>
      <c r="E659" s="33">
        <v>43333</v>
      </c>
      <c r="F659" s="34">
        <v>38285.75</v>
      </c>
      <c r="G659" s="34">
        <f t="shared" si="21"/>
        <v>1.8285236681503638E-4</v>
      </c>
    </row>
    <row r="660" spans="1:7" x14ac:dyDescent="0.3">
      <c r="A660" s="33">
        <v>43335</v>
      </c>
      <c r="B660" s="34">
        <v>657.1</v>
      </c>
      <c r="C660" s="34">
        <f t="shared" si="20"/>
        <v>9.8643506810559712E-3</v>
      </c>
      <c r="E660" s="33">
        <v>43335</v>
      </c>
      <c r="F660" s="34">
        <v>38336.76</v>
      </c>
      <c r="G660" s="34">
        <f t="shared" si="21"/>
        <v>1.3314627133945874E-3</v>
      </c>
    </row>
    <row r="661" spans="1:7" x14ac:dyDescent="0.3">
      <c r="A661" s="33">
        <v>43336</v>
      </c>
      <c r="B661" s="34">
        <v>650.95000000000005</v>
      </c>
      <c r="C661" s="34">
        <f t="shared" si="20"/>
        <v>-9.4033795604160416E-3</v>
      </c>
      <c r="E661" s="33">
        <v>43336</v>
      </c>
      <c r="F661" s="34">
        <v>38251.800000000003</v>
      </c>
      <c r="G661" s="34">
        <f t="shared" si="21"/>
        <v>-2.2186090154810599E-3</v>
      </c>
    </row>
    <row r="662" spans="1:7" x14ac:dyDescent="0.3">
      <c r="A662" s="33">
        <v>43339</v>
      </c>
      <c r="B662" s="34">
        <v>659.4</v>
      </c>
      <c r="C662" s="34">
        <f t="shared" si="20"/>
        <v>1.2897496294224516E-2</v>
      </c>
      <c r="E662" s="33">
        <v>43339</v>
      </c>
      <c r="F662" s="34">
        <v>38694.11</v>
      </c>
      <c r="G662" s="34">
        <f t="shared" si="21"/>
        <v>1.1496774081419851E-2</v>
      </c>
    </row>
    <row r="663" spans="1:7" x14ac:dyDescent="0.3">
      <c r="A663" s="33">
        <v>43340</v>
      </c>
      <c r="B663" s="34">
        <v>648.95000000000005</v>
      </c>
      <c r="C663" s="34">
        <f t="shared" si="20"/>
        <v>-1.5974658503862565E-2</v>
      </c>
      <c r="E663" s="33">
        <v>43340</v>
      </c>
      <c r="F663" s="34">
        <v>38896.629999999997</v>
      </c>
      <c r="G663" s="34">
        <f t="shared" si="21"/>
        <v>5.2202224105902329E-3</v>
      </c>
    </row>
    <row r="664" spans="1:7" x14ac:dyDescent="0.3">
      <c r="A664" s="33">
        <v>43341</v>
      </c>
      <c r="B664" s="34">
        <v>643.6</v>
      </c>
      <c r="C664" s="34">
        <f t="shared" si="20"/>
        <v>-8.278257015539912E-3</v>
      </c>
      <c r="E664" s="33">
        <v>43341</v>
      </c>
      <c r="F664" s="34">
        <v>38722.93</v>
      </c>
      <c r="G664" s="34">
        <f t="shared" si="21"/>
        <v>-4.4756834478157682E-3</v>
      </c>
    </row>
    <row r="665" spans="1:7" x14ac:dyDescent="0.3">
      <c r="A665" s="33">
        <v>43342</v>
      </c>
      <c r="B665" s="34">
        <v>648.65</v>
      </c>
      <c r="C665" s="34">
        <f t="shared" si="20"/>
        <v>7.8158648987931931E-3</v>
      </c>
      <c r="E665" s="33">
        <v>43342</v>
      </c>
      <c r="F665" s="34">
        <v>38690.1</v>
      </c>
      <c r="G665" s="34">
        <f t="shared" si="21"/>
        <v>-8.4817767675993692E-4</v>
      </c>
    </row>
    <row r="666" spans="1:7" x14ac:dyDescent="0.3">
      <c r="A666" s="33">
        <v>43343</v>
      </c>
      <c r="B666" s="34">
        <v>660.05</v>
      </c>
      <c r="C666" s="34">
        <f t="shared" si="20"/>
        <v>1.7422309709747126E-2</v>
      </c>
      <c r="E666" s="33">
        <v>43343</v>
      </c>
      <c r="F666" s="34">
        <v>38645.07</v>
      </c>
      <c r="G666" s="34">
        <f t="shared" si="21"/>
        <v>-1.1645414392695824E-3</v>
      </c>
    </row>
    <row r="667" spans="1:7" x14ac:dyDescent="0.3">
      <c r="A667" s="33">
        <v>43346</v>
      </c>
      <c r="B667" s="34">
        <v>648.9</v>
      </c>
      <c r="C667" s="34">
        <f t="shared" si="20"/>
        <v>-1.7036968099645746E-2</v>
      </c>
      <c r="E667" s="33">
        <v>43346</v>
      </c>
      <c r="F667" s="34">
        <v>38312.519999999997</v>
      </c>
      <c r="G667" s="34">
        <f t="shared" si="21"/>
        <v>-8.6424761978751326E-3</v>
      </c>
    </row>
    <row r="668" spans="1:7" x14ac:dyDescent="0.3">
      <c r="A668" s="33">
        <v>43347</v>
      </c>
      <c r="B668" s="34">
        <v>642.79999999999995</v>
      </c>
      <c r="C668" s="34">
        <f t="shared" si="20"/>
        <v>-9.4449877637652734E-3</v>
      </c>
      <c r="E668" s="33">
        <v>43347</v>
      </c>
      <c r="F668" s="34">
        <v>38157.919999999998</v>
      </c>
      <c r="G668" s="34">
        <f t="shared" si="21"/>
        <v>-4.0433979621516897E-3</v>
      </c>
    </row>
    <row r="669" spans="1:7" x14ac:dyDescent="0.3">
      <c r="A669" s="33">
        <v>43348</v>
      </c>
      <c r="B669" s="34">
        <v>645.95000000000005</v>
      </c>
      <c r="C669" s="34">
        <f t="shared" si="20"/>
        <v>4.8884675429529071E-3</v>
      </c>
      <c r="E669" s="33">
        <v>43348</v>
      </c>
      <c r="F669" s="34">
        <v>38018.31</v>
      </c>
      <c r="G669" s="34">
        <f t="shared" si="21"/>
        <v>-3.6654519739623926E-3</v>
      </c>
    </row>
    <row r="670" spans="1:7" x14ac:dyDescent="0.3">
      <c r="A670" s="33">
        <v>43349</v>
      </c>
      <c r="B670" s="34">
        <v>660.85</v>
      </c>
      <c r="C670" s="34">
        <f t="shared" si="20"/>
        <v>2.2804783797505453E-2</v>
      </c>
      <c r="E670" s="33">
        <v>43349</v>
      </c>
      <c r="F670" s="34">
        <v>38242.81</v>
      </c>
      <c r="G670" s="34">
        <f t="shared" si="21"/>
        <v>5.887682964017823E-3</v>
      </c>
    </row>
    <row r="671" spans="1:7" x14ac:dyDescent="0.3">
      <c r="A671" s="33">
        <v>43350</v>
      </c>
      <c r="B671" s="34">
        <v>663.9</v>
      </c>
      <c r="C671" s="34">
        <f t="shared" si="20"/>
        <v>4.6046505212979623E-3</v>
      </c>
      <c r="E671" s="33">
        <v>43350</v>
      </c>
      <c r="F671" s="34">
        <v>38389.82</v>
      </c>
      <c r="G671" s="34">
        <f t="shared" si="21"/>
        <v>3.8367515336570498E-3</v>
      </c>
    </row>
    <row r="672" spans="1:7" x14ac:dyDescent="0.3">
      <c r="A672" s="33">
        <v>43353</v>
      </c>
      <c r="B672" s="34">
        <v>667.4</v>
      </c>
      <c r="C672" s="34">
        <f t="shared" si="20"/>
        <v>5.2580305921599594E-3</v>
      </c>
      <c r="E672" s="33">
        <v>43353</v>
      </c>
      <c r="F672" s="34">
        <v>37922.17</v>
      </c>
      <c r="G672" s="34">
        <f t="shared" si="21"/>
        <v>-1.2256418792805665E-2</v>
      </c>
    </row>
    <row r="673" spans="1:7" x14ac:dyDescent="0.3">
      <c r="A673" s="33">
        <v>43354</v>
      </c>
      <c r="B673" s="34">
        <v>655.45</v>
      </c>
      <c r="C673" s="34">
        <f t="shared" si="20"/>
        <v>-1.8067543673455269E-2</v>
      </c>
      <c r="E673" s="33">
        <v>43354</v>
      </c>
      <c r="F673" s="34">
        <v>37413.129999999997</v>
      </c>
      <c r="G673" s="34">
        <f t="shared" si="21"/>
        <v>-1.3514189159168981E-2</v>
      </c>
    </row>
    <row r="674" spans="1:7" x14ac:dyDescent="0.3">
      <c r="A674" s="33">
        <v>43355</v>
      </c>
      <c r="B674" s="34">
        <v>657.8</v>
      </c>
      <c r="C674" s="34">
        <f t="shared" si="20"/>
        <v>3.5789111111383214E-3</v>
      </c>
      <c r="E674" s="33">
        <v>43355</v>
      </c>
      <c r="F674" s="34">
        <v>37717.96</v>
      </c>
      <c r="G674" s="34">
        <f t="shared" si="21"/>
        <v>8.114661259275199E-3</v>
      </c>
    </row>
    <row r="675" spans="1:7" x14ac:dyDescent="0.3">
      <c r="A675" s="33">
        <v>43357</v>
      </c>
      <c r="B675" s="34">
        <v>666.25</v>
      </c>
      <c r="C675" s="34">
        <f t="shared" si="20"/>
        <v>1.2764041725097736E-2</v>
      </c>
      <c r="E675" s="33">
        <v>43357</v>
      </c>
      <c r="F675" s="34">
        <v>38090.639999999999</v>
      </c>
      <c r="G675" s="34">
        <f t="shared" si="21"/>
        <v>9.832209071679263E-3</v>
      </c>
    </row>
    <row r="676" spans="1:7" x14ac:dyDescent="0.3">
      <c r="A676" s="33">
        <v>43360</v>
      </c>
      <c r="B676" s="34">
        <v>663</v>
      </c>
      <c r="C676" s="34">
        <f t="shared" si="20"/>
        <v>-4.8899852941917919E-3</v>
      </c>
      <c r="E676" s="33">
        <v>43360</v>
      </c>
      <c r="F676" s="34">
        <v>37585.51</v>
      </c>
      <c r="G676" s="34">
        <f t="shared" si="21"/>
        <v>-1.3349978879253129E-2</v>
      </c>
    </row>
    <row r="677" spans="1:7" x14ac:dyDescent="0.3">
      <c r="A677" s="33">
        <v>43361</v>
      </c>
      <c r="B677" s="34">
        <v>662.25</v>
      </c>
      <c r="C677" s="34">
        <f t="shared" si="20"/>
        <v>-1.1318620336834176E-3</v>
      </c>
      <c r="E677" s="33">
        <v>43361</v>
      </c>
      <c r="F677" s="34">
        <v>37290.67</v>
      </c>
      <c r="G677" s="34">
        <f t="shared" si="21"/>
        <v>-7.8754424676463486E-3</v>
      </c>
    </row>
    <row r="678" spans="1:7" x14ac:dyDescent="0.3">
      <c r="A678" s="33">
        <v>43362</v>
      </c>
      <c r="B678" s="34">
        <v>659.45</v>
      </c>
      <c r="C678" s="34">
        <f t="shared" si="20"/>
        <v>-4.2369738802851735E-3</v>
      </c>
      <c r="E678" s="33">
        <v>43362</v>
      </c>
      <c r="F678" s="34">
        <v>37121.22</v>
      </c>
      <c r="G678" s="34">
        <f t="shared" si="21"/>
        <v>-4.5543875555510878E-3</v>
      </c>
    </row>
    <row r="679" spans="1:7" x14ac:dyDescent="0.3">
      <c r="A679" s="33">
        <v>43364</v>
      </c>
      <c r="B679" s="34">
        <v>660.6</v>
      </c>
      <c r="C679" s="34">
        <f t="shared" si="20"/>
        <v>1.7423586847954322E-3</v>
      </c>
      <c r="E679" s="33">
        <v>43364</v>
      </c>
      <c r="F679" s="34">
        <v>36841.599999999999</v>
      </c>
      <c r="G679" s="34">
        <f t="shared" si="21"/>
        <v>-7.5611322600144335E-3</v>
      </c>
    </row>
    <row r="680" spans="1:7" x14ac:dyDescent="0.3">
      <c r="A680" s="33">
        <v>43367</v>
      </c>
      <c r="B680" s="34">
        <v>646.1</v>
      </c>
      <c r="C680" s="34">
        <f t="shared" si="20"/>
        <v>-2.2194222392569473E-2</v>
      </c>
      <c r="E680" s="33">
        <v>43367</v>
      </c>
      <c r="F680" s="34">
        <v>36305.019999999997</v>
      </c>
      <c r="G680" s="34">
        <f t="shared" si="21"/>
        <v>-1.4671617776842619E-2</v>
      </c>
    </row>
    <row r="681" spans="1:7" x14ac:dyDescent="0.3">
      <c r="A681" s="33">
        <v>43368</v>
      </c>
      <c r="B681" s="34">
        <v>660.2</v>
      </c>
      <c r="C681" s="34">
        <f t="shared" si="20"/>
        <v>2.158852885497289E-2</v>
      </c>
      <c r="E681" s="33">
        <v>43368</v>
      </c>
      <c r="F681" s="34">
        <v>36652.06</v>
      </c>
      <c r="G681" s="34">
        <f t="shared" si="21"/>
        <v>9.5136103997048548E-3</v>
      </c>
    </row>
    <row r="682" spans="1:7" x14ac:dyDescent="0.3">
      <c r="A682" s="33">
        <v>43369</v>
      </c>
      <c r="B682" s="34">
        <v>671</v>
      </c>
      <c r="C682" s="34">
        <f t="shared" si="20"/>
        <v>1.6226317552589069E-2</v>
      </c>
      <c r="E682" s="33">
        <v>43369</v>
      </c>
      <c r="F682" s="34">
        <v>36542.269999999997</v>
      </c>
      <c r="G682" s="34">
        <f t="shared" si="21"/>
        <v>-2.9999613997523464E-3</v>
      </c>
    </row>
    <row r="683" spans="1:7" x14ac:dyDescent="0.3">
      <c r="A683" s="33">
        <v>43370</v>
      </c>
      <c r="B683" s="34">
        <v>659.45</v>
      </c>
      <c r="C683" s="34">
        <f t="shared" si="20"/>
        <v>-1.7362982699787893E-2</v>
      </c>
      <c r="E683" s="33">
        <v>43370</v>
      </c>
      <c r="F683" s="34">
        <v>36324.17</v>
      </c>
      <c r="G683" s="34">
        <f t="shared" si="21"/>
        <v>-5.9863128023774879E-3</v>
      </c>
    </row>
    <row r="684" spans="1:7" x14ac:dyDescent="0.3">
      <c r="A684" s="33">
        <v>43371</v>
      </c>
      <c r="B684" s="34">
        <v>653.29999999999995</v>
      </c>
      <c r="C684" s="34">
        <f t="shared" si="20"/>
        <v>-9.3697124251892992E-3</v>
      </c>
      <c r="E684" s="33">
        <v>43371</v>
      </c>
      <c r="F684" s="34">
        <v>36227.14</v>
      </c>
      <c r="G684" s="34">
        <f t="shared" si="21"/>
        <v>-2.6747982317742868E-3</v>
      </c>
    </row>
    <row r="685" spans="1:7" x14ac:dyDescent="0.3">
      <c r="A685" s="33">
        <v>43374</v>
      </c>
      <c r="B685" s="34">
        <v>654.29999999999995</v>
      </c>
      <c r="C685" s="34">
        <f t="shared" si="20"/>
        <v>1.5295200289883574E-3</v>
      </c>
      <c r="E685" s="33">
        <v>43374</v>
      </c>
      <c r="F685" s="34">
        <v>36526.14</v>
      </c>
      <c r="G685" s="34">
        <f t="shared" si="21"/>
        <v>8.2196069625015324E-3</v>
      </c>
    </row>
    <row r="686" spans="1:7" x14ac:dyDescent="0.3">
      <c r="A686" s="33">
        <v>43376</v>
      </c>
      <c r="B686" s="34">
        <v>653.65</v>
      </c>
      <c r="C686" s="34">
        <f t="shared" si="20"/>
        <v>-9.939218678239989E-4</v>
      </c>
      <c r="E686" s="33">
        <v>43376</v>
      </c>
      <c r="F686" s="34">
        <v>35975.629999999997</v>
      </c>
      <c r="G686" s="34">
        <f t="shared" si="21"/>
        <v>-1.5186403867349372E-2</v>
      </c>
    </row>
    <row r="687" spans="1:7" x14ac:dyDescent="0.3">
      <c r="A687" s="33">
        <v>43377</v>
      </c>
      <c r="B687" s="34">
        <v>637.79999999999995</v>
      </c>
      <c r="C687" s="34">
        <f t="shared" si="20"/>
        <v>-2.4547285431911828E-2</v>
      </c>
      <c r="E687" s="33">
        <v>43377</v>
      </c>
      <c r="F687" s="34">
        <v>35169.160000000003</v>
      </c>
      <c r="G687" s="34">
        <f t="shared" si="21"/>
        <v>-2.2672202572692958E-2</v>
      </c>
    </row>
    <row r="688" spans="1:7" x14ac:dyDescent="0.3">
      <c r="A688" s="33">
        <v>43378</v>
      </c>
      <c r="B688" s="34">
        <v>634.54999999999995</v>
      </c>
      <c r="C688" s="34">
        <f t="shared" si="20"/>
        <v>-5.1086683197838654E-3</v>
      </c>
      <c r="E688" s="33">
        <v>43378</v>
      </c>
      <c r="F688" s="34">
        <v>34376.99</v>
      </c>
      <c r="G688" s="34">
        <f t="shared" si="21"/>
        <v>-2.2782116988413217E-2</v>
      </c>
    </row>
    <row r="689" spans="1:7" x14ac:dyDescent="0.3">
      <c r="A689" s="33">
        <v>43381</v>
      </c>
      <c r="B689" s="34">
        <v>638.35</v>
      </c>
      <c r="C689" s="34">
        <f t="shared" si="20"/>
        <v>5.9706360101866064E-3</v>
      </c>
      <c r="E689" s="33">
        <v>43381</v>
      </c>
      <c r="F689" s="34">
        <v>34474.379999999997</v>
      </c>
      <c r="G689" s="34">
        <f t="shared" si="21"/>
        <v>2.8289942510279524E-3</v>
      </c>
    </row>
    <row r="690" spans="1:7" x14ac:dyDescent="0.3">
      <c r="A690" s="33">
        <v>43382</v>
      </c>
      <c r="B690" s="34">
        <v>639.4</v>
      </c>
      <c r="C690" s="34">
        <f t="shared" si="20"/>
        <v>1.6435143593811214E-3</v>
      </c>
      <c r="E690" s="33">
        <v>43382</v>
      </c>
      <c r="F690" s="34">
        <v>34299.47</v>
      </c>
      <c r="G690" s="34">
        <f t="shared" si="21"/>
        <v>-5.0865373137713261E-3</v>
      </c>
    </row>
    <row r="691" spans="1:7" x14ac:dyDescent="0.3">
      <c r="A691" s="33">
        <v>43383</v>
      </c>
      <c r="B691" s="34">
        <v>637.85</v>
      </c>
      <c r="C691" s="34">
        <f t="shared" si="20"/>
        <v>-2.4270906414419458E-3</v>
      </c>
      <c r="E691" s="33">
        <v>43383</v>
      </c>
      <c r="F691" s="34">
        <v>34760.89</v>
      </c>
      <c r="G691" s="34">
        <f t="shared" si="21"/>
        <v>1.3363002054634695E-2</v>
      </c>
    </row>
    <row r="692" spans="1:7" x14ac:dyDescent="0.3">
      <c r="A692" s="33">
        <v>43384</v>
      </c>
      <c r="B692" s="34">
        <v>617.75</v>
      </c>
      <c r="C692" s="34">
        <f t="shared" si="20"/>
        <v>-3.2019301115579608E-2</v>
      </c>
      <c r="E692" s="33">
        <v>43384</v>
      </c>
      <c r="F692" s="34">
        <v>34001.15</v>
      </c>
      <c r="G692" s="34">
        <f t="shared" si="21"/>
        <v>-2.2098556638533062E-2</v>
      </c>
    </row>
    <row r="693" spans="1:7" x14ac:dyDescent="0.3">
      <c r="A693" s="33">
        <v>43385</v>
      </c>
      <c r="B693" s="34">
        <v>622.45000000000005</v>
      </c>
      <c r="C693" s="34">
        <f t="shared" si="20"/>
        <v>7.5794589590756703E-3</v>
      </c>
      <c r="E693" s="33">
        <v>43385</v>
      </c>
      <c r="F693" s="34">
        <v>34733.58</v>
      </c>
      <c r="G693" s="34">
        <f t="shared" si="21"/>
        <v>2.1312594779816445E-2</v>
      </c>
    </row>
    <row r="694" spans="1:7" x14ac:dyDescent="0.3">
      <c r="A694" s="33">
        <v>43388</v>
      </c>
      <c r="B694" s="34">
        <v>646</v>
      </c>
      <c r="C694" s="34">
        <f t="shared" si="20"/>
        <v>3.7136199954806784E-2</v>
      </c>
      <c r="E694" s="33">
        <v>43388</v>
      </c>
      <c r="F694" s="34">
        <v>34865.1</v>
      </c>
      <c r="G694" s="34">
        <f t="shared" si="21"/>
        <v>3.7793865214108334E-3</v>
      </c>
    </row>
    <row r="695" spans="1:7" x14ac:dyDescent="0.3">
      <c r="A695" s="33">
        <v>43389</v>
      </c>
      <c r="B695" s="34">
        <v>640</v>
      </c>
      <c r="C695" s="34">
        <f t="shared" si="20"/>
        <v>-9.3313274288843052E-3</v>
      </c>
      <c r="E695" s="33">
        <v>43389</v>
      </c>
      <c r="F695" s="34">
        <v>35162.480000000003</v>
      </c>
      <c r="G695" s="34">
        <f t="shared" si="21"/>
        <v>8.493276153244524E-3</v>
      </c>
    </row>
    <row r="696" spans="1:7" x14ac:dyDescent="0.3">
      <c r="A696" s="33">
        <v>43390</v>
      </c>
      <c r="B696" s="34">
        <v>640.15</v>
      </c>
      <c r="C696" s="34">
        <f t="shared" si="20"/>
        <v>2.3434753847047658E-4</v>
      </c>
      <c r="E696" s="33">
        <v>43390</v>
      </c>
      <c r="F696" s="34">
        <v>34779.58</v>
      </c>
      <c r="G696" s="34">
        <f t="shared" si="21"/>
        <v>-1.0949172080512789E-2</v>
      </c>
    </row>
    <row r="697" spans="1:7" x14ac:dyDescent="0.3">
      <c r="A697" s="33">
        <v>43392</v>
      </c>
      <c r="B697" s="34">
        <v>633.85</v>
      </c>
      <c r="C697" s="34">
        <f t="shared" si="20"/>
        <v>-9.8901905074522765E-3</v>
      </c>
      <c r="E697" s="33">
        <v>43392</v>
      </c>
      <c r="F697" s="34">
        <v>34315.629999999997</v>
      </c>
      <c r="G697" s="34">
        <f t="shared" si="21"/>
        <v>-1.3429497437379579E-2</v>
      </c>
    </row>
    <row r="698" spans="1:7" x14ac:dyDescent="0.3">
      <c r="A698" s="33">
        <v>43395</v>
      </c>
      <c r="B698" s="34">
        <v>629.20000000000005</v>
      </c>
      <c r="C698" s="34">
        <f t="shared" si="20"/>
        <v>-7.3631622006129112E-3</v>
      </c>
      <c r="E698" s="33">
        <v>43395</v>
      </c>
      <c r="F698" s="34">
        <v>34134.379999999997</v>
      </c>
      <c r="G698" s="34">
        <f t="shared" si="21"/>
        <v>-5.2958479804852254E-3</v>
      </c>
    </row>
    <row r="699" spans="1:7" x14ac:dyDescent="0.3">
      <c r="A699" s="33">
        <v>43396</v>
      </c>
      <c r="B699" s="34">
        <v>622.95000000000005</v>
      </c>
      <c r="C699" s="34">
        <f t="shared" si="20"/>
        <v>-9.9829124392505127E-3</v>
      </c>
      <c r="E699" s="33">
        <v>43396</v>
      </c>
      <c r="F699" s="34">
        <v>33847.230000000003</v>
      </c>
      <c r="G699" s="34">
        <f t="shared" si="21"/>
        <v>-8.447923129814008E-3</v>
      </c>
    </row>
    <row r="700" spans="1:7" x14ac:dyDescent="0.3">
      <c r="A700" s="33">
        <v>43397</v>
      </c>
      <c r="B700" s="34">
        <v>620.9</v>
      </c>
      <c r="C700" s="34">
        <f t="shared" si="20"/>
        <v>-3.2962203740252078E-3</v>
      </c>
      <c r="E700" s="33">
        <v>43397</v>
      </c>
      <c r="F700" s="34">
        <v>34033.96</v>
      </c>
      <c r="G700" s="34">
        <f t="shared" si="21"/>
        <v>5.5016852534103804E-3</v>
      </c>
    </row>
    <row r="701" spans="1:7" x14ac:dyDescent="0.3">
      <c r="A701" s="33">
        <v>43398</v>
      </c>
      <c r="B701" s="34">
        <v>610.70000000000005</v>
      </c>
      <c r="C701" s="34">
        <f t="shared" si="20"/>
        <v>-1.6564198141757948E-2</v>
      </c>
      <c r="E701" s="33">
        <v>43398</v>
      </c>
      <c r="F701" s="34">
        <v>33690.089999999997</v>
      </c>
      <c r="G701" s="34">
        <f t="shared" si="21"/>
        <v>-1.0155120822517729E-2</v>
      </c>
    </row>
    <row r="702" spans="1:7" x14ac:dyDescent="0.3">
      <c r="A702" s="33">
        <v>43399</v>
      </c>
      <c r="B702" s="34">
        <v>603.45000000000005</v>
      </c>
      <c r="C702" s="34">
        <f t="shared" si="20"/>
        <v>-1.1942653165182131E-2</v>
      </c>
      <c r="E702" s="33">
        <v>43399</v>
      </c>
      <c r="F702" s="34">
        <v>33349.31</v>
      </c>
      <c r="G702" s="34">
        <f t="shared" si="21"/>
        <v>-1.0166646338317148E-2</v>
      </c>
    </row>
    <row r="703" spans="1:7" x14ac:dyDescent="0.3">
      <c r="A703" s="33">
        <v>43402</v>
      </c>
      <c r="B703" s="34">
        <v>634.6</v>
      </c>
      <c r="C703" s="34">
        <f t="shared" si="20"/>
        <v>5.0331692085188312E-2</v>
      </c>
      <c r="E703" s="33">
        <v>43402</v>
      </c>
      <c r="F703" s="34">
        <v>34067.4</v>
      </c>
      <c r="G703" s="34">
        <f t="shared" si="21"/>
        <v>2.1303832796164695E-2</v>
      </c>
    </row>
    <row r="704" spans="1:7" x14ac:dyDescent="0.3">
      <c r="A704" s="33">
        <v>43403</v>
      </c>
      <c r="B704" s="34">
        <v>610.29999999999995</v>
      </c>
      <c r="C704" s="34">
        <f t="shared" si="20"/>
        <v>-3.9044239598645988E-2</v>
      </c>
      <c r="E704" s="33">
        <v>43403</v>
      </c>
      <c r="F704" s="34">
        <v>33891.129999999997</v>
      </c>
      <c r="G704" s="34">
        <f t="shared" si="21"/>
        <v>-5.1875870564258748E-3</v>
      </c>
    </row>
    <row r="705" spans="1:7" x14ac:dyDescent="0.3">
      <c r="A705" s="33">
        <v>43404</v>
      </c>
      <c r="B705" s="34">
        <v>627.9</v>
      </c>
      <c r="C705" s="34">
        <f t="shared" si="20"/>
        <v>2.8430278569614515E-2</v>
      </c>
      <c r="E705" s="33">
        <v>43404</v>
      </c>
      <c r="F705" s="34">
        <v>34442.050000000003</v>
      </c>
      <c r="G705" s="34">
        <f t="shared" si="21"/>
        <v>1.6124873365417007E-2</v>
      </c>
    </row>
    <row r="706" spans="1:7" x14ac:dyDescent="0.3">
      <c r="A706" s="33">
        <v>43405</v>
      </c>
      <c r="B706" s="34">
        <v>616.1</v>
      </c>
      <c r="C706" s="34">
        <f t="shared" si="20"/>
        <v>-1.8971630099538641E-2</v>
      </c>
      <c r="E706" s="33">
        <v>43405</v>
      </c>
      <c r="F706" s="34">
        <v>34431.97</v>
      </c>
      <c r="G706" s="34">
        <f t="shared" si="21"/>
        <v>-2.9270834117051613E-4</v>
      </c>
    </row>
    <row r="707" spans="1:7" x14ac:dyDescent="0.3">
      <c r="A707" s="33">
        <v>43406</v>
      </c>
      <c r="B707" s="34">
        <v>608.5</v>
      </c>
      <c r="C707" s="34">
        <f t="shared" si="20"/>
        <v>-1.2412375592943193E-2</v>
      </c>
      <c r="E707" s="33">
        <v>43406</v>
      </c>
      <c r="F707" s="34">
        <v>35011.65</v>
      </c>
      <c r="G707" s="34">
        <f t="shared" si="21"/>
        <v>1.6695369991209963E-2</v>
      </c>
    </row>
    <row r="708" spans="1:7" x14ac:dyDescent="0.3">
      <c r="A708" s="33">
        <v>43409</v>
      </c>
      <c r="B708" s="34">
        <v>563.9</v>
      </c>
      <c r="C708" s="34">
        <f t="shared" si="20"/>
        <v>-7.611998161444547E-2</v>
      </c>
      <c r="E708" s="33">
        <v>43409</v>
      </c>
      <c r="F708" s="34">
        <v>34950.92</v>
      </c>
      <c r="G708" s="34">
        <f t="shared" si="21"/>
        <v>-1.7360715952280043E-3</v>
      </c>
    </row>
    <row r="709" spans="1:7" x14ac:dyDescent="0.3">
      <c r="A709" s="33">
        <v>43410</v>
      </c>
      <c r="B709" s="34">
        <v>531.85</v>
      </c>
      <c r="C709" s="34">
        <f t="shared" si="20"/>
        <v>-5.8515436115462491E-2</v>
      </c>
      <c r="E709" s="33">
        <v>43410</v>
      </c>
      <c r="F709" s="34">
        <v>34991.910000000003</v>
      </c>
      <c r="G709" s="34">
        <f t="shared" si="21"/>
        <v>1.1721002622496676E-3</v>
      </c>
    </row>
    <row r="710" spans="1:7" x14ac:dyDescent="0.3">
      <c r="A710" s="33">
        <v>43411</v>
      </c>
      <c r="B710" s="34">
        <v>533.35</v>
      </c>
      <c r="C710" s="34">
        <f t="shared" si="20"/>
        <v>2.8163743738180242E-3</v>
      </c>
      <c r="E710" s="33">
        <v>43411</v>
      </c>
      <c r="F710" s="34">
        <v>35237.68</v>
      </c>
      <c r="G710" s="34">
        <f t="shared" si="21"/>
        <v>6.9990727069357012E-3</v>
      </c>
    </row>
    <row r="711" spans="1:7" x14ac:dyDescent="0.3">
      <c r="A711" s="33">
        <v>43413</v>
      </c>
      <c r="B711" s="34">
        <v>526.79999999999995</v>
      </c>
      <c r="C711" s="34">
        <f t="shared" ref="C711:C774" si="22">LN(B711/B710)</f>
        <v>-1.2356899202366003E-2</v>
      </c>
      <c r="E711" s="33">
        <v>43413</v>
      </c>
      <c r="F711" s="34">
        <v>35158.550000000003</v>
      </c>
      <c r="G711" s="34">
        <f t="shared" ref="G711:G774" si="23">LN(F711/F710)</f>
        <v>-2.2481327005033284E-3</v>
      </c>
    </row>
    <row r="712" spans="1:7" x14ac:dyDescent="0.3">
      <c r="A712" s="33">
        <v>43416</v>
      </c>
      <c r="B712" s="34">
        <v>531.9</v>
      </c>
      <c r="C712" s="34">
        <f t="shared" si="22"/>
        <v>9.6345318791458828E-3</v>
      </c>
      <c r="E712" s="33">
        <v>43416</v>
      </c>
      <c r="F712" s="34">
        <v>34812.99</v>
      </c>
      <c r="G712" s="34">
        <f t="shared" si="23"/>
        <v>-9.8772389286810869E-3</v>
      </c>
    </row>
    <row r="713" spans="1:7" x14ac:dyDescent="0.3">
      <c r="A713" s="33">
        <v>43417</v>
      </c>
      <c r="B713" s="34">
        <v>528.1</v>
      </c>
      <c r="C713" s="34">
        <f t="shared" si="22"/>
        <v>-7.1698420353843353E-3</v>
      </c>
      <c r="E713" s="33">
        <v>43417</v>
      </c>
      <c r="F713" s="34">
        <v>35144.49</v>
      </c>
      <c r="G713" s="34">
        <f t="shared" si="23"/>
        <v>9.4772562198977128E-3</v>
      </c>
    </row>
    <row r="714" spans="1:7" x14ac:dyDescent="0.3">
      <c r="A714" s="33">
        <v>43418</v>
      </c>
      <c r="B714" s="34">
        <v>520.1</v>
      </c>
      <c r="C714" s="34">
        <f t="shared" si="22"/>
        <v>-1.5264558933860709E-2</v>
      </c>
      <c r="E714" s="33">
        <v>43418</v>
      </c>
      <c r="F714" s="34">
        <v>35141.99</v>
      </c>
      <c r="G714" s="34">
        <f t="shared" si="23"/>
        <v>-7.1137436418899737E-5</v>
      </c>
    </row>
    <row r="715" spans="1:7" x14ac:dyDescent="0.3">
      <c r="A715" s="33">
        <v>43419</v>
      </c>
      <c r="B715" s="34">
        <v>519</v>
      </c>
      <c r="C715" s="34">
        <f t="shared" si="22"/>
        <v>-2.117217613138231E-3</v>
      </c>
      <c r="E715" s="33">
        <v>43419</v>
      </c>
      <c r="F715" s="34">
        <v>35260.54</v>
      </c>
      <c r="G715" s="34">
        <f t="shared" si="23"/>
        <v>3.3677798808909218E-3</v>
      </c>
    </row>
    <row r="716" spans="1:7" x14ac:dyDescent="0.3">
      <c r="A716" s="33">
        <v>43420</v>
      </c>
      <c r="B716" s="34">
        <v>530.9</v>
      </c>
      <c r="C716" s="34">
        <f t="shared" si="22"/>
        <v>2.2669796423737214E-2</v>
      </c>
      <c r="E716" s="33">
        <v>43420</v>
      </c>
      <c r="F716" s="34">
        <v>35457.160000000003</v>
      </c>
      <c r="G716" s="34">
        <f t="shared" si="23"/>
        <v>5.5607155393757228E-3</v>
      </c>
    </row>
    <row r="717" spans="1:7" x14ac:dyDescent="0.3">
      <c r="A717" s="33">
        <v>43423</v>
      </c>
      <c r="B717" s="34">
        <v>528.70000000000005</v>
      </c>
      <c r="C717" s="34">
        <f t="shared" si="22"/>
        <v>-4.1525163482210971E-3</v>
      </c>
      <c r="E717" s="33">
        <v>43423</v>
      </c>
      <c r="F717" s="34">
        <v>35774.879999999997</v>
      </c>
      <c r="G717" s="34">
        <f t="shared" si="23"/>
        <v>8.9207639430545736E-3</v>
      </c>
    </row>
    <row r="718" spans="1:7" x14ac:dyDescent="0.3">
      <c r="A718" s="33">
        <v>43424</v>
      </c>
      <c r="B718" s="34">
        <v>521.29999999999995</v>
      </c>
      <c r="C718" s="34">
        <f t="shared" si="22"/>
        <v>-1.4095471467344521E-2</v>
      </c>
      <c r="E718" s="33">
        <v>43424</v>
      </c>
      <c r="F718" s="34">
        <v>35474.51</v>
      </c>
      <c r="G718" s="34">
        <f t="shared" si="23"/>
        <v>-8.4315607325276942E-3</v>
      </c>
    </row>
    <row r="719" spans="1:7" x14ac:dyDescent="0.3">
      <c r="A719" s="33">
        <v>43425</v>
      </c>
      <c r="B719" s="34">
        <v>522.04999999999995</v>
      </c>
      <c r="C719" s="34">
        <f t="shared" si="22"/>
        <v>1.4376769620592035E-3</v>
      </c>
      <c r="E719" s="33">
        <v>43425</v>
      </c>
      <c r="F719" s="34">
        <v>35199.800000000003</v>
      </c>
      <c r="G719" s="34">
        <f t="shared" si="23"/>
        <v>-7.7740096369391188E-3</v>
      </c>
    </row>
    <row r="720" spans="1:7" x14ac:dyDescent="0.3">
      <c r="A720" s="33">
        <v>43426</v>
      </c>
      <c r="B720" s="34">
        <v>517.79999999999995</v>
      </c>
      <c r="C720" s="34">
        <f t="shared" si="22"/>
        <v>-8.1743014186820458E-3</v>
      </c>
      <c r="E720" s="33">
        <v>43426</v>
      </c>
      <c r="F720" s="34">
        <v>34981.019999999997</v>
      </c>
      <c r="G720" s="34">
        <f t="shared" si="23"/>
        <v>-6.2347720846771156E-3</v>
      </c>
    </row>
    <row r="721" spans="1:7" x14ac:dyDescent="0.3">
      <c r="A721" s="33">
        <v>43430</v>
      </c>
      <c r="B721" s="34">
        <v>522.25</v>
      </c>
      <c r="C721" s="34">
        <f t="shared" si="22"/>
        <v>8.5573331192380399E-3</v>
      </c>
      <c r="E721" s="33">
        <v>43430</v>
      </c>
      <c r="F721" s="34">
        <v>35354.080000000002</v>
      </c>
      <c r="G721" s="34">
        <f t="shared" si="23"/>
        <v>1.060817425348308E-2</v>
      </c>
    </row>
    <row r="722" spans="1:7" x14ac:dyDescent="0.3">
      <c r="A722" s="33">
        <v>43431</v>
      </c>
      <c r="B722" s="34">
        <v>517.9</v>
      </c>
      <c r="C722" s="34">
        <f t="shared" si="22"/>
        <v>-8.3642270068294122E-3</v>
      </c>
      <c r="E722" s="33">
        <v>43431</v>
      </c>
      <c r="F722" s="34">
        <v>35513.14</v>
      </c>
      <c r="G722" s="34">
        <f t="shared" si="23"/>
        <v>4.4889659026828357E-3</v>
      </c>
    </row>
    <row r="723" spans="1:7" x14ac:dyDescent="0.3">
      <c r="A723" s="33">
        <v>43432</v>
      </c>
      <c r="B723" s="34">
        <v>515</v>
      </c>
      <c r="C723" s="34">
        <f t="shared" si="22"/>
        <v>-5.6152727661096108E-3</v>
      </c>
      <c r="E723" s="33">
        <v>43432</v>
      </c>
      <c r="F723" s="34">
        <v>35716.949999999997</v>
      </c>
      <c r="G723" s="34">
        <f t="shared" si="23"/>
        <v>5.7225971832745616E-3</v>
      </c>
    </row>
    <row r="724" spans="1:7" x14ac:dyDescent="0.3">
      <c r="A724" s="33">
        <v>43433</v>
      </c>
      <c r="B724" s="34">
        <v>524.54999999999995</v>
      </c>
      <c r="C724" s="34">
        <f t="shared" si="22"/>
        <v>1.8373851513758348E-2</v>
      </c>
      <c r="E724" s="33">
        <v>43433</v>
      </c>
      <c r="F724" s="34">
        <v>36170.410000000003</v>
      </c>
      <c r="G724" s="34">
        <f t="shared" si="23"/>
        <v>1.2616015236066785E-2</v>
      </c>
    </row>
    <row r="725" spans="1:7" x14ac:dyDescent="0.3">
      <c r="A725" s="33">
        <v>43434</v>
      </c>
      <c r="B725" s="34">
        <v>539.9</v>
      </c>
      <c r="C725" s="34">
        <f t="shared" si="22"/>
        <v>2.8843185046746718E-2</v>
      </c>
      <c r="E725" s="33">
        <v>43434</v>
      </c>
      <c r="F725" s="34">
        <v>36194.300000000003</v>
      </c>
      <c r="G725" s="34">
        <f t="shared" si="23"/>
        <v>6.6026660973018329E-4</v>
      </c>
    </row>
    <row r="726" spans="1:7" x14ac:dyDescent="0.3">
      <c r="A726" s="33">
        <v>43437</v>
      </c>
      <c r="B726" s="34">
        <v>536.1</v>
      </c>
      <c r="C726" s="34">
        <f t="shared" si="22"/>
        <v>-7.0632263907492122E-3</v>
      </c>
      <c r="E726" s="33">
        <v>43437</v>
      </c>
      <c r="F726" s="34">
        <v>36241</v>
      </c>
      <c r="G726" s="34">
        <f t="shared" si="23"/>
        <v>1.289426742772297E-3</v>
      </c>
    </row>
    <row r="727" spans="1:7" x14ac:dyDescent="0.3">
      <c r="A727" s="33">
        <v>43438</v>
      </c>
      <c r="B727" s="34">
        <v>546.35</v>
      </c>
      <c r="C727" s="34">
        <f t="shared" si="22"/>
        <v>1.8939085183262261E-2</v>
      </c>
      <c r="E727" s="33">
        <v>43438</v>
      </c>
      <c r="F727" s="34">
        <v>36134.31</v>
      </c>
      <c r="G727" s="34">
        <f t="shared" si="23"/>
        <v>-2.9482451206202906E-3</v>
      </c>
    </row>
    <row r="728" spans="1:7" x14ac:dyDescent="0.3">
      <c r="A728" s="33">
        <v>43439</v>
      </c>
      <c r="B728" s="34">
        <v>529.15</v>
      </c>
      <c r="C728" s="34">
        <f t="shared" si="22"/>
        <v>-3.1987850477020921E-2</v>
      </c>
      <c r="E728" s="33">
        <v>43439</v>
      </c>
      <c r="F728" s="34">
        <v>35884.410000000003</v>
      </c>
      <c r="G728" s="34">
        <f t="shared" si="23"/>
        <v>-6.9398901556264499E-3</v>
      </c>
    </row>
    <row r="729" spans="1:7" x14ac:dyDescent="0.3">
      <c r="A729" s="33">
        <v>43440</v>
      </c>
      <c r="B729" s="34">
        <v>517.20000000000005</v>
      </c>
      <c r="C729" s="34">
        <f t="shared" si="22"/>
        <v>-2.2842298642030977E-2</v>
      </c>
      <c r="E729" s="33">
        <v>43440</v>
      </c>
      <c r="F729" s="34">
        <v>35312.129999999997</v>
      </c>
      <c r="G729" s="34">
        <f t="shared" si="23"/>
        <v>-1.6076408361153822E-2</v>
      </c>
    </row>
    <row r="730" spans="1:7" x14ac:dyDescent="0.3">
      <c r="A730" s="33">
        <v>43441</v>
      </c>
      <c r="B730" s="34">
        <v>515.1</v>
      </c>
      <c r="C730" s="34">
        <f t="shared" si="22"/>
        <v>-4.0685903261629694E-3</v>
      </c>
      <c r="E730" s="33">
        <v>43441</v>
      </c>
      <c r="F730" s="34">
        <v>35673.25</v>
      </c>
      <c r="G730" s="34">
        <f t="shared" si="23"/>
        <v>1.0174577224699905E-2</v>
      </c>
    </row>
    <row r="731" spans="1:7" x14ac:dyDescent="0.3">
      <c r="A731" s="33">
        <v>43444</v>
      </c>
      <c r="B731" s="34">
        <v>513</v>
      </c>
      <c r="C731" s="34">
        <f t="shared" si="22"/>
        <v>-4.0852114007700604E-3</v>
      </c>
      <c r="E731" s="33">
        <v>43444</v>
      </c>
      <c r="F731" s="34">
        <v>34959.72</v>
      </c>
      <c r="G731" s="34">
        <f t="shared" si="23"/>
        <v>-2.0204566598416761E-2</v>
      </c>
    </row>
    <row r="732" spans="1:7" x14ac:dyDescent="0.3">
      <c r="A732" s="33">
        <v>43445</v>
      </c>
      <c r="B732" s="34">
        <v>519.75</v>
      </c>
      <c r="C732" s="34">
        <f t="shared" si="22"/>
        <v>1.3072081567352701E-2</v>
      </c>
      <c r="E732" s="33">
        <v>43445</v>
      </c>
      <c r="F732" s="34">
        <v>35150.01</v>
      </c>
      <c r="G732" s="34">
        <f t="shared" si="23"/>
        <v>5.4283611497116377E-3</v>
      </c>
    </row>
    <row r="733" spans="1:7" x14ac:dyDescent="0.3">
      <c r="A733" s="33">
        <v>43446</v>
      </c>
      <c r="B733" s="34">
        <v>530.25</v>
      </c>
      <c r="C733" s="34">
        <f t="shared" si="22"/>
        <v>2.0000666706669435E-2</v>
      </c>
      <c r="E733" s="33">
        <v>43446</v>
      </c>
      <c r="F733" s="34">
        <v>35779.07</v>
      </c>
      <c r="G733" s="34">
        <f t="shared" si="23"/>
        <v>1.7738182816716838E-2</v>
      </c>
    </row>
    <row r="734" spans="1:7" x14ac:dyDescent="0.3">
      <c r="A734" s="33">
        <v>43447</v>
      </c>
      <c r="B734" s="34">
        <v>527.75</v>
      </c>
      <c r="C734" s="34">
        <f t="shared" si="22"/>
        <v>-4.7259067163618156E-3</v>
      </c>
      <c r="E734" s="33">
        <v>43447</v>
      </c>
      <c r="F734" s="34">
        <v>35929.64</v>
      </c>
      <c r="G734" s="34">
        <f t="shared" si="23"/>
        <v>4.1994960245336161E-3</v>
      </c>
    </row>
    <row r="735" spans="1:7" x14ac:dyDescent="0.3">
      <c r="A735" s="33">
        <v>43448</v>
      </c>
      <c r="B735" s="34">
        <v>521.4</v>
      </c>
      <c r="C735" s="34">
        <f t="shared" si="22"/>
        <v>-1.2105185229028684E-2</v>
      </c>
      <c r="E735" s="33">
        <v>43448</v>
      </c>
      <c r="F735" s="34">
        <v>35962.93</v>
      </c>
      <c r="G735" s="34">
        <f t="shared" si="23"/>
        <v>9.2610411282607928E-4</v>
      </c>
    </row>
    <row r="736" spans="1:7" x14ac:dyDescent="0.3">
      <c r="A736" s="33">
        <v>43451</v>
      </c>
      <c r="B736" s="34">
        <v>524.6</v>
      </c>
      <c r="C736" s="34">
        <f t="shared" si="22"/>
        <v>6.1185659333719486E-3</v>
      </c>
      <c r="E736" s="33">
        <v>43451</v>
      </c>
      <c r="F736" s="34">
        <v>36270.07</v>
      </c>
      <c r="G736" s="34">
        <f t="shared" si="23"/>
        <v>8.5041975568892897E-3</v>
      </c>
    </row>
    <row r="737" spans="1:7" x14ac:dyDescent="0.3">
      <c r="A737" s="33">
        <v>43452</v>
      </c>
      <c r="B737" s="34">
        <v>523.1</v>
      </c>
      <c r="C737" s="34">
        <f t="shared" si="22"/>
        <v>-2.8634170562078661E-3</v>
      </c>
      <c r="E737" s="33">
        <v>43452</v>
      </c>
      <c r="F737" s="34">
        <v>36347.08</v>
      </c>
      <c r="G737" s="34">
        <f t="shared" si="23"/>
        <v>2.1209873664743547E-3</v>
      </c>
    </row>
    <row r="738" spans="1:7" x14ac:dyDescent="0.3">
      <c r="A738" s="33">
        <v>43453</v>
      </c>
      <c r="B738" s="34">
        <v>524.85</v>
      </c>
      <c r="C738" s="34">
        <f t="shared" si="22"/>
        <v>3.3398571052412956E-3</v>
      </c>
      <c r="E738" s="33">
        <v>43453</v>
      </c>
      <c r="F738" s="34">
        <v>36484.33</v>
      </c>
      <c r="G738" s="34">
        <f t="shared" si="23"/>
        <v>3.7689827087594506E-3</v>
      </c>
    </row>
    <row r="739" spans="1:7" x14ac:dyDescent="0.3">
      <c r="A739" s="33">
        <v>43454</v>
      </c>
      <c r="B739" s="34">
        <v>519.85</v>
      </c>
      <c r="C739" s="34">
        <f t="shared" si="22"/>
        <v>-9.5721990578274564E-3</v>
      </c>
      <c r="E739" s="33">
        <v>43454</v>
      </c>
      <c r="F739" s="34">
        <v>36431.67</v>
      </c>
      <c r="G739" s="34">
        <f t="shared" si="23"/>
        <v>-1.4444020285086839E-3</v>
      </c>
    </row>
    <row r="740" spans="1:7" x14ac:dyDescent="0.3">
      <c r="A740" s="33">
        <v>43455</v>
      </c>
      <c r="B740" s="34">
        <v>516.79999999999995</v>
      </c>
      <c r="C740" s="34">
        <f t="shared" si="22"/>
        <v>-5.8843559555872508E-3</v>
      </c>
      <c r="E740" s="33">
        <v>43455</v>
      </c>
      <c r="F740" s="34">
        <v>35742.07</v>
      </c>
      <c r="G740" s="34">
        <f t="shared" si="23"/>
        <v>-1.9110024956438692E-2</v>
      </c>
    </row>
    <row r="741" spans="1:7" x14ac:dyDescent="0.3">
      <c r="A741" s="33">
        <v>43458</v>
      </c>
      <c r="B741" s="34">
        <v>517.85</v>
      </c>
      <c r="C741" s="34">
        <f t="shared" si="22"/>
        <v>2.029672566495912E-3</v>
      </c>
      <c r="E741" s="33">
        <v>43458</v>
      </c>
      <c r="F741" s="34">
        <v>35470.15</v>
      </c>
      <c r="G741" s="34">
        <f t="shared" si="23"/>
        <v>-7.6369286504654483E-3</v>
      </c>
    </row>
    <row r="742" spans="1:7" x14ac:dyDescent="0.3">
      <c r="A742" s="33">
        <v>43460</v>
      </c>
      <c r="B742" s="34">
        <v>513.9</v>
      </c>
      <c r="C742" s="34">
        <f t="shared" si="22"/>
        <v>-7.6569310367039789E-3</v>
      </c>
      <c r="E742" s="33">
        <v>43460</v>
      </c>
      <c r="F742" s="34">
        <v>35649.94</v>
      </c>
      <c r="G742" s="34">
        <f t="shared" si="23"/>
        <v>5.0559661269942453E-3</v>
      </c>
    </row>
    <row r="743" spans="1:7" x14ac:dyDescent="0.3">
      <c r="A743" s="33">
        <v>43461</v>
      </c>
      <c r="B743" s="34">
        <v>517.95000000000005</v>
      </c>
      <c r="C743" s="34">
        <f t="shared" si="22"/>
        <v>7.8500185059273003E-3</v>
      </c>
      <c r="E743" s="33">
        <v>43461</v>
      </c>
      <c r="F743" s="34">
        <v>35807.279999999999</v>
      </c>
      <c r="G743" s="34">
        <f t="shared" si="23"/>
        <v>4.4037608593198649E-3</v>
      </c>
    </row>
    <row r="744" spans="1:7" x14ac:dyDescent="0.3">
      <c r="A744" s="33">
        <v>43462</v>
      </c>
      <c r="B744" s="34">
        <v>522</v>
      </c>
      <c r="C744" s="34">
        <f t="shared" si="22"/>
        <v>7.78887537852763E-3</v>
      </c>
      <c r="E744" s="33">
        <v>43462</v>
      </c>
      <c r="F744" s="34">
        <v>36076.720000000001</v>
      </c>
      <c r="G744" s="34">
        <f t="shared" si="23"/>
        <v>7.496557282276526E-3</v>
      </c>
    </row>
    <row r="745" spans="1:7" x14ac:dyDescent="0.3">
      <c r="A745" s="33">
        <v>43465</v>
      </c>
      <c r="B745" s="34">
        <v>520</v>
      </c>
      <c r="C745" s="34">
        <f t="shared" si="22"/>
        <v>-3.8387763071657129E-3</v>
      </c>
      <c r="E745" s="33">
        <v>43465</v>
      </c>
      <c r="F745" s="34">
        <v>36068.33</v>
      </c>
      <c r="G745" s="34">
        <f t="shared" si="23"/>
        <v>-2.325869907311279E-4</v>
      </c>
    </row>
    <row r="746" spans="1:7" x14ac:dyDescent="0.3">
      <c r="A746" s="33">
        <v>43466</v>
      </c>
      <c r="B746" s="34">
        <v>523</v>
      </c>
      <c r="C746" s="34">
        <f t="shared" si="22"/>
        <v>5.7526524894498414E-3</v>
      </c>
      <c r="E746" s="33">
        <v>43466</v>
      </c>
      <c r="F746" s="34">
        <v>36254.57</v>
      </c>
      <c r="G746" s="34">
        <f t="shared" si="23"/>
        <v>5.1502473398759973E-3</v>
      </c>
    </row>
    <row r="747" spans="1:7" x14ac:dyDescent="0.3">
      <c r="A747" s="33">
        <v>43467</v>
      </c>
      <c r="B747" s="34">
        <v>515.65</v>
      </c>
      <c r="C747" s="34">
        <f t="shared" si="22"/>
        <v>-1.415322330284495E-2</v>
      </c>
      <c r="E747" s="33">
        <v>43467</v>
      </c>
      <c r="F747" s="34">
        <v>35891.519999999997</v>
      </c>
      <c r="G747" s="34">
        <f t="shared" si="23"/>
        <v>-1.0064386427485472E-2</v>
      </c>
    </row>
    <row r="748" spans="1:7" x14ac:dyDescent="0.3">
      <c r="A748" s="33">
        <v>43468</v>
      </c>
      <c r="B748" s="34">
        <v>512.9</v>
      </c>
      <c r="C748" s="34">
        <f t="shared" si="22"/>
        <v>-5.3473463668552608E-3</v>
      </c>
      <c r="E748" s="33">
        <v>43468</v>
      </c>
      <c r="F748" s="34">
        <v>35513.71</v>
      </c>
      <c r="G748" s="34">
        <f t="shared" si="23"/>
        <v>-1.0582236783160092E-2</v>
      </c>
    </row>
    <row r="749" spans="1:7" x14ac:dyDescent="0.3">
      <c r="A749" s="33">
        <v>43469</v>
      </c>
      <c r="B749" s="34">
        <v>513.4</v>
      </c>
      <c r="C749" s="34">
        <f t="shared" si="22"/>
        <v>9.7437404181722359E-4</v>
      </c>
      <c r="E749" s="33">
        <v>43469</v>
      </c>
      <c r="F749" s="34">
        <v>35695.1</v>
      </c>
      <c r="G749" s="34">
        <f t="shared" si="23"/>
        <v>5.0946053537853477E-3</v>
      </c>
    </row>
    <row r="750" spans="1:7" x14ac:dyDescent="0.3">
      <c r="A750" s="33">
        <v>43472</v>
      </c>
      <c r="B750" s="34">
        <v>513.65</v>
      </c>
      <c r="C750" s="34">
        <f t="shared" si="22"/>
        <v>4.8683122523261025E-4</v>
      </c>
      <c r="E750" s="33">
        <v>43472</v>
      </c>
      <c r="F750" s="34">
        <v>35850.160000000003</v>
      </c>
      <c r="G750" s="34">
        <f t="shared" si="23"/>
        <v>4.3346056127998413E-3</v>
      </c>
    </row>
    <row r="751" spans="1:7" x14ac:dyDescent="0.3">
      <c r="A751" s="33">
        <v>43473</v>
      </c>
      <c r="B751" s="34">
        <v>513.35</v>
      </c>
      <c r="C751" s="34">
        <f t="shared" si="22"/>
        <v>-5.8422591729879363E-4</v>
      </c>
      <c r="E751" s="33">
        <v>43473</v>
      </c>
      <c r="F751" s="34">
        <v>35980.93</v>
      </c>
      <c r="G751" s="34">
        <f t="shared" si="23"/>
        <v>3.6410458053875625E-3</v>
      </c>
    </row>
    <row r="752" spans="1:7" x14ac:dyDescent="0.3">
      <c r="A752" s="33">
        <v>43474</v>
      </c>
      <c r="B752" s="34">
        <v>510.8</v>
      </c>
      <c r="C752" s="34">
        <f t="shared" si="22"/>
        <v>-4.9797495865896036E-3</v>
      </c>
      <c r="E752" s="33">
        <v>43474</v>
      </c>
      <c r="F752" s="34">
        <v>36212.910000000003</v>
      </c>
      <c r="G752" s="34">
        <f t="shared" si="23"/>
        <v>6.4266092071714794E-3</v>
      </c>
    </row>
    <row r="753" spans="1:7" x14ac:dyDescent="0.3">
      <c r="A753" s="33">
        <v>43475</v>
      </c>
      <c r="B753" s="34">
        <v>513.54999999999995</v>
      </c>
      <c r="C753" s="34">
        <f t="shared" si="22"/>
        <v>5.3692714534289889E-3</v>
      </c>
      <c r="E753" s="33">
        <v>43475</v>
      </c>
      <c r="F753" s="34">
        <v>36106.5</v>
      </c>
      <c r="G753" s="34">
        <f t="shared" si="23"/>
        <v>-2.9427805562065811E-3</v>
      </c>
    </row>
    <row r="754" spans="1:7" x14ac:dyDescent="0.3">
      <c r="A754" s="33">
        <v>43476</v>
      </c>
      <c r="B754" s="34">
        <v>511.05</v>
      </c>
      <c r="C754" s="34">
        <f t="shared" si="22"/>
        <v>-4.8799628367279784E-3</v>
      </c>
      <c r="E754" s="33">
        <v>43476</v>
      </c>
      <c r="F754" s="34">
        <v>36009.839999999997</v>
      </c>
      <c r="G754" s="34">
        <f t="shared" si="23"/>
        <v>-2.6806700917757398E-3</v>
      </c>
    </row>
    <row r="755" spans="1:7" x14ac:dyDescent="0.3">
      <c r="A755" s="33">
        <v>43479</v>
      </c>
      <c r="B755" s="34">
        <v>512.25</v>
      </c>
      <c r="C755" s="34">
        <f t="shared" si="22"/>
        <v>2.3453543439238126E-3</v>
      </c>
      <c r="E755" s="33">
        <v>43479</v>
      </c>
      <c r="F755" s="34">
        <v>35853.56</v>
      </c>
      <c r="G755" s="34">
        <f t="shared" si="23"/>
        <v>-4.349369675315534E-3</v>
      </c>
    </row>
    <row r="756" spans="1:7" x14ac:dyDescent="0.3">
      <c r="A756" s="33">
        <v>43480</v>
      </c>
      <c r="B756" s="34">
        <v>514.75</v>
      </c>
      <c r="C756" s="34">
        <f t="shared" si="22"/>
        <v>4.8685587888896388E-3</v>
      </c>
      <c r="E756" s="33">
        <v>43480</v>
      </c>
      <c r="F756" s="34">
        <v>36318.33</v>
      </c>
      <c r="G756" s="34">
        <f t="shared" si="23"/>
        <v>1.287970773438258E-2</v>
      </c>
    </row>
    <row r="757" spans="1:7" x14ac:dyDescent="0.3">
      <c r="A757" s="33">
        <v>43481</v>
      </c>
      <c r="B757" s="34">
        <v>512.20000000000005</v>
      </c>
      <c r="C757" s="34">
        <f t="shared" si="22"/>
        <v>-4.9661721424738396E-3</v>
      </c>
      <c r="E757" s="33">
        <v>43481</v>
      </c>
      <c r="F757" s="34">
        <v>36321.29</v>
      </c>
      <c r="G757" s="34">
        <f t="shared" si="23"/>
        <v>8.1498223741667322E-5</v>
      </c>
    </row>
    <row r="758" spans="1:7" x14ac:dyDescent="0.3">
      <c r="A758" s="33">
        <v>43482</v>
      </c>
      <c r="B758" s="34">
        <v>509.75</v>
      </c>
      <c r="C758" s="34">
        <f t="shared" si="22"/>
        <v>-4.7947643108603617E-3</v>
      </c>
      <c r="E758" s="33">
        <v>43482</v>
      </c>
      <c r="F758" s="34">
        <v>36374.080000000002</v>
      </c>
      <c r="G758" s="34">
        <f t="shared" si="23"/>
        <v>1.4523623520841383E-3</v>
      </c>
    </row>
    <row r="759" spans="1:7" x14ac:dyDescent="0.3">
      <c r="A759" s="33">
        <v>43483</v>
      </c>
      <c r="B759" s="34">
        <v>509.7</v>
      </c>
      <c r="C759" s="34">
        <f t="shared" si="22"/>
        <v>-9.8092108568581759E-5</v>
      </c>
      <c r="E759" s="33">
        <v>43483</v>
      </c>
      <c r="F759" s="34">
        <v>36386.61</v>
      </c>
      <c r="G759" s="34">
        <f t="shared" si="23"/>
        <v>3.4441674821560043E-4</v>
      </c>
    </row>
    <row r="760" spans="1:7" x14ac:dyDescent="0.3">
      <c r="A760" s="33">
        <v>43486</v>
      </c>
      <c r="B760" s="34">
        <v>510.8</v>
      </c>
      <c r="C760" s="34">
        <f t="shared" si="22"/>
        <v>2.1558068123881434E-3</v>
      </c>
      <c r="E760" s="33">
        <v>43486</v>
      </c>
      <c r="F760" s="34">
        <v>36578.959999999999</v>
      </c>
      <c r="G760" s="34">
        <f t="shared" si="23"/>
        <v>5.2723618982311688E-3</v>
      </c>
    </row>
    <row r="761" spans="1:7" x14ac:dyDescent="0.3">
      <c r="A761" s="33">
        <v>43487</v>
      </c>
      <c r="B761" s="34">
        <v>506.95</v>
      </c>
      <c r="C761" s="34">
        <f t="shared" si="22"/>
        <v>-7.5657447597955261E-3</v>
      </c>
      <c r="E761" s="33">
        <v>43487</v>
      </c>
      <c r="F761" s="34">
        <v>36444.639999999999</v>
      </c>
      <c r="G761" s="34">
        <f t="shared" si="23"/>
        <v>-3.6788148348462987E-3</v>
      </c>
    </row>
    <row r="762" spans="1:7" x14ac:dyDescent="0.3">
      <c r="A762" s="33">
        <v>43488</v>
      </c>
      <c r="B762" s="34">
        <v>509.6</v>
      </c>
      <c r="C762" s="34">
        <f t="shared" si="22"/>
        <v>5.2137248593648834E-3</v>
      </c>
      <c r="E762" s="33">
        <v>43488</v>
      </c>
      <c r="F762" s="34">
        <v>36108.47</v>
      </c>
      <c r="G762" s="34">
        <f t="shared" si="23"/>
        <v>-9.2669330299547468E-3</v>
      </c>
    </row>
    <row r="763" spans="1:7" x14ac:dyDescent="0.3">
      <c r="A763" s="33">
        <v>43489</v>
      </c>
      <c r="B763" s="34">
        <v>500.65</v>
      </c>
      <c r="C763" s="34">
        <f t="shared" si="22"/>
        <v>-1.771885010414188E-2</v>
      </c>
      <c r="E763" s="33">
        <v>43489</v>
      </c>
      <c r="F763" s="34">
        <v>36195.1</v>
      </c>
      <c r="G763" s="34">
        <f t="shared" si="23"/>
        <v>2.3962866965993898E-3</v>
      </c>
    </row>
    <row r="764" spans="1:7" x14ac:dyDescent="0.3">
      <c r="A764" s="33">
        <v>43490</v>
      </c>
      <c r="B764" s="34">
        <v>506.9</v>
      </c>
      <c r="C764" s="34">
        <f t="shared" si="22"/>
        <v>1.2406491324491876E-2</v>
      </c>
      <c r="E764" s="33">
        <v>43490</v>
      </c>
      <c r="F764" s="34">
        <v>36025.54</v>
      </c>
      <c r="G764" s="34">
        <f t="shared" si="23"/>
        <v>-4.6956191900262116E-3</v>
      </c>
    </row>
    <row r="765" spans="1:7" x14ac:dyDescent="0.3">
      <c r="A765" s="33">
        <v>43493</v>
      </c>
      <c r="B765" s="34">
        <v>491.95</v>
      </c>
      <c r="C765" s="34">
        <f t="shared" si="22"/>
        <v>-2.9936660166529124E-2</v>
      </c>
      <c r="E765" s="33">
        <v>43493</v>
      </c>
      <c r="F765" s="34">
        <v>35656.699999999997</v>
      </c>
      <c r="G765" s="34">
        <f t="shared" si="23"/>
        <v>-1.0291063872768E-2</v>
      </c>
    </row>
    <row r="766" spans="1:7" x14ac:dyDescent="0.3">
      <c r="A766" s="33">
        <v>43494</v>
      </c>
      <c r="B766" s="34">
        <v>504.45</v>
      </c>
      <c r="C766" s="34">
        <f t="shared" si="22"/>
        <v>2.5091641542613872E-2</v>
      </c>
      <c r="E766" s="33">
        <v>43494</v>
      </c>
      <c r="F766" s="34">
        <v>35592.5</v>
      </c>
      <c r="G766" s="34">
        <f t="shared" si="23"/>
        <v>-1.8021259852733433E-3</v>
      </c>
    </row>
    <row r="767" spans="1:7" x14ac:dyDescent="0.3">
      <c r="A767" s="33">
        <v>43495</v>
      </c>
      <c r="B767" s="34">
        <v>505.8</v>
      </c>
      <c r="C767" s="34">
        <f t="shared" si="22"/>
        <v>2.672607381476478E-3</v>
      </c>
      <c r="E767" s="33">
        <v>43495</v>
      </c>
      <c r="F767" s="34">
        <v>35591.25</v>
      </c>
      <c r="G767" s="34">
        <f t="shared" si="23"/>
        <v>-3.5120375089265484E-5</v>
      </c>
    </row>
    <row r="768" spans="1:7" x14ac:dyDescent="0.3">
      <c r="A768" s="33">
        <v>43496</v>
      </c>
      <c r="B768" s="34">
        <v>516.25</v>
      </c>
      <c r="C768" s="34">
        <f t="shared" si="22"/>
        <v>2.0449810039377663E-2</v>
      </c>
      <c r="E768" s="33">
        <v>43496</v>
      </c>
      <c r="F768" s="34">
        <v>36256.69</v>
      </c>
      <c r="G768" s="34">
        <f t="shared" si="23"/>
        <v>1.8524094866572756E-2</v>
      </c>
    </row>
    <row r="769" spans="1:7" x14ac:dyDescent="0.3">
      <c r="A769" s="33">
        <v>43497</v>
      </c>
      <c r="B769" s="34">
        <v>520.54999999999995</v>
      </c>
      <c r="C769" s="34">
        <f t="shared" si="22"/>
        <v>8.2948006455192957E-3</v>
      </c>
      <c r="E769" s="33">
        <v>43497</v>
      </c>
      <c r="F769" s="34">
        <v>36469.43</v>
      </c>
      <c r="G769" s="34">
        <f t="shared" si="23"/>
        <v>5.8504594168597174E-3</v>
      </c>
    </row>
    <row r="770" spans="1:7" x14ac:dyDescent="0.3">
      <c r="A770" s="33">
        <v>43500</v>
      </c>
      <c r="B770" s="34">
        <v>508.7</v>
      </c>
      <c r="C770" s="34">
        <f t="shared" si="22"/>
        <v>-2.3027493092042495E-2</v>
      </c>
      <c r="E770" s="33">
        <v>43500</v>
      </c>
      <c r="F770" s="34">
        <v>36582.74</v>
      </c>
      <c r="G770" s="34">
        <f t="shared" si="23"/>
        <v>3.102169062724207E-3</v>
      </c>
    </row>
    <row r="771" spans="1:7" x14ac:dyDescent="0.3">
      <c r="A771" s="33">
        <v>43501</v>
      </c>
      <c r="B771" s="34">
        <v>508.85</v>
      </c>
      <c r="C771" s="34">
        <f t="shared" si="22"/>
        <v>2.9482580922127367E-4</v>
      </c>
      <c r="E771" s="33">
        <v>43501</v>
      </c>
      <c r="F771" s="34">
        <v>36616.81</v>
      </c>
      <c r="G771" s="34">
        <f t="shared" si="23"/>
        <v>9.3088010678328255E-4</v>
      </c>
    </row>
    <row r="772" spans="1:7" x14ac:dyDescent="0.3">
      <c r="A772" s="33">
        <v>43502</v>
      </c>
      <c r="B772" s="34">
        <v>527.95000000000005</v>
      </c>
      <c r="C772" s="34">
        <f t="shared" si="22"/>
        <v>3.6848304614582938E-2</v>
      </c>
      <c r="E772" s="33">
        <v>43502</v>
      </c>
      <c r="F772" s="34">
        <v>36975.230000000003</v>
      </c>
      <c r="G772" s="34">
        <f t="shared" si="23"/>
        <v>9.7408044131044921E-3</v>
      </c>
    </row>
    <row r="773" spans="1:7" x14ac:dyDescent="0.3">
      <c r="A773" s="33">
        <v>43503</v>
      </c>
      <c r="B773" s="34">
        <v>533.85</v>
      </c>
      <c r="C773" s="34">
        <f t="shared" si="22"/>
        <v>1.111331837178795E-2</v>
      </c>
      <c r="E773" s="33">
        <v>43503</v>
      </c>
      <c r="F773" s="34">
        <v>36971.089999999997</v>
      </c>
      <c r="G773" s="34">
        <f t="shared" si="23"/>
        <v>-1.1197311791396176E-4</v>
      </c>
    </row>
    <row r="774" spans="1:7" x14ac:dyDescent="0.3">
      <c r="A774" s="33">
        <v>43504</v>
      </c>
      <c r="B774" s="34">
        <v>535.04999999999995</v>
      </c>
      <c r="C774" s="34">
        <f t="shared" si="22"/>
        <v>2.2452998486987763E-3</v>
      </c>
      <c r="E774" s="33">
        <v>43504</v>
      </c>
      <c r="F774" s="34">
        <v>36546.480000000003</v>
      </c>
      <c r="G774" s="34">
        <f t="shared" si="23"/>
        <v>-1.1551380750327927E-2</v>
      </c>
    </row>
    <row r="775" spans="1:7" x14ac:dyDescent="0.3">
      <c r="A775" s="33">
        <v>43507</v>
      </c>
      <c r="B775" s="34">
        <v>543.5</v>
      </c>
      <c r="C775" s="34">
        <f t="shared" ref="C775:C838" si="24">LN(B775/B774)</f>
        <v>1.5669506088253911E-2</v>
      </c>
      <c r="E775" s="33">
        <v>43507</v>
      </c>
      <c r="F775" s="34">
        <v>36395.03</v>
      </c>
      <c r="G775" s="34">
        <f t="shared" ref="G775:G838" si="25">LN(F775/F774)</f>
        <v>-4.1526482695448987E-3</v>
      </c>
    </row>
    <row r="776" spans="1:7" x14ac:dyDescent="0.3">
      <c r="A776" s="33">
        <v>43508</v>
      </c>
      <c r="B776" s="34">
        <v>542.20000000000005</v>
      </c>
      <c r="C776" s="34">
        <f t="shared" si="24"/>
        <v>-2.3947694966989009E-3</v>
      </c>
      <c r="E776" s="33">
        <v>43508</v>
      </c>
      <c r="F776" s="34">
        <v>36153.620000000003</v>
      </c>
      <c r="G776" s="34">
        <f t="shared" si="25"/>
        <v>-6.655144955078067E-3</v>
      </c>
    </row>
    <row r="777" spans="1:7" x14ac:dyDescent="0.3">
      <c r="A777" s="33">
        <v>43509</v>
      </c>
      <c r="B777" s="34">
        <v>543.5</v>
      </c>
      <c r="C777" s="34">
        <f t="shared" si="24"/>
        <v>2.3947694966988584E-3</v>
      </c>
      <c r="E777" s="33">
        <v>43509</v>
      </c>
      <c r="F777" s="34">
        <v>36034.11</v>
      </c>
      <c r="G777" s="34">
        <f t="shared" si="25"/>
        <v>-3.311092042529037E-3</v>
      </c>
    </row>
    <row r="778" spans="1:7" x14ac:dyDescent="0.3">
      <c r="A778" s="33">
        <v>43510</v>
      </c>
      <c r="B778" s="34">
        <v>542.79999999999995</v>
      </c>
      <c r="C778" s="34">
        <f t="shared" si="24"/>
        <v>-1.2887786005501591E-3</v>
      </c>
      <c r="E778" s="33">
        <v>43510</v>
      </c>
      <c r="F778" s="34">
        <v>35876.22</v>
      </c>
      <c r="G778" s="34">
        <f t="shared" si="25"/>
        <v>-4.39130939112258E-3</v>
      </c>
    </row>
    <row r="779" spans="1:7" x14ac:dyDescent="0.3">
      <c r="A779" s="33">
        <v>43511</v>
      </c>
      <c r="B779" s="34">
        <v>540.4</v>
      </c>
      <c r="C779" s="34">
        <f t="shared" si="24"/>
        <v>-4.4313218746702869E-3</v>
      </c>
      <c r="E779" s="33">
        <v>43511</v>
      </c>
      <c r="F779" s="34">
        <v>35808.949999999997</v>
      </c>
      <c r="G779" s="34">
        <f t="shared" si="25"/>
        <v>-1.876818308340621E-3</v>
      </c>
    </row>
    <row r="780" spans="1:7" x14ac:dyDescent="0.3">
      <c r="A780" s="33">
        <v>43514</v>
      </c>
      <c r="B780" s="34">
        <v>541.35</v>
      </c>
      <c r="C780" s="34">
        <f t="shared" si="24"/>
        <v>1.7564136708635445E-3</v>
      </c>
      <c r="E780" s="33">
        <v>43514</v>
      </c>
      <c r="F780" s="34">
        <v>35498.44</v>
      </c>
      <c r="G780" s="34">
        <f t="shared" si="25"/>
        <v>-8.7091103080145903E-3</v>
      </c>
    </row>
    <row r="781" spans="1:7" x14ac:dyDescent="0.3">
      <c r="A781" s="33">
        <v>43515</v>
      </c>
      <c r="B781" s="34">
        <v>539.20000000000005</v>
      </c>
      <c r="C781" s="34">
        <f t="shared" si="24"/>
        <v>-3.9794601588099589E-3</v>
      </c>
      <c r="E781" s="33">
        <v>43515</v>
      </c>
      <c r="F781" s="34">
        <v>35352.61</v>
      </c>
      <c r="G781" s="34">
        <f t="shared" si="25"/>
        <v>-4.1165291391990462E-3</v>
      </c>
    </row>
    <row r="782" spans="1:7" x14ac:dyDescent="0.3">
      <c r="A782" s="33">
        <v>43516</v>
      </c>
      <c r="B782" s="34">
        <v>541.04999999999995</v>
      </c>
      <c r="C782" s="34">
        <f t="shared" si="24"/>
        <v>3.4251364195602993E-3</v>
      </c>
      <c r="E782" s="33">
        <v>43516</v>
      </c>
      <c r="F782" s="34">
        <v>35756.26</v>
      </c>
      <c r="G782" s="34">
        <f t="shared" si="25"/>
        <v>1.1353135991400715E-2</v>
      </c>
    </row>
    <row r="783" spans="1:7" x14ac:dyDescent="0.3">
      <c r="A783" s="33">
        <v>43517</v>
      </c>
      <c r="B783" s="34">
        <v>543.1</v>
      </c>
      <c r="C783" s="34">
        <f t="shared" si="24"/>
        <v>3.7817690231421093E-3</v>
      </c>
      <c r="E783" s="33">
        <v>43517</v>
      </c>
      <c r="F783" s="34">
        <v>35898.35</v>
      </c>
      <c r="G783" s="34">
        <f t="shared" si="25"/>
        <v>3.9659747291595259E-3</v>
      </c>
    </row>
    <row r="784" spans="1:7" x14ac:dyDescent="0.3">
      <c r="A784" s="33">
        <v>43518</v>
      </c>
      <c r="B784" s="34">
        <v>541.75</v>
      </c>
      <c r="C784" s="34">
        <f t="shared" si="24"/>
        <v>-2.4888246243312106E-3</v>
      </c>
      <c r="E784" s="33">
        <v>43518</v>
      </c>
      <c r="F784" s="34">
        <v>35871.480000000003</v>
      </c>
      <c r="G784" s="34">
        <f t="shared" si="25"/>
        <v>-7.4878263625371099E-4</v>
      </c>
    </row>
    <row r="785" spans="1:7" x14ac:dyDescent="0.3">
      <c r="A785" s="33">
        <v>43521</v>
      </c>
      <c r="B785" s="34">
        <v>549.04999999999995</v>
      </c>
      <c r="C785" s="34">
        <f t="shared" si="24"/>
        <v>1.3384871627253702E-2</v>
      </c>
      <c r="E785" s="33">
        <v>43521</v>
      </c>
      <c r="F785" s="34">
        <v>36213.379999999997</v>
      </c>
      <c r="G785" s="34">
        <f t="shared" si="25"/>
        <v>9.4861130022851434E-3</v>
      </c>
    </row>
    <row r="786" spans="1:7" x14ac:dyDescent="0.3">
      <c r="A786" s="33">
        <v>43522</v>
      </c>
      <c r="B786" s="34">
        <v>550.35</v>
      </c>
      <c r="C786" s="34">
        <f t="shared" si="24"/>
        <v>2.3649274256785056E-3</v>
      </c>
      <c r="E786" s="33">
        <v>43522</v>
      </c>
      <c r="F786" s="34">
        <v>35973.71</v>
      </c>
      <c r="G786" s="34">
        <f t="shared" si="25"/>
        <v>-6.6402699056154766E-3</v>
      </c>
    </row>
    <row r="787" spans="1:7" x14ac:dyDescent="0.3">
      <c r="A787" s="33">
        <v>43523</v>
      </c>
      <c r="B787" s="34">
        <v>550.95000000000005</v>
      </c>
      <c r="C787" s="34">
        <f t="shared" si="24"/>
        <v>1.089621464385231E-3</v>
      </c>
      <c r="E787" s="33">
        <v>43523</v>
      </c>
      <c r="F787" s="34">
        <v>35905.43</v>
      </c>
      <c r="G787" s="34">
        <f t="shared" si="25"/>
        <v>-1.8998563571515105E-3</v>
      </c>
    </row>
    <row r="788" spans="1:7" x14ac:dyDescent="0.3">
      <c r="A788" s="33">
        <v>43524</v>
      </c>
      <c r="B788" s="34">
        <v>554.85</v>
      </c>
      <c r="C788" s="34">
        <f t="shared" si="24"/>
        <v>7.05374601278674E-3</v>
      </c>
      <c r="E788" s="33">
        <v>43524</v>
      </c>
      <c r="F788" s="34">
        <v>35867.440000000002</v>
      </c>
      <c r="G788" s="34">
        <f t="shared" si="25"/>
        <v>-1.0586173730506763E-3</v>
      </c>
    </row>
    <row r="789" spans="1:7" x14ac:dyDescent="0.3">
      <c r="A789" s="33">
        <v>43525</v>
      </c>
      <c r="B789" s="34">
        <v>551.65</v>
      </c>
      <c r="C789" s="34">
        <f t="shared" si="24"/>
        <v>-5.7840197402577271E-3</v>
      </c>
      <c r="E789" s="33">
        <v>43525</v>
      </c>
      <c r="F789" s="34">
        <v>36063.81</v>
      </c>
      <c r="G789" s="34">
        <f t="shared" si="25"/>
        <v>5.459949266352928E-3</v>
      </c>
    </row>
    <row r="790" spans="1:7" x14ac:dyDescent="0.3">
      <c r="A790" s="33">
        <v>43529</v>
      </c>
      <c r="B790" s="34">
        <v>548.54999999999995</v>
      </c>
      <c r="C790" s="34">
        <f t="shared" si="24"/>
        <v>-5.6353539428151559E-3</v>
      </c>
      <c r="E790" s="33">
        <v>43529</v>
      </c>
      <c r="F790" s="34">
        <v>36442.54</v>
      </c>
      <c r="G790" s="34">
        <f t="shared" si="25"/>
        <v>1.0446904153190929E-2</v>
      </c>
    </row>
    <row r="791" spans="1:7" x14ac:dyDescent="0.3">
      <c r="A791" s="33">
        <v>43530</v>
      </c>
      <c r="B791" s="34">
        <v>547.6</v>
      </c>
      <c r="C791" s="34">
        <f t="shared" si="24"/>
        <v>-1.7333398492059662E-3</v>
      </c>
      <c r="E791" s="33">
        <v>43530</v>
      </c>
      <c r="F791" s="34">
        <v>36636.1</v>
      </c>
      <c r="G791" s="34">
        <f t="shared" si="25"/>
        <v>5.2973195076782189E-3</v>
      </c>
    </row>
    <row r="792" spans="1:7" x14ac:dyDescent="0.3">
      <c r="A792" s="33">
        <v>43531</v>
      </c>
      <c r="B792" s="34">
        <v>540.85</v>
      </c>
      <c r="C792" s="34">
        <f t="shared" si="24"/>
        <v>-1.2403117337995234E-2</v>
      </c>
      <c r="E792" s="33">
        <v>43531</v>
      </c>
      <c r="F792" s="34">
        <v>36725.42</v>
      </c>
      <c r="G792" s="34">
        <f t="shared" si="25"/>
        <v>2.4350652531616506E-3</v>
      </c>
    </row>
    <row r="793" spans="1:7" x14ac:dyDescent="0.3">
      <c r="A793" s="33">
        <v>43532</v>
      </c>
      <c r="B793" s="34">
        <v>539.5</v>
      </c>
      <c r="C793" s="34">
        <f t="shared" si="24"/>
        <v>-2.4991913781092496E-3</v>
      </c>
      <c r="E793" s="33">
        <v>43532</v>
      </c>
      <c r="F793" s="34">
        <v>36671.43</v>
      </c>
      <c r="G793" s="34">
        <f t="shared" si="25"/>
        <v>-1.4711805680452988E-3</v>
      </c>
    </row>
    <row r="794" spans="1:7" x14ac:dyDescent="0.3">
      <c r="A794" s="33">
        <v>43535</v>
      </c>
      <c r="B794" s="34">
        <v>539.85</v>
      </c>
      <c r="C794" s="34">
        <f t="shared" si="24"/>
        <v>6.4853849496000749E-4</v>
      </c>
      <c r="E794" s="33">
        <v>43535</v>
      </c>
      <c r="F794" s="34">
        <v>37054.1</v>
      </c>
      <c r="G794" s="34">
        <f t="shared" si="25"/>
        <v>1.0381029110384883E-2</v>
      </c>
    </row>
    <row r="795" spans="1:7" x14ac:dyDescent="0.3">
      <c r="A795" s="33">
        <v>43536</v>
      </c>
      <c r="B795" s="34">
        <v>539.1</v>
      </c>
      <c r="C795" s="34">
        <f t="shared" si="24"/>
        <v>-1.3902407355263022E-3</v>
      </c>
      <c r="E795" s="33">
        <v>43536</v>
      </c>
      <c r="F795" s="34">
        <v>37535.660000000003</v>
      </c>
      <c r="G795" s="34">
        <f t="shared" si="25"/>
        <v>1.2912407570881499E-2</v>
      </c>
    </row>
    <row r="796" spans="1:7" x14ac:dyDescent="0.3">
      <c r="A796" s="33">
        <v>43537</v>
      </c>
      <c r="B796" s="34">
        <v>533.1</v>
      </c>
      <c r="C796" s="34">
        <f t="shared" si="24"/>
        <v>-1.11920586289077E-2</v>
      </c>
      <c r="E796" s="33">
        <v>43537</v>
      </c>
      <c r="F796" s="34">
        <v>37752.17</v>
      </c>
      <c r="G796" s="34">
        <f t="shared" si="25"/>
        <v>5.7515430276056422E-3</v>
      </c>
    </row>
    <row r="797" spans="1:7" x14ac:dyDescent="0.3">
      <c r="A797" s="33">
        <v>43538</v>
      </c>
      <c r="B797" s="34">
        <v>533.54999999999995</v>
      </c>
      <c r="C797" s="34">
        <f t="shared" si="24"/>
        <v>8.4376323385848084E-4</v>
      </c>
      <c r="E797" s="33">
        <v>43538</v>
      </c>
      <c r="F797" s="34">
        <v>37754.89</v>
      </c>
      <c r="G797" s="34">
        <f t="shared" si="25"/>
        <v>7.2046243124177116E-5</v>
      </c>
    </row>
    <row r="798" spans="1:7" x14ac:dyDescent="0.3">
      <c r="A798" s="33">
        <v>43539</v>
      </c>
      <c r="B798" s="34">
        <v>531.75</v>
      </c>
      <c r="C798" s="34">
        <f t="shared" si="24"/>
        <v>-3.3793329822272285E-3</v>
      </c>
      <c r="E798" s="33">
        <v>43539</v>
      </c>
      <c r="F798" s="34">
        <v>38024.32</v>
      </c>
      <c r="G798" s="34">
        <f t="shared" si="25"/>
        <v>7.1109512839684745E-3</v>
      </c>
    </row>
    <row r="799" spans="1:7" x14ac:dyDescent="0.3">
      <c r="A799" s="33">
        <v>43542</v>
      </c>
      <c r="B799" s="34">
        <v>534.54999999999995</v>
      </c>
      <c r="C799" s="34">
        <f t="shared" si="24"/>
        <v>5.251817379162224E-3</v>
      </c>
      <c r="E799" s="33">
        <v>43542</v>
      </c>
      <c r="F799" s="34">
        <v>38095.07</v>
      </c>
      <c r="G799" s="34">
        <f t="shared" si="25"/>
        <v>1.8589224210439411E-3</v>
      </c>
    </row>
    <row r="800" spans="1:7" x14ac:dyDescent="0.3">
      <c r="A800" s="33">
        <v>43543</v>
      </c>
      <c r="B800" s="34">
        <v>533</v>
      </c>
      <c r="C800" s="34">
        <f t="shared" si="24"/>
        <v>-2.9038472936642437E-3</v>
      </c>
      <c r="E800" s="33">
        <v>43543</v>
      </c>
      <c r="F800" s="34">
        <v>38363.47</v>
      </c>
      <c r="G800" s="34">
        <f t="shared" si="25"/>
        <v>7.0208273005784201E-3</v>
      </c>
    </row>
    <row r="801" spans="1:7" x14ac:dyDescent="0.3">
      <c r="A801" s="33">
        <v>43544</v>
      </c>
      <c r="B801" s="34">
        <v>533.1</v>
      </c>
      <c r="C801" s="34">
        <f t="shared" si="24"/>
        <v>1.8759966287078373E-4</v>
      </c>
      <c r="E801" s="33">
        <v>43544</v>
      </c>
      <c r="F801" s="34">
        <v>38386.75</v>
      </c>
      <c r="G801" s="34">
        <f t="shared" si="25"/>
        <v>6.0664323083251957E-4</v>
      </c>
    </row>
    <row r="802" spans="1:7" x14ac:dyDescent="0.3">
      <c r="A802" s="33">
        <v>43546</v>
      </c>
      <c r="B802" s="34">
        <v>526.85</v>
      </c>
      <c r="C802" s="34">
        <f t="shared" si="24"/>
        <v>-1.179314578317877E-2</v>
      </c>
      <c r="E802" s="33">
        <v>43546</v>
      </c>
      <c r="F802" s="34">
        <v>38164.61</v>
      </c>
      <c r="G802" s="34">
        <f t="shared" si="25"/>
        <v>-5.8037015548051867E-3</v>
      </c>
    </row>
    <row r="803" spans="1:7" x14ac:dyDescent="0.3">
      <c r="A803" s="33">
        <v>43549</v>
      </c>
      <c r="B803" s="34">
        <v>526.85</v>
      </c>
      <c r="C803" s="34">
        <f t="shared" si="24"/>
        <v>0</v>
      </c>
      <c r="E803" s="33">
        <v>43549</v>
      </c>
      <c r="F803" s="34">
        <v>37808.910000000003</v>
      </c>
      <c r="G803" s="34">
        <f t="shared" si="25"/>
        <v>-9.3638572763660652E-3</v>
      </c>
    </row>
    <row r="804" spans="1:7" x14ac:dyDescent="0.3">
      <c r="A804" s="33">
        <v>43550</v>
      </c>
      <c r="B804" s="34">
        <v>529.20000000000005</v>
      </c>
      <c r="C804" s="34">
        <f t="shared" si="24"/>
        <v>4.4505541952639732E-3</v>
      </c>
      <c r="E804" s="33">
        <v>43550</v>
      </c>
      <c r="F804" s="34">
        <v>38233.410000000003</v>
      </c>
      <c r="G804" s="34">
        <f t="shared" si="25"/>
        <v>1.1164951561233535E-2</v>
      </c>
    </row>
    <row r="805" spans="1:7" x14ac:dyDescent="0.3">
      <c r="A805" s="33">
        <v>43551</v>
      </c>
      <c r="B805" s="34">
        <v>525.15</v>
      </c>
      <c r="C805" s="34">
        <f t="shared" si="24"/>
        <v>-7.6824961720163938E-3</v>
      </c>
      <c r="E805" s="33">
        <v>43551</v>
      </c>
      <c r="F805" s="34">
        <v>38132.879999999997</v>
      </c>
      <c r="G805" s="34">
        <f t="shared" si="25"/>
        <v>-2.6328386012068909E-3</v>
      </c>
    </row>
    <row r="806" spans="1:7" x14ac:dyDescent="0.3">
      <c r="A806" s="33">
        <v>43552</v>
      </c>
      <c r="B806" s="34">
        <v>525.85</v>
      </c>
      <c r="C806" s="34">
        <f t="shared" si="24"/>
        <v>1.3320648972531784E-3</v>
      </c>
      <c r="E806" s="33">
        <v>43552</v>
      </c>
      <c r="F806" s="34">
        <v>38545.72</v>
      </c>
      <c r="G806" s="34">
        <f t="shared" si="25"/>
        <v>1.0768167107290642E-2</v>
      </c>
    </row>
    <row r="807" spans="1:7" x14ac:dyDescent="0.3">
      <c r="A807" s="33">
        <v>43553</v>
      </c>
      <c r="B807" s="34">
        <v>529.29999999999995</v>
      </c>
      <c r="C807" s="34">
        <f t="shared" si="24"/>
        <v>6.5393778979042664E-3</v>
      </c>
      <c r="E807" s="33">
        <v>43553</v>
      </c>
      <c r="F807" s="34">
        <v>38672.910000000003</v>
      </c>
      <c r="G807" s="34">
        <f t="shared" si="25"/>
        <v>3.2942857190166276E-3</v>
      </c>
    </row>
    <row r="808" spans="1:7" x14ac:dyDescent="0.3">
      <c r="A808" s="33">
        <v>43556</v>
      </c>
      <c r="B808" s="34">
        <v>525.95000000000005</v>
      </c>
      <c r="C808" s="34">
        <f t="shared" si="24"/>
        <v>-6.3492276786585563E-3</v>
      </c>
      <c r="E808" s="33">
        <v>43556</v>
      </c>
      <c r="F808" s="34">
        <v>38871.870000000003</v>
      </c>
      <c r="G808" s="34">
        <f t="shared" si="25"/>
        <v>5.1314978671380832E-3</v>
      </c>
    </row>
    <row r="809" spans="1:7" x14ac:dyDescent="0.3">
      <c r="A809" s="33">
        <v>43557</v>
      </c>
      <c r="B809" s="34">
        <v>525.75</v>
      </c>
      <c r="C809" s="34">
        <f t="shared" si="24"/>
        <v>-3.8033660247401685E-4</v>
      </c>
      <c r="E809" s="33">
        <v>43557</v>
      </c>
      <c r="F809" s="34">
        <v>39056.65</v>
      </c>
      <c r="G809" s="34">
        <f t="shared" si="25"/>
        <v>4.7423034929908476E-3</v>
      </c>
    </row>
    <row r="810" spans="1:7" x14ac:dyDescent="0.3">
      <c r="A810" s="33">
        <v>43558</v>
      </c>
      <c r="B810" s="34">
        <v>520.20000000000005</v>
      </c>
      <c r="C810" s="34">
        <f t="shared" si="24"/>
        <v>-1.0612461568257962E-2</v>
      </c>
      <c r="E810" s="33">
        <v>43558</v>
      </c>
      <c r="F810" s="34">
        <v>38877.120000000003</v>
      </c>
      <c r="G810" s="34">
        <f t="shared" si="25"/>
        <v>-4.6072535069271768E-3</v>
      </c>
    </row>
    <row r="811" spans="1:7" x14ac:dyDescent="0.3">
      <c r="A811" s="33">
        <v>43559</v>
      </c>
      <c r="B811" s="34">
        <v>522.1</v>
      </c>
      <c r="C811" s="34">
        <f t="shared" si="24"/>
        <v>3.6457874019554092E-3</v>
      </c>
      <c r="E811" s="33">
        <v>43559</v>
      </c>
      <c r="F811" s="34">
        <v>38684.720000000001</v>
      </c>
      <c r="G811" s="34">
        <f t="shared" si="25"/>
        <v>-4.961212746845689E-3</v>
      </c>
    </row>
    <row r="812" spans="1:7" x14ac:dyDescent="0.3">
      <c r="A812" s="33">
        <v>43560</v>
      </c>
      <c r="B812" s="34">
        <v>534</v>
      </c>
      <c r="C812" s="34">
        <f t="shared" si="24"/>
        <v>2.2536698543688085E-2</v>
      </c>
      <c r="E812" s="33">
        <v>43560</v>
      </c>
      <c r="F812" s="34">
        <v>38862.230000000003</v>
      </c>
      <c r="G812" s="34">
        <f t="shared" si="25"/>
        <v>4.5781377614725911E-3</v>
      </c>
    </row>
    <row r="813" spans="1:7" x14ac:dyDescent="0.3">
      <c r="A813" s="33">
        <v>43563</v>
      </c>
      <c r="B813" s="34">
        <v>525.6</v>
      </c>
      <c r="C813" s="34">
        <f t="shared" si="24"/>
        <v>-1.5855371789794077E-2</v>
      </c>
      <c r="E813" s="33">
        <v>43563</v>
      </c>
      <c r="F813" s="34">
        <v>38700.53</v>
      </c>
      <c r="G813" s="34">
        <f t="shared" si="25"/>
        <v>-4.1695327567729135E-3</v>
      </c>
    </row>
    <row r="814" spans="1:7" x14ac:dyDescent="0.3">
      <c r="A814" s="33">
        <v>43564</v>
      </c>
      <c r="B814" s="34">
        <v>531.6</v>
      </c>
      <c r="C814" s="34">
        <f t="shared" si="24"/>
        <v>1.135085966868948E-2</v>
      </c>
      <c r="E814" s="33">
        <v>43564</v>
      </c>
      <c r="F814" s="34">
        <v>38939.22</v>
      </c>
      <c r="G814" s="34">
        <f t="shared" si="25"/>
        <v>6.1486738943946073E-3</v>
      </c>
    </row>
    <row r="815" spans="1:7" x14ac:dyDescent="0.3">
      <c r="A815" s="33">
        <v>43565</v>
      </c>
      <c r="B815" s="34">
        <v>546.15</v>
      </c>
      <c r="C815" s="34">
        <f t="shared" si="24"/>
        <v>2.7002336450461725E-2</v>
      </c>
      <c r="E815" s="33">
        <v>43565</v>
      </c>
      <c r="F815" s="34">
        <v>38585.35</v>
      </c>
      <c r="G815" s="34">
        <f t="shared" si="25"/>
        <v>-9.1292981758997731E-3</v>
      </c>
    </row>
    <row r="816" spans="1:7" x14ac:dyDescent="0.3">
      <c r="A816" s="33">
        <v>43566</v>
      </c>
      <c r="B816" s="34">
        <v>544.35</v>
      </c>
      <c r="C816" s="34">
        <f t="shared" si="24"/>
        <v>-3.3012409623629831E-3</v>
      </c>
      <c r="E816" s="33">
        <v>43566</v>
      </c>
      <c r="F816" s="34">
        <v>38607.01</v>
      </c>
      <c r="G816" s="34">
        <f t="shared" si="25"/>
        <v>5.6119544909559221E-4</v>
      </c>
    </row>
    <row r="817" spans="1:7" x14ac:dyDescent="0.3">
      <c r="A817" s="33">
        <v>43567</v>
      </c>
      <c r="B817" s="34">
        <v>554.35</v>
      </c>
      <c r="C817" s="34">
        <f t="shared" si="24"/>
        <v>1.8203833891171649E-2</v>
      </c>
      <c r="E817" s="33">
        <v>43567</v>
      </c>
      <c r="F817" s="34">
        <v>38767.11</v>
      </c>
      <c r="G817" s="34">
        <f t="shared" si="25"/>
        <v>4.1383405326608363E-3</v>
      </c>
    </row>
    <row r="818" spans="1:7" x14ac:dyDescent="0.3">
      <c r="A818" s="33">
        <v>43570</v>
      </c>
      <c r="B818" s="34">
        <v>566.1</v>
      </c>
      <c r="C818" s="34">
        <f t="shared" si="24"/>
        <v>2.0974484824253684E-2</v>
      </c>
      <c r="E818" s="33">
        <v>43570</v>
      </c>
      <c r="F818" s="34">
        <v>38905.839999999997</v>
      </c>
      <c r="G818" s="34">
        <f t="shared" si="25"/>
        <v>3.5721611582945592E-3</v>
      </c>
    </row>
    <row r="819" spans="1:7" x14ac:dyDescent="0.3">
      <c r="A819" s="33">
        <v>43571</v>
      </c>
      <c r="B819" s="34">
        <v>559.29999999999995</v>
      </c>
      <c r="C819" s="34">
        <f t="shared" si="24"/>
        <v>-1.208473921507211E-2</v>
      </c>
      <c r="E819" s="33">
        <v>43571</v>
      </c>
      <c r="F819" s="34">
        <v>39275.64</v>
      </c>
      <c r="G819" s="34">
        <f t="shared" si="25"/>
        <v>9.4601114712509655E-3</v>
      </c>
    </row>
    <row r="820" spans="1:7" x14ac:dyDescent="0.3">
      <c r="A820" s="33">
        <v>43573</v>
      </c>
      <c r="B820" s="34">
        <v>562</v>
      </c>
      <c r="C820" s="34">
        <f t="shared" si="24"/>
        <v>4.815848066148906E-3</v>
      </c>
      <c r="E820" s="33">
        <v>43573</v>
      </c>
      <c r="F820" s="34">
        <v>39140.28</v>
      </c>
      <c r="G820" s="34">
        <f t="shared" si="25"/>
        <v>-3.4523636130062169E-3</v>
      </c>
    </row>
    <row r="821" spans="1:7" x14ac:dyDescent="0.3">
      <c r="A821" s="33">
        <v>43577</v>
      </c>
      <c r="B821" s="34">
        <v>560.15</v>
      </c>
      <c r="C821" s="34">
        <f t="shared" si="24"/>
        <v>-3.2972448889587828E-3</v>
      </c>
      <c r="E821" s="33">
        <v>43577</v>
      </c>
      <c r="F821" s="34">
        <v>38645.18</v>
      </c>
      <c r="G821" s="34">
        <f t="shared" si="25"/>
        <v>-1.27300574188241E-2</v>
      </c>
    </row>
    <row r="822" spans="1:7" x14ac:dyDescent="0.3">
      <c r="A822" s="33">
        <v>43578</v>
      </c>
      <c r="B822" s="34">
        <v>562.04999999999995</v>
      </c>
      <c r="C822" s="34">
        <f t="shared" si="24"/>
        <v>3.386208903073677E-3</v>
      </c>
      <c r="E822" s="33">
        <v>43578</v>
      </c>
      <c r="F822" s="34">
        <v>38564.879999999997</v>
      </c>
      <c r="G822" s="34">
        <f t="shared" si="25"/>
        <v>-2.08004057895974E-3</v>
      </c>
    </row>
    <row r="823" spans="1:7" x14ac:dyDescent="0.3">
      <c r="A823" s="33">
        <v>43579</v>
      </c>
      <c r="B823" s="34">
        <v>559.79999999999995</v>
      </c>
      <c r="C823" s="34">
        <f t="shared" si="24"/>
        <v>-4.0112368264529508E-3</v>
      </c>
      <c r="E823" s="33">
        <v>43579</v>
      </c>
      <c r="F823" s="34">
        <v>39054.68</v>
      </c>
      <c r="G823" s="34">
        <f t="shared" si="25"/>
        <v>1.2620697704121818E-2</v>
      </c>
    </row>
    <row r="824" spans="1:7" x14ac:dyDescent="0.3">
      <c r="A824" s="33">
        <v>43580</v>
      </c>
      <c r="B824" s="34">
        <v>555.25</v>
      </c>
      <c r="C824" s="34">
        <f t="shared" si="24"/>
        <v>-8.1611143068162049E-3</v>
      </c>
      <c r="E824" s="33">
        <v>43580</v>
      </c>
      <c r="F824" s="34">
        <v>38730.86</v>
      </c>
      <c r="G824" s="34">
        <f t="shared" si="25"/>
        <v>-8.3260171663569298E-3</v>
      </c>
    </row>
    <row r="825" spans="1:7" x14ac:dyDescent="0.3">
      <c r="A825" s="33">
        <v>43581</v>
      </c>
      <c r="B825" s="34">
        <v>568.45000000000005</v>
      </c>
      <c r="C825" s="34">
        <f t="shared" si="24"/>
        <v>2.3494895800578921E-2</v>
      </c>
      <c r="E825" s="33">
        <v>43581</v>
      </c>
      <c r="F825" s="34">
        <v>39067.33</v>
      </c>
      <c r="G825" s="34">
        <f t="shared" si="25"/>
        <v>8.6498695636661738E-3</v>
      </c>
    </row>
    <row r="826" spans="1:7" x14ac:dyDescent="0.3">
      <c r="A826" s="33">
        <v>43585</v>
      </c>
      <c r="B826" s="34">
        <v>564.25</v>
      </c>
      <c r="C826" s="34">
        <f t="shared" si="24"/>
        <v>-7.4159428774705459E-3</v>
      </c>
      <c r="E826" s="33">
        <v>43585</v>
      </c>
      <c r="F826" s="34">
        <v>39031.550000000003</v>
      </c>
      <c r="G826" s="34">
        <f t="shared" si="25"/>
        <v>-9.162744076043394E-4</v>
      </c>
    </row>
    <row r="827" spans="1:7" x14ac:dyDescent="0.3">
      <c r="A827" s="33">
        <v>43587</v>
      </c>
      <c r="B827" s="34">
        <v>564.85</v>
      </c>
      <c r="C827" s="34">
        <f t="shared" si="24"/>
        <v>1.0627934752926993E-3</v>
      </c>
      <c r="E827" s="33">
        <v>43587</v>
      </c>
      <c r="F827" s="34">
        <v>38981.43</v>
      </c>
      <c r="G827" s="34">
        <f t="shared" si="25"/>
        <v>-1.2849145589798022E-3</v>
      </c>
    </row>
    <row r="828" spans="1:7" x14ac:dyDescent="0.3">
      <c r="A828" s="33">
        <v>43588</v>
      </c>
      <c r="B828" s="34">
        <v>564.4</v>
      </c>
      <c r="C828" s="34">
        <f t="shared" si="24"/>
        <v>-7.9698919427887295E-4</v>
      </c>
      <c r="E828" s="33">
        <v>43588</v>
      </c>
      <c r="F828" s="34">
        <v>38963.26</v>
      </c>
      <c r="G828" s="34">
        <f t="shared" si="25"/>
        <v>-4.6622804784088155E-4</v>
      </c>
    </row>
    <row r="829" spans="1:7" x14ac:dyDescent="0.3">
      <c r="A829" s="33">
        <v>43591</v>
      </c>
      <c r="B829" s="34">
        <v>563.6</v>
      </c>
      <c r="C829" s="34">
        <f t="shared" si="24"/>
        <v>-1.4184399541337456E-3</v>
      </c>
      <c r="E829" s="33">
        <v>43591</v>
      </c>
      <c r="F829" s="34">
        <v>38600.339999999997</v>
      </c>
      <c r="G829" s="34">
        <f t="shared" si="25"/>
        <v>-9.3580661162636254E-3</v>
      </c>
    </row>
    <row r="830" spans="1:7" x14ac:dyDescent="0.3">
      <c r="A830" s="33">
        <v>43592</v>
      </c>
      <c r="B830" s="34">
        <v>558.9</v>
      </c>
      <c r="C830" s="34">
        <f t="shared" si="24"/>
        <v>-8.3742137488727799E-3</v>
      </c>
      <c r="E830" s="33">
        <v>43592</v>
      </c>
      <c r="F830" s="34">
        <v>38276.629999999997</v>
      </c>
      <c r="G830" s="34">
        <f t="shared" si="25"/>
        <v>-8.4215575404395938E-3</v>
      </c>
    </row>
    <row r="831" spans="1:7" x14ac:dyDescent="0.3">
      <c r="A831" s="33">
        <v>43593</v>
      </c>
      <c r="B831" s="34">
        <v>557.95000000000005</v>
      </c>
      <c r="C831" s="34">
        <f t="shared" si="24"/>
        <v>-1.701213643942098E-3</v>
      </c>
      <c r="E831" s="33">
        <v>43593</v>
      </c>
      <c r="F831" s="34">
        <v>37789.129999999997</v>
      </c>
      <c r="G831" s="34">
        <f t="shared" si="25"/>
        <v>-1.2818032048802587E-2</v>
      </c>
    </row>
    <row r="832" spans="1:7" x14ac:dyDescent="0.3">
      <c r="A832" s="33">
        <v>43594</v>
      </c>
      <c r="B832" s="34">
        <v>557.29999999999995</v>
      </c>
      <c r="C832" s="34">
        <f t="shared" si="24"/>
        <v>-1.1656580562197558E-3</v>
      </c>
      <c r="E832" s="33">
        <v>43594</v>
      </c>
      <c r="F832" s="34">
        <v>37558.910000000003</v>
      </c>
      <c r="G832" s="34">
        <f t="shared" si="25"/>
        <v>-6.1108614482303179E-3</v>
      </c>
    </row>
    <row r="833" spans="1:7" x14ac:dyDescent="0.3">
      <c r="A833" s="33">
        <v>43595</v>
      </c>
      <c r="B833" s="34">
        <v>554.29999999999995</v>
      </c>
      <c r="C833" s="34">
        <f t="shared" si="24"/>
        <v>-5.3976381497316652E-3</v>
      </c>
      <c r="E833" s="33">
        <v>43595</v>
      </c>
      <c r="F833" s="34">
        <v>37462.99</v>
      </c>
      <c r="G833" s="34">
        <f t="shared" si="25"/>
        <v>-2.5571213810198722E-3</v>
      </c>
    </row>
    <row r="834" spans="1:7" x14ac:dyDescent="0.3">
      <c r="A834" s="33">
        <v>43598</v>
      </c>
      <c r="B834" s="34">
        <v>544.29999999999995</v>
      </c>
      <c r="C834" s="34">
        <f t="shared" si="24"/>
        <v>-1.82054909856047E-2</v>
      </c>
      <c r="E834" s="33">
        <v>43598</v>
      </c>
      <c r="F834" s="34">
        <v>37090.82</v>
      </c>
      <c r="G834" s="34">
        <f t="shared" si="25"/>
        <v>-9.9840126615333737E-3</v>
      </c>
    </row>
    <row r="835" spans="1:7" x14ac:dyDescent="0.3">
      <c r="A835" s="33">
        <v>43599</v>
      </c>
      <c r="B835" s="34">
        <v>556.15</v>
      </c>
      <c r="C835" s="34">
        <f t="shared" si="24"/>
        <v>2.153747659788401E-2</v>
      </c>
      <c r="E835" s="33">
        <v>43599</v>
      </c>
      <c r="F835" s="34">
        <v>37318.53</v>
      </c>
      <c r="G835" s="34">
        <f t="shared" si="25"/>
        <v>6.1204864937271239E-3</v>
      </c>
    </row>
    <row r="836" spans="1:7" x14ac:dyDescent="0.3">
      <c r="A836" s="33">
        <v>43600</v>
      </c>
      <c r="B836" s="34">
        <v>555.4</v>
      </c>
      <c r="C836" s="34">
        <f t="shared" si="24"/>
        <v>-1.3494671653391311E-3</v>
      </c>
      <c r="E836" s="33">
        <v>43600</v>
      </c>
      <c r="F836" s="34">
        <v>37114.879999999997</v>
      </c>
      <c r="G836" s="34">
        <f t="shared" si="25"/>
        <v>-5.4720187656921897E-3</v>
      </c>
    </row>
    <row r="837" spans="1:7" x14ac:dyDescent="0.3">
      <c r="A837" s="33">
        <v>43601</v>
      </c>
      <c r="B837" s="34">
        <v>550.54999999999995</v>
      </c>
      <c r="C837" s="34">
        <f t="shared" si="24"/>
        <v>-8.7707963130991291E-3</v>
      </c>
      <c r="E837" s="33">
        <v>43601</v>
      </c>
      <c r="F837" s="34">
        <v>37393.480000000003</v>
      </c>
      <c r="G837" s="34">
        <f t="shared" si="25"/>
        <v>7.4783903020160941E-3</v>
      </c>
    </row>
    <row r="838" spans="1:7" x14ac:dyDescent="0.3">
      <c r="A838" s="33">
        <v>43602</v>
      </c>
      <c r="B838" s="34">
        <v>543.95000000000005</v>
      </c>
      <c r="C838" s="34">
        <f t="shared" si="24"/>
        <v>-1.2060447692508285E-2</v>
      </c>
      <c r="E838" s="33">
        <v>43602</v>
      </c>
      <c r="F838" s="34">
        <v>37930.769999999997</v>
      </c>
      <c r="G838" s="34">
        <f t="shared" si="25"/>
        <v>1.4266298376232327E-2</v>
      </c>
    </row>
    <row r="839" spans="1:7" x14ac:dyDescent="0.3">
      <c r="A839" s="33">
        <v>43605</v>
      </c>
      <c r="B839" s="34">
        <v>565.6</v>
      </c>
      <c r="C839" s="34">
        <f t="shared" ref="C839:C902" si="26">LN(B839/B838)</f>
        <v>3.9029783715271396E-2</v>
      </c>
      <c r="E839" s="33">
        <v>43605</v>
      </c>
      <c r="F839" s="34">
        <v>39352.67</v>
      </c>
      <c r="G839" s="34">
        <f t="shared" ref="G839:G902" si="27">LN(F839/F838)</f>
        <v>3.6801169117951282E-2</v>
      </c>
    </row>
    <row r="840" spans="1:7" x14ac:dyDescent="0.3">
      <c r="A840" s="33">
        <v>43606</v>
      </c>
      <c r="B840" s="34">
        <v>558.75</v>
      </c>
      <c r="C840" s="34">
        <f t="shared" si="26"/>
        <v>-1.2184968654584464E-2</v>
      </c>
      <c r="E840" s="33">
        <v>43606</v>
      </c>
      <c r="F840" s="34">
        <v>38969.800000000003</v>
      </c>
      <c r="G840" s="34">
        <f t="shared" si="27"/>
        <v>-9.7768379818465451E-3</v>
      </c>
    </row>
    <row r="841" spans="1:7" x14ac:dyDescent="0.3">
      <c r="A841" s="33">
        <v>43607</v>
      </c>
      <c r="B841" s="34">
        <v>554.04999999999995</v>
      </c>
      <c r="C841" s="34">
        <f t="shared" si="26"/>
        <v>-8.4472105454442298E-3</v>
      </c>
      <c r="E841" s="33">
        <v>43607</v>
      </c>
      <c r="F841" s="34">
        <v>39110.21</v>
      </c>
      <c r="G841" s="34">
        <f t="shared" si="27"/>
        <v>3.596571039220434E-3</v>
      </c>
    </row>
    <row r="842" spans="1:7" x14ac:dyDescent="0.3">
      <c r="A842" s="33">
        <v>43608</v>
      </c>
      <c r="B842" s="34">
        <v>563.45000000000005</v>
      </c>
      <c r="C842" s="34">
        <f t="shared" si="26"/>
        <v>1.6823663016023969E-2</v>
      </c>
      <c r="E842" s="33">
        <v>43608</v>
      </c>
      <c r="F842" s="34">
        <v>38811.39</v>
      </c>
      <c r="G842" s="34">
        <f t="shared" si="27"/>
        <v>-7.6697979728098395E-3</v>
      </c>
    </row>
    <row r="843" spans="1:7" x14ac:dyDescent="0.3">
      <c r="A843" s="33">
        <v>43609</v>
      </c>
      <c r="B843" s="34">
        <v>570.35</v>
      </c>
      <c r="C843" s="34">
        <f t="shared" si="26"/>
        <v>1.2171609075548505E-2</v>
      </c>
      <c r="E843" s="33">
        <v>43609</v>
      </c>
      <c r="F843" s="34">
        <v>39434.720000000001</v>
      </c>
      <c r="G843" s="34">
        <f t="shared" si="27"/>
        <v>1.5932886282206956E-2</v>
      </c>
    </row>
    <row r="844" spans="1:7" x14ac:dyDescent="0.3">
      <c r="A844" s="33">
        <v>43612</v>
      </c>
      <c r="B844" s="34">
        <v>578.35</v>
      </c>
      <c r="C844" s="34">
        <f t="shared" si="26"/>
        <v>1.3929014267503597E-2</v>
      </c>
      <c r="E844" s="33">
        <v>43612</v>
      </c>
      <c r="F844" s="34">
        <v>39683.29</v>
      </c>
      <c r="G844" s="34">
        <f t="shared" si="27"/>
        <v>6.283545752877504E-3</v>
      </c>
    </row>
    <row r="845" spans="1:7" x14ac:dyDescent="0.3">
      <c r="A845" s="33">
        <v>43613</v>
      </c>
      <c r="B845" s="34">
        <v>577.79999999999995</v>
      </c>
      <c r="C845" s="34">
        <f t="shared" si="26"/>
        <v>-9.5143370927574394E-4</v>
      </c>
      <c r="E845" s="33">
        <v>43613</v>
      </c>
      <c r="F845" s="34">
        <v>39749.730000000003</v>
      </c>
      <c r="G845" s="34">
        <f t="shared" si="27"/>
        <v>1.6728563384364875E-3</v>
      </c>
    </row>
    <row r="846" spans="1:7" x14ac:dyDescent="0.3">
      <c r="A846" s="33">
        <v>43614</v>
      </c>
      <c r="B846" s="34">
        <v>563.1</v>
      </c>
      <c r="C846" s="34">
        <f t="shared" si="26"/>
        <v>-2.5770555771561916E-2</v>
      </c>
      <c r="E846" s="33">
        <v>43614</v>
      </c>
      <c r="F846" s="34">
        <v>39502.050000000003</v>
      </c>
      <c r="G846" s="34">
        <f t="shared" si="27"/>
        <v>-6.2504793298812054E-3</v>
      </c>
    </row>
    <row r="847" spans="1:7" x14ac:dyDescent="0.3">
      <c r="A847" s="33">
        <v>43615</v>
      </c>
      <c r="B847" s="34">
        <v>563.29999999999995</v>
      </c>
      <c r="C847" s="34">
        <f t="shared" si="26"/>
        <v>3.5511364009541477E-4</v>
      </c>
      <c r="E847" s="33">
        <v>43615</v>
      </c>
      <c r="F847" s="34">
        <v>39831.97</v>
      </c>
      <c r="G847" s="34">
        <f t="shared" si="27"/>
        <v>8.317286881751389E-3</v>
      </c>
    </row>
    <row r="848" spans="1:7" x14ac:dyDescent="0.3">
      <c r="A848" s="33">
        <v>43616</v>
      </c>
      <c r="B848" s="34">
        <v>559.1</v>
      </c>
      <c r="C848" s="34">
        <f t="shared" si="26"/>
        <v>-7.4839978680685017E-3</v>
      </c>
      <c r="E848" s="33">
        <v>43616</v>
      </c>
      <c r="F848" s="34">
        <v>39714.199999999997</v>
      </c>
      <c r="G848" s="34">
        <f t="shared" si="27"/>
        <v>-2.9610498166988382E-3</v>
      </c>
    </row>
    <row r="849" spans="1:7" x14ac:dyDescent="0.3">
      <c r="A849" s="33">
        <v>43619</v>
      </c>
      <c r="B849" s="34">
        <v>568.29999999999995</v>
      </c>
      <c r="C849" s="34">
        <f t="shared" si="26"/>
        <v>1.6321100270476126E-2</v>
      </c>
      <c r="E849" s="33">
        <v>43619</v>
      </c>
      <c r="F849" s="34">
        <v>40267.620000000003</v>
      </c>
      <c r="G849" s="34">
        <f t="shared" si="27"/>
        <v>1.3838865689420254E-2</v>
      </c>
    </row>
    <row r="850" spans="1:7" x14ac:dyDescent="0.3">
      <c r="A850" s="33">
        <v>43620</v>
      </c>
      <c r="B850" s="34">
        <v>563.25</v>
      </c>
      <c r="C850" s="34">
        <f t="shared" si="26"/>
        <v>-8.9258689907218951E-3</v>
      </c>
      <c r="E850" s="33">
        <v>43620</v>
      </c>
      <c r="F850" s="34">
        <v>40083.54</v>
      </c>
      <c r="G850" s="34">
        <f t="shared" si="27"/>
        <v>-4.5818958194084394E-3</v>
      </c>
    </row>
    <row r="851" spans="1:7" x14ac:dyDescent="0.3">
      <c r="A851" s="33">
        <v>43622</v>
      </c>
      <c r="B851" s="34">
        <v>560.9</v>
      </c>
      <c r="C851" s="34">
        <f t="shared" si="26"/>
        <v>-4.1809427980626004E-3</v>
      </c>
      <c r="E851" s="33">
        <v>43622</v>
      </c>
      <c r="F851" s="34">
        <v>39529.72</v>
      </c>
      <c r="G851" s="34">
        <f t="shared" si="27"/>
        <v>-1.3912982174045196E-2</v>
      </c>
    </row>
    <row r="852" spans="1:7" x14ac:dyDescent="0.3">
      <c r="A852" s="33">
        <v>43623</v>
      </c>
      <c r="B852" s="34">
        <v>549.6</v>
      </c>
      <c r="C852" s="34">
        <f t="shared" si="26"/>
        <v>-2.0351895606151593E-2</v>
      </c>
      <c r="E852" s="33">
        <v>43623</v>
      </c>
      <c r="F852" s="34">
        <v>39615.9</v>
      </c>
      <c r="G852" s="34">
        <f t="shared" si="27"/>
        <v>2.177758770732023E-3</v>
      </c>
    </row>
    <row r="853" spans="1:7" x14ac:dyDescent="0.3">
      <c r="A853" s="33">
        <v>43626</v>
      </c>
      <c r="B853" s="34">
        <v>553.70000000000005</v>
      </c>
      <c r="C853" s="34">
        <f t="shared" si="26"/>
        <v>7.4322829207820332E-3</v>
      </c>
      <c r="E853" s="33">
        <v>43626</v>
      </c>
      <c r="F853" s="34">
        <v>39784.519999999997</v>
      </c>
      <c r="G853" s="34">
        <f t="shared" si="27"/>
        <v>4.2473390818443891E-3</v>
      </c>
    </row>
    <row r="854" spans="1:7" x14ac:dyDescent="0.3">
      <c r="A854" s="33">
        <v>43627</v>
      </c>
      <c r="B854" s="34">
        <v>560.1</v>
      </c>
      <c r="C854" s="34">
        <f t="shared" si="26"/>
        <v>1.1492315386865135E-2</v>
      </c>
      <c r="E854" s="33">
        <v>43627</v>
      </c>
      <c r="F854" s="34">
        <v>39950.46</v>
      </c>
      <c r="G854" s="34">
        <f t="shared" si="27"/>
        <v>4.1622946308286666E-3</v>
      </c>
    </row>
    <row r="855" spans="1:7" x14ac:dyDescent="0.3">
      <c r="A855" s="33">
        <v>43628</v>
      </c>
      <c r="B855" s="34">
        <v>561.04999999999995</v>
      </c>
      <c r="C855" s="34">
        <f t="shared" si="26"/>
        <v>1.6946888950885343E-3</v>
      </c>
      <c r="E855" s="33">
        <v>43628</v>
      </c>
      <c r="F855" s="34">
        <v>39756.81</v>
      </c>
      <c r="G855" s="34">
        <f t="shared" si="27"/>
        <v>-4.8590393576515315E-3</v>
      </c>
    </row>
    <row r="856" spans="1:7" x14ac:dyDescent="0.3">
      <c r="A856" s="33">
        <v>43629</v>
      </c>
      <c r="B856" s="34">
        <v>562.79999999999995</v>
      </c>
      <c r="C856" s="34">
        <f t="shared" si="26"/>
        <v>3.1142971293587804E-3</v>
      </c>
      <c r="E856" s="33">
        <v>43629</v>
      </c>
      <c r="F856" s="34">
        <v>39741.360000000001</v>
      </c>
      <c r="G856" s="34">
        <f t="shared" si="27"/>
        <v>-3.8868819733863647E-4</v>
      </c>
    </row>
    <row r="857" spans="1:7" x14ac:dyDescent="0.3">
      <c r="A857" s="33">
        <v>43630</v>
      </c>
      <c r="B857" s="34">
        <v>555.9</v>
      </c>
      <c r="C857" s="34">
        <f t="shared" si="26"/>
        <v>-1.233590328081015E-2</v>
      </c>
      <c r="E857" s="33">
        <v>43630</v>
      </c>
      <c r="F857" s="34">
        <v>39452.07</v>
      </c>
      <c r="G857" s="34">
        <f t="shared" si="27"/>
        <v>-7.3059415858017776E-3</v>
      </c>
    </row>
    <row r="858" spans="1:7" x14ac:dyDescent="0.3">
      <c r="A858" s="33">
        <v>43633</v>
      </c>
      <c r="B858" s="34">
        <v>544.79999999999995</v>
      </c>
      <c r="C858" s="34">
        <f t="shared" si="26"/>
        <v>-2.0169667124121216E-2</v>
      </c>
      <c r="E858" s="33">
        <v>43633</v>
      </c>
      <c r="F858" s="34">
        <v>38960.79</v>
      </c>
      <c r="G858" s="34">
        <f t="shared" si="27"/>
        <v>-1.2530761622046123E-2</v>
      </c>
    </row>
    <row r="859" spans="1:7" x14ac:dyDescent="0.3">
      <c r="A859" s="33">
        <v>43634</v>
      </c>
      <c r="B859" s="34">
        <v>547.4</v>
      </c>
      <c r="C859" s="34">
        <f t="shared" si="26"/>
        <v>4.7610417712761833E-3</v>
      </c>
      <c r="E859" s="33">
        <v>43634</v>
      </c>
      <c r="F859" s="34">
        <v>39046.339999999997</v>
      </c>
      <c r="G859" s="34">
        <f t="shared" si="27"/>
        <v>2.1933901246752878E-3</v>
      </c>
    </row>
    <row r="860" spans="1:7" x14ac:dyDescent="0.3">
      <c r="A860" s="33">
        <v>43635</v>
      </c>
      <c r="B860" s="34">
        <v>533.5</v>
      </c>
      <c r="C860" s="34">
        <f t="shared" si="26"/>
        <v>-2.5720725864770595E-2</v>
      </c>
      <c r="E860" s="33">
        <v>43635</v>
      </c>
      <c r="F860" s="34">
        <v>39112.74</v>
      </c>
      <c r="G860" s="34">
        <f t="shared" si="27"/>
        <v>1.699099221085718E-3</v>
      </c>
    </row>
    <row r="861" spans="1:7" x14ac:dyDescent="0.3">
      <c r="A861" s="33">
        <v>43636</v>
      </c>
      <c r="B861" s="34">
        <v>551.35</v>
      </c>
      <c r="C861" s="34">
        <f t="shared" si="26"/>
        <v>3.2910745462879483E-2</v>
      </c>
      <c r="E861" s="33">
        <v>43636</v>
      </c>
      <c r="F861" s="34">
        <v>39601.629999999997</v>
      </c>
      <c r="G861" s="34">
        <f t="shared" si="27"/>
        <v>1.2422033907572533E-2</v>
      </c>
    </row>
    <row r="862" spans="1:7" x14ac:dyDescent="0.3">
      <c r="A862" s="33">
        <v>43637</v>
      </c>
      <c r="B862" s="34">
        <v>551.75</v>
      </c>
      <c r="C862" s="34">
        <f t="shared" si="26"/>
        <v>7.2522893215823132E-4</v>
      </c>
      <c r="E862" s="33">
        <v>43637</v>
      </c>
      <c r="F862" s="34">
        <v>39194.49</v>
      </c>
      <c r="G862" s="34">
        <f t="shared" si="27"/>
        <v>-1.0334103337208026E-2</v>
      </c>
    </row>
    <row r="863" spans="1:7" x14ac:dyDescent="0.3">
      <c r="A863" s="33">
        <v>43640</v>
      </c>
      <c r="B863" s="34">
        <v>549.75</v>
      </c>
      <c r="C863" s="34">
        <f t="shared" si="26"/>
        <v>-3.6314157019752161E-3</v>
      </c>
      <c r="E863" s="33">
        <v>43640</v>
      </c>
      <c r="F863" s="34">
        <v>39122.959999999999</v>
      </c>
      <c r="G863" s="34">
        <f t="shared" si="27"/>
        <v>-1.8266687664019799E-3</v>
      </c>
    </row>
    <row r="864" spans="1:7" x14ac:dyDescent="0.3">
      <c r="A864" s="33">
        <v>43641</v>
      </c>
      <c r="B864" s="34">
        <v>550.45000000000005</v>
      </c>
      <c r="C864" s="34">
        <f t="shared" si="26"/>
        <v>1.2724960815416124E-3</v>
      </c>
      <c r="E864" s="33">
        <v>43641</v>
      </c>
      <c r="F864" s="34">
        <v>39434.94</v>
      </c>
      <c r="G864" s="34">
        <f t="shared" si="27"/>
        <v>7.9427184318651804E-3</v>
      </c>
    </row>
    <row r="865" spans="1:7" x14ac:dyDescent="0.3">
      <c r="A865" s="33">
        <v>43642</v>
      </c>
      <c r="B865" s="34">
        <v>555.95000000000005</v>
      </c>
      <c r="C865" s="34">
        <f t="shared" si="26"/>
        <v>9.9422366328459945E-3</v>
      </c>
      <c r="E865" s="33">
        <v>43642</v>
      </c>
      <c r="F865" s="34">
        <v>39592.080000000002</v>
      </c>
      <c r="G865" s="34">
        <f t="shared" si="27"/>
        <v>3.9768729000322902E-3</v>
      </c>
    </row>
    <row r="866" spans="1:7" x14ac:dyDescent="0.3">
      <c r="A866" s="33">
        <v>43643</v>
      </c>
      <c r="B866" s="34">
        <v>552</v>
      </c>
      <c r="C866" s="34">
        <f t="shared" si="26"/>
        <v>-7.1303158721630153E-3</v>
      </c>
      <c r="E866" s="33">
        <v>43643</v>
      </c>
      <c r="F866" s="34">
        <v>39586.410000000003</v>
      </c>
      <c r="G866" s="34">
        <f t="shared" si="27"/>
        <v>-1.4322071587099608E-4</v>
      </c>
    </row>
    <row r="867" spans="1:7" x14ac:dyDescent="0.3">
      <c r="A867" s="33">
        <v>43644</v>
      </c>
      <c r="B867" s="34">
        <v>552.45000000000005</v>
      </c>
      <c r="C867" s="34">
        <f t="shared" si="26"/>
        <v>8.1488528208886334E-4</v>
      </c>
      <c r="E867" s="33">
        <v>43644</v>
      </c>
      <c r="F867" s="34">
        <v>39394.639999999999</v>
      </c>
      <c r="G867" s="34">
        <f t="shared" si="27"/>
        <v>-4.8561111015088228E-3</v>
      </c>
    </row>
    <row r="868" spans="1:7" x14ac:dyDescent="0.3">
      <c r="A868" s="33">
        <v>43647</v>
      </c>
      <c r="B868" s="34">
        <v>555.9</v>
      </c>
      <c r="C868" s="34">
        <f t="shared" si="26"/>
        <v>6.2254904002397487E-3</v>
      </c>
      <c r="E868" s="33">
        <v>43647</v>
      </c>
      <c r="F868" s="34">
        <v>39686.5</v>
      </c>
      <c r="G868" s="34">
        <f t="shared" si="27"/>
        <v>7.3813130446827493E-3</v>
      </c>
    </row>
    <row r="869" spans="1:7" x14ac:dyDescent="0.3">
      <c r="A869" s="33">
        <v>43648</v>
      </c>
      <c r="B869" s="34">
        <v>555.15</v>
      </c>
      <c r="C869" s="34">
        <f t="shared" si="26"/>
        <v>-1.350074459149126E-3</v>
      </c>
      <c r="E869" s="33">
        <v>43648</v>
      </c>
      <c r="F869" s="34">
        <v>39816.480000000003</v>
      </c>
      <c r="G869" s="34">
        <f t="shared" si="27"/>
        <v>3.2698174536094087E-3</v>
      </c>
    </row>
    <row r="870" spans="1:7" x14ac:dyDescent="0.3">
      <c r="A870" s="33">
        <v>43649</v>
      </c>
      <c r="B870" s="34">
        <v>553.04999999999995</v>
      </c>
      <c r="C870" s="34">
        <f t="shared" si="26"/>
        <v>-3.789934152011462E-3</v>
      </c>
      <c r="E870" s="33">
        <v>43649</v>
      </c>
      <c r="F870" s="34">
        <v>39839.25</v>
      </c>
      <c r="G870" s="34">
        <f t="shared" si="27"/>
        <v>5.7171029931433071E-4</v>
      </c>
    </row>
    <row r="871" spans="1:7" x14ac:dyDescent="0.3">
      <c r="A871" s="33">
        <v>43650</v>
      </c>
      <c r="B871" s="34">
        <v>551.45000000000005</v>
      </c>
      <c r="C871" s="34">
        <f t="shared" si="26"/>
        <v>-2.8972405961070801E-3</v>
      </c>
      <c r="E871" s="33">
        <v>43650</v>
      </c>
      <c r="F871" s="34">
        <v>39908.06</v>
      </c>
      <c r="G871" s="34">
        <f t="shared" si="27"/>
        <v>1.7257012700892277E-3</v>
      </c>
    </row>
    <row r="872" spans="1:7" x14ac:dyDescent="0.3">
      <c r="A872" s="33">
        <v>43651</v>
      </c>
      <c r="B872" s="34">
        <v>549.95000000000005</v>
      </c>
      <c r="C872" s="34">
        <f t="shared" si="26"/>
        <v>-2.7238077490302575E-3</v>
      </c>
      <c r="E872" s="33">
        <v>43651</v>
      </c>
      <c r="F872" s="34">
        <v>39513.39</v>
      </c>
      <c r="G872" s="34">
        <f t="shared" si="27"/>
        <v>-9.9387067024630672E-3</v>
      </c>
    </row>
    <row r="873" spans="1:7" x14ac:dyDescent="0.3">
      <c r="A873" s="33">
        <v>43654</v>
      </c>
      <c r="B873" s="34">
        <v>538.75</v>
      </c>
      <c r="C873" s="34">
        <f t="shared" si="26"/>
        <v>-2.0575723585168241E-2</v>
      </c>
      <c r="E873" s="33">
        <v>43654</v>
      </c>
      <c r="F873" s="34">
        <v>38720.57</v>
      </c>
      <c r="G873" s="34">
        <f t="shared" si="27"/>
        <v>-2.0268618431218254E-2</v>
      </c>
    </row>
    <row r="874" spans="1:7" x14ac:dyDescent="0.3">
      <c r="A874" s="33">
        <v>43655</v>
      </c>
      <c r="B874" s="34">
        <v>548.45000000000005</v>
      </c>
      <c r="C874" s="34">
        <f t="shared" si="26"/>
        <v>1.7844476439385627E-2</v>
      </c>
      <c r="E874" s="33">
        <v>43655</v>
      </c>
      <c r="F874" s="34">
        <v>38730.82</v>
      </c>
      <c r="G874" s="34">
        <f t="shared" si="27"/>
        <v>2.6468214604891539E-4</v>
      </c>
    </row>
    <row r="875" spans="1:7" x14ac:dyDescent="0.3">
      <c r="A875" s="33">
        <v>43656</v>
      </c>
      <c r="B875" s="34">
        <v>544.65</v>
      </c>
      <c r="C875" s="34">
        <f t="shared" si="26"/>
        <v>-6.9527313288887827E-3</v>
      </c>
      <c r="E875" s="33">
        <v>43656</v>
      </c>
      <c r="F875" s="34">
        <v>38557.040000000001</v>
      </c>
      <c r="G875" s="34">
        <f t="shared" si="27"/>
        <v>-4.4969622100508953E-3</v>
      </c>
    </row>
    <row r="876" spans="1:7" x14ac:dyDescent="0.3">
      <c r="A876" s="33">
        <v>43657</v>
      </c>
      <c r="B876" s="34">
        <v>552.29999999999995</v>
      </c>
      <c r="C876" s="34">
        <f t="shared" si="26"/>
        <v>1.3947990378687422E-2</v>
      </c>
      <c r="E876" s="33">
        <v>43657</v>
      </c>
      <c r="F876" s="34">
        <v>38823.11</v>
      </c>
      <c r="G876" s="34">
        <f t="shared" si="27"/>
        <v>6.8769845651983916E-3</v>
      </c>
    </row>
    <row r="877" spans="1:7" x14ac:dyDescent="0.3">
      <c r="A877" s="33">
        <v>43658</v>
      </c>
      <c r="B877" s="34">
        <v>556.65</v>
      </c>
      <c r="C877" s="34">
        <f t="shared" si="26"/>
        <v>7.8452992675743741E-3</v>
      </c>
      <c r="E877" s="33">
        <v>43658</v>
      </c>
      <c r="F877" s="34">
        <v>38736.230000000003</v>
      </c>
      <c r="G877" s="34">
        <f t="shared" si="27"/>
        <v>-2.2403500684450269E-3</v>
      </c>
    </row>
    <row r="878" spans="1:7" x14ac:dyDescent="0.3">
      <c r="A878" s="33">
        <v>43661</v>
      </c>
      <c r="B878" s="34">
        <v>550.75</v>
      </c>
      <c r="C878" s="34">
        <f t="shared" si="26"/>
        <v>-1.065569049226376E-2</v>
      </c>
      <c r="E878" s="33">
        <v>43661</v>
      </c>
      <c r="F878" s="34">
        <v>38896.71</v>
      </c>
      <c r="G878" s="34">
        <f t="shared" si="27"/>
        <v>4.1343334050334066E-3</v>
      </c>
    </row>
    <row r="879" spans="1:7" x14ac:dyDescent="0.3">
      <c r="A879" s="33">
        <v>43662</v>
      </c>
      <c r="B879" s="34">
        <v>553.6</v>
      </c>
      <c r="C879" s="34">
        <f t="shared" si="26"/>
        <v>5.1614186210072813E-3</v>
      </c>
      <c r="E879" s="33">
        <v>43662</v>
      </c>
      <c r="F879" s="34">
        <v>39131.040000000001</v>
      </c>
      <c r="G879" s="34">
        <f t="shared" si="27"/>
        <v>6.0063427300327101E-3</v>
      </c>
    </row>
    <row r="880" spans="1:7" x14ac:dyDescent="0.3">
      <c r="A880" s="33">
        <v>43663</v>
      </c>
      <c r="B880" s="34">
        <v>557.4</v>
      </c>
      <c r="C880" s="34">
        <f t="shared" si="26"/>
        <v>6.8407107443879895E-3</v>
      </c>
      <c r="E880" s="33">
        <v>43663</v>
      </c>
      <c r="F880" s="34">
        <v>39215.64</v>
      </c>
      <c r="G880" s="34">
        <f t="shared" si="27"/>
        <v>2.1596328748402101E-3</v>
      </c>
    </row>
    <row r="881" spans="1:7" x14ac:dyDescent="0.3">
      <c r="A881" s="33">
        <v>43664</v>
      </c>
      <c r="B881" s="34">
        <v>547.04999999999995</v>
      </c>
      <c r="C881" s="34">
        <f t="shared" si="26"/>
        <v>-1.8742909125048963E-2</v>
      </c>
      <c r="E881" s="33">
        <v>43664</v>
      </c>
      <c r="F881" s="34">
        <v>38897.46</v>
      </c>
      <c r="G881" s="34">
        <f t="shared" si="27"/>
        <v>-8.1466939543323319E-3</v>
      </c>
    </row>
    <row r="882" spans="1:7" x14ac:dyDescent="0.3">
      <c r="A882" s="33">
        <v>43665</v>
      </c>
      <c r="B882" s="34">
        <v>536.85</v>
      </c>
      <c r="C882" s="34">
        <f t="shared" si="26"/>
        <v>-1.882148004265425E-2</v>
      </c>
      <c r="E882" s="33">
        <v>43665</v>
      </c>
      <c r="F882" s="34">
        <v>38337.01</v>
      </c>
      <c r="G882" s="34">
        <f t="shared" si="27"/>
        <v>-1.451320472347126E-2</v>
      </c>
    </row>
    <row r="883" spans="1:7" x14ac:dyDescent="0.3">
      <c r="A883" s="33">
        <v>43668</v>
      </c>
      <c r="B883" s="34">
        <v>530.6</v>
      </c>
      <c r="C883" s="34">
        <f t="shared" si="26"/>
        <v>-1.1710284176505192E-2</v>
      </c>
      <c r="E883" s="33">
        <v>43668</v>
      </c>
      <c r="F883" s="34">
        <v>38031.129999999997</v>
      </c>
      <c r="G883" s="34">
        <f t="shared" si="27"/>
        <v>-8.0107132563520273E-3</v>
      </c>
    </row>
    <row r="884" spans="1:7" x14ac:dyDescent="0.3">
      <c r="A884" s="33">
        <v>43669</v>
      </c>
      <c r="B884" s="34">
        <v>528.79999999999995</v>
      </c>
      <c r="C884" s="34">
        <f t="shared" si="26"/>
        <v>-3.3981531661628601E-3</v>
      </c>
      <c r="E884" s="33">
        <v>43669</v>
      </c>
      <c r="F884" s="34">
        <v>37982.74</v>
      </c>
      <c r="G884" s="34">
        <f t="shared" si="27"/>
        <v>-1.2731888676822463E-3</v>
      </c>
    </row>
    <row r="885" spans="1:7" x14ac:dyDescent="0.3">
      <c r="A885" s="33">
        <v>43670</v>
      </c>
      <c r="B885" s="34">
        <v>518.75</v>
      </c>
      <c r="C885" s="34">
        <f t="shared" si="26"/>
        <v>-1.9188216992568383E-2</v>
      </c>
      <c r="E885" s="33">
        <v>43670</v>
      </c>
      <c r="F885" s="34">
        <v>37847.65</v>
      </c>
      <c r="G885" s="34">
        <f t="shared" si="27"/>
        <v>-3.562955245515401E-3</v>
      </c>
    </row>
    <row r="886" spans="1:7" x14ac:dyDescent="0.3">
      <c r="A886" s="33">
        <v>43671</v>
      </c>
      <c r="B886" s="34">
        <v>536.20000000000005</v>
      </c>
      <c r="C886" s="34">
        <f t="shared" si="26"/>
        <v>3.3085154256950959E-2</v>
      </c>
      <c r="E886" s="33">
        <v>43671</v>
      </c>
      <c r="F886" s="34">
        <v>37830.980000000003</v>
      </c>
      <c r="G886" s="34">
        <f t="shared" si="27"/>
        <v>-4.4054709419585262E-4</v>
      </c>
    </row>
    <row r="887" spans="1:7" x14ac:dyDescent="0.3">
      <c r="A887" s="33">
        <v>43672</v>
      </c>
      <c r="B887" s="34">
        <v>532.45000000000005</v>
      </c>
      <c r="C887" s="34">
        <f t="shared" si="26"/>
        <v>-7.0182293404661006E-3</v>
      </c>
      <c r="E887" s="33">
        <v>43672</v>
      </c>
      <c r="F887" s="34">
        <v>37882.79</v>
      </c>
      <c r="G887" s="34">
        <f t="shared" si="27"/>
        <v>1.3685755731531592E-3</v>
      </c>
    </row>
    <row r="888" spans="1:7" x14ac:dyDescent="0.3">
      <c r="A888" s="33">
        <v>43675</v>
      </c>
      <c r="B888" s="34">
        <v>522.04999999999995</v>
      </c>
      <c r="C888" s="34">
        <f t="shared" si="26"/>
        <v>-1.9725627725273594E-2</v>
      </c>
      <c r="E888" s="33">
        <v>43675</v>
      </c>
      <c r="F888" s="34">
        <v>37686.370000000003</v>
      </c>
      <c r="G888" s="34">
        <f t="shared" si="27"/>
        <v>-5.1984286270239533E-3</v>
      </c>
    </row>
    <row r="889" spans="1:7" x14ac:dyDescent="0.3">
      <c r="A889" s="33">
        <v>43676</v>
      </c>
      <c r="B889" s="34">
        <v>520.15</v>
      </c>
      <c r="C889" s="34">
        <f t="shared" si="26"/>
        <v>-3.6461372192150691E-3</v>
      </c>
      <c r="E889" s="33">
        <v>43676</v>
      </c>
      <c r="F889" s="34">
        <v>37397.24</v>
      </c>
      <c r="G889" s="34">
        <f t="shared" si="27"/>
        <v>-7.7015857157154595E-3</v>
      </c>
    </row>
    <row r="890" spans="1:7" x14ac:dyDescent="0.3">
      <c r="A890" s="33">
        <v>43677</v>
      </c>
      <c r="B890" s="34">
        <v>520.95000000000005</v>
      </c>
      <c r="C890" s="34">
        <f t="shared" si="26"/>
        <v>1.5368363412885939E-3</v>
      </c>
      <c r="E890" s="33">
        <v>43677</v>
      </c>
      <c r="F890" s="34">
        <v>37481.120000000003</v>
      </c>
      <c r="G890" s="34">
        <f t="shared" si="27"/>
        <v>2.2404346218758194E-3</v>
      </c>
    </row>
    <row r="891" spans="1:7" x14ac:dyDescent="0.3">
      <c r="A891" s="33">
        <v>43678</v>
      </c>
      <c r="B891" s="34">
        <v>512.25</v>
      </c>
      <c r="C891" s="34">
        <f t="shared" si="26"/>
        <v>-1.6841280739183659E-2</v>
      </c>
      <c r="E891" s="33">
        <v>43678</v>
      </c>
      <c r="F891" s="34">
        <v>37018.32</v>
      </c>
      <c r="G891" s="34">
        <f t="shared" si="27"/>
        <v>-1.2424414287395135E-2</v>
      </c>
    </row>
    <row r="892" spans="1:7" x14ac:dyDescent="0.3">
      <c r="A892" s="33">
        <v>43679</v>
      </c>
      <c r="B892" s="34">
        <v>515.70000000000005</v>
      </c>
      <c r="C892" s="34">
        <f t="shared" si="26"/>
        <v>6.7124139379041879E-3</v>
      </c>
      <c r="E892" s="33">
        <v>43679</v>
      </c>
      <c r="F892" s="34">
        <v>37118.22</v>
      </c>
      <c r="G892" s="34">
        <f t="shared" si="27"/>
        <v>2.6950289416251428E-3</v>
      </c>
    </row>
    <row r="893" spans="1:7" x14ac:dyDescent="0.3">
      <c r="A893" s="33">
        <v>43682</v>
      </c>
      <c r="B893" s="34">
        <v>518.9</v>
      </c>
      <c r="C893" s="34">
        <f t="shared" si="26"/>
        <v>6.1859853167804801E-3</v>
      </c>
      <c r="E893" s="33">
        <v>43682</v>
      </c>
      <c r="F893" s="34">
        <v>36699.839999999997</v>
      </c>
      <c r="G893" s="34">
        <f t="shared" si="27"/>
        <v>-1.1335558804034428E-2</v>
      </c>
    </row>
    <row r="894" spans="1:7" x14ac:dyDescent="0.3">
      <c r="A894" s="33">
        <v>43683</v>
      </c>
      <c r="B894" s="34">
        <v>500.2</v>
      </c>
      <c r="C894" s="34">
        <f t="shared" si="26"/>
        <v>-3.6703167930175223E-2</v>
      </c>
      <c r="E894" s="33">
        <v>43683</v>
      </c>
      <c r="F894" s="34">
        <v>36976.85</v>
      </c>
      <c r="G894" s="34">
        <f t="shared" si="27"/>
        <v>7.5196457738438364E-3</v>
      </c>
    </row>
    <row r="895" spans="1:7" x14ac:dyDescent="0.3">
      <c r="A895" s="33">
        <v>43684</v>
      </c>
      <c r="B895" s="34">
        <v>519</v>
      </c>
      <c r="C895" s="34">
        <f t="shared" si="26"/>
        <v>3.6895864722369914E-2</v>
      </c>
      <c r="E895" s="33">
        <v>43684</v>
      </c>
      <c r="F895" s="34">
        <v>36690.5</v>
      </c>
      <c r="G895" s="34">
        <f t="shared" si="27"/>
        <v>-7.7741751860368078E-3</v>
      </c>
    </row>
    <row r="896" spans="1:7" x14ac:dyDescent="0.3">
      <c r="A896" s="33">
        <v>43685</v>
      </c>
      <c r="B896" s="34">
        <v>503.3</v>
      </c>
      <c r="C896" s="34">
        <f t="shared" si="26"/>
        <v>-3.071746938357436E-2</v>
      </c>
      <c r="E896" s="33">
        <v>43685</v>
      </c>
      <c r="F896" s="34">
        <v>37327.360000000001</v>
      </c>
      <c r="G896" s="34">
        <f t="shared" si="27"/>
        <v>1.7208703859815801E-2</v>
      </c>
    </row>
    <row r="897" spans="1:7" x14ac:dyDescent="0.3">
      <c r="A897" s="33">
        <v>43686</v>
      </c>
      <c r="B897" s="34">
        <v>485.2</v>
      </c>
      <c r="C897" s="34">
        <f t="shared" si="26"/>
        <v>-3.662523671241933E-2</v>
      </c>
      <c r="E897" s="33">
        <v>43686</v>
      </c>
      <c r="F897" s="34">
        <v>37581.910000000003</v>
      </c>
      <c r="G897" s="34">
        <f t="shared" si="27"/>
        <v>6.7962477750234196E-3</v>
      </c>
    </row>
    <row r="898" spans="1:7" x14ac:dyDescent="0.3">
      <c r="A898" s="33">
        <v>43690</v>
      </c>
      <c r="B898" s="34">
        <v>475.4</v>
      </c>
      <c r="C898" s="34">
        <f t="shared" si="26"/>
        <v>-2.0404622143801582E-2</v>
      </c>
      <c r="E898" s="33">
        <v>43690</v>
      </c>
      <c r="F898" s="34">
        <v>36958.160000000003</v>
      </c>
      <c r="G898" s="34">
        <f t="shared" si="27"/>
        <v>-1.6736355616185007E-2</v>
      </c>
    </row>
    <row r="899" spans="1:7" x14ac:dyDescent="0.3">
      <c r="A899" s="33">
        <v>43691</v>
      </c>
      <c r="B899" s="34">
        <v>478.5</v>
      </c>
      <c r="C899" s="34">
        <f t="shared" si="26"/>
        <v>6.4996559669154444E-3</v>
      </c>
      <c r="E899" s="33">
        <v>43691</v>
      </c>
      <c r="F899" s="34">
        <v>37311.53</v>
      </c>
      <c r="G899" s="34">
        <f t="shared" si="27"/>
        <v>9.515932180527811E-3</v>
      </c>
    </row>
    <row r="900" spans="1:7" x14ac:dyDescent="0.3">
      <c r="A900" s="33">
        <v>43693</v>
      </c>
      <c r="B900" s="34">
        <v>476.25</v>
      </c>
      <c r="C900" s="34">
        <f t="shared" si="26"/>
        <v>-4.7132844520982016E-3</v>
      </c>
      <c r="E900" s="33">
        <v>43693</v>
      </c>
      <c r="F900" s="34">
        <v>37350.33</v>
      </c>
      <c r="G900" s="34">
        <f t="shared" si="27"/>
        <v>1.0393527161745436E-3</v>
      </c>
    </row>
    <row r="901" spans="1:7" x14ac:dyDescent="0.3">
      <c r="A901" s="33">
        <v>43696</v>
      </c>
      <c r="B901" s="34">
        <v>475.9</v>
      </c>
      <c r="C901" s="34">
        <f t="shared" si="26"/>
        <v>-7.3517831384603159E-4</v>
      </c>
      <c r="E901" s="33">
        <v>43696</v>
      </c>
      <c r="F901" s="34">
        <v>37402.49</v>
      </c>
      <c r="G901" s="34">
        <f t="shared" si="27"/>
        <v>1.3955328632467262E-3</v>
      </c>
    </row>
    <row r="902" spans="1:7" x14ac:dyDescent="0.3">
      <c r="A902" s="33">
        <v>43697</v>
      </c>
      <c r="B902" s="34">
        <v>478.8</v>
      </c>
      <c r="C902" s="34">
        <f t="shared" si="26"/>
        <v>6.075225556753351E-3</v>
      </c>
      <c r="E902" s="33">
        <v>43697</v>
      </c>
      <c r="F902" s="34">
        <v>37328.01</v>
      </c>
      <c r="G902" s="34">
        <f t="shared" si="27"/>
        <v>-1.9932965699550839E-3</v>
      </c>
    </row>
    <row r="903" spans="1:7" x14ac:dyDescent="0.3">
      <c r="A903" s="33">
        <v>43698</v>
      </c>
      <c r="B903" s="34">
        <v>468.05</v>
      </c>
      <c r="C903" s="34">
        <f t="shared" ref="C903:C966" si="28">LN(B903/B902)</f>
        <v>-2.2707845866064415E-2</v>
      </c>
      <c r="E903" s="33">
        <v>43698</v>
      </c>
      <c r="F903" s="34">
        <v>37060.370000000003</v>
      </c>
      <c r="G903" s="34">
        <f t="shared" ref="G903:G966" si="29">LN(F903/F902)</f>
        <v>-7.1957785570383294E-3</v>
      </c>
    </row>
    <row r="904" spans="1:7" x14ac:dyDescent="0.3">
      <c r="A904" s="33">
        <v>43699</v>
      </c>
      <c r="B904" s="34">
        <v>463.1</v>
      </c>
      <c r="C904" s="34">
        <f t="shared" si="28"/>
        <v>-1.0632114331047328E-2</v>
      </c>
      <c r="E904" s="33">
        <v>43699</v>
      </c>
      <c r="F904" s="34">
        <v>36472.93</v>
      </c>
      <c r="G904" s="34">
        <f t="shared" si="29"/>
        <v>-1.5977863018426235E-2</v>
      </c>
    </row>
    <row r="905" spans="1:7" x14ac:dyDescent="0.3">
      <c r="A905" s="33">
        <v>43700</v>
      </c>
      <c r="B905" s="34">
        <v>465.9</v>
      </c>
      <c r="C905" s="34">
        <f t="shared" si="28"/>
        <v>6.0280053360447193E-3</v>
      </c>
      <c r="E905" s="33">
        <v>43700</v>
      </c>
      <c r="F905" s="34">
        <v>36701.160000000003</v>
      </c>
      <c r="G905" s="34">
        <f t="shared" si="29"/>
        <v>6.2380205914545645E-3</v>
      </c>
    </row>
    <row r="906" spans="1:7" x14ac:dyDescent="0.3">
      <c r="A906" s="33">
        <v>43703</v>
      </c>
      <c r="B906" s="34">
        <v>465.1</v>
      </c>
      <c r="C906" s="34">
        <f t="shared" si="28"/>
        <v>-1.7185825926997024E-3</v>
      </c>
      <c r="E906" s="33">
        <v>43703</v>
      </c>
      <c r="F906" s="34">
        <v>37494.120000000003</v>
      </c>
      <c r="G906" s="34">
        <f t="shared" si="29"/>
        <v>2.1375758491518231E-2</v>
      </c>
    </row>
    <row r="907" spans="1:7" x14ac:dyDescent="0.3">
      <c r="A907" s="33">
        <v>43704</v>
      </c>
      <c r="B907" s="34">
        <v>465.2</v>
      </c>
      <c r="C907" s="34">
        <f t="shared" si="28"/>
        <v>2.1498441445802306E-4</v>
      </c>
      <c r="E907" s="33">
        <v>43704</v>
      </c>
      <c r="F907" s="34">
        <v>37641.269999999997</v>
      </c>
      <c r="G907" s="34">
        <f t="shared" si="29"/>
        <v>3.9169341673957235E-3</v>
      </c>
    </row>
    <row r="908" spans="1:7" x14ac:dyDescent="0.3">
      <c r="A908" s="33">
        <v>43705</v>
      </c>
      <c r="B908" s="34">
        <v>464</v>
      </c>
      <c r="C908" s="34">
        <f t="shared" si="28"/>
        <v>-2.5828684182540775E-3</v>
      </c>
      <c r="E908" s="33">
        <v>43705</v>
      </c>
      <c r="F908" s="34">
        <v>37451.839999999997</v>
      </c>
      <c r="G908" s="34">
        <f t="shared" si="29"/>
        <v>-5.0452139168380697E-3</v>
      </c>
    </row>
    <row r="909" spans="1:7" x14ac:dyDescent="0.3">
      <c r="A909" s="33">
        <v>43706</v>
      </c>
      <c r="B909" s="34">
        <v>464.45</v>
      </c>
      <c r="C909" s="34">
        <f t="shared" si="28"/>
        <v>9.6935760727455465E-4</v>
      </c>
      <c r="E909" s="33">
        <v>43706</v>
      </c>
      <c r="F909" s="34">
        <v>37068.93</v>
      </c>
      <c r="G909" s="34">
        <f t="shared" si="29"/>
        <v>-1.0276688497222243E-2</v>
      </c>
    </row>
    <row r="910" spans="1:7" x14ac:dyDescent="0.3">
      <c r="A910" s="33">
        <v>43707</v>
      </c>
      <c r="B910" s="34">
        <v>472.55</v>
      </c>
      <c r="C910" s="34">
        <f t="shared" si="28"/>
        <v>1.72896516075354E-2</v>
      </c>
      <c r="E910" s="33">
        <v>43707</v>
      </c>
      <c r="F910" s="34">
        <v>37332.79</v>
      </c>
      <c r="G910" s="34">
        <f t="shared" si="29"/>
        <v>7.0928765143567609E-3</v>
      </c>
    </row>
    <row r="911" spans="1:7" x14ac:dyDescent="0.3">
      <c r="A911" s="33">
        <v>43711</v>
      </c>
      <c r="B911" s="34">
        <v>469.35</v>
      </c>
      <c r="C911" s="34">
        <f t="shared" si="28"/>
        <v>-6.7948026580642792E-3</v>
      </c>
      <c r="E911" s="33">
        <v>43711</v>
      </c>
      <c r="F911" s="34">
        <v>36562.910000000003</v>
      </c>
      <c r="G911" s="34">
        <f t="shared" si="29"/>
        <v>-2.0837690345235835E-2</v>
      </c>
    </row>
    <row r="912" spans="1:7" x14ac:dyDescent="0.3">
      <c r="A912" s="33">
        <v>43712</v>
      </c>
      <c r="B912" s="34">
        <v>471.15</v>
      </c>
      <c r="C912" s="34">
        <f t="shared" si="28"/>
        <v>3.827755869764245E-3</v>
      </c>
      <c r="E912" s="33">
        <v>43712</v>
      </c>
      <c r="F912" s="34">
        <v>36724.74</v>
      </c>
      <c r="G912" s="34">
        <f t="shared" si="29"/>
        <v>4.4163037844462258E-3</v>
      </c>
    </row>
    <row r="913" spans="1:7" x14ac:dyDescent="0.3">
      <c r="A913" s="33">
        <v>43713</v>
      </c>
      <c r="B913" s="34">
        <v>478.35</v>
      </c>
      <c r="C913" s="34">
        <f t="shared" si="28"/>
        <v>1.5166167471411189E-2</v>
      </c>
      <c r="E913" s="33">
        <v>43713</v>
      </c>
      <c r="F913" s="34">
        <v>36644.42</v>
      </c>
      <c r="G913" s="34">
        <f t="shared" si="29"/>
        <v>-2.1894766707579107E-3</v>
      </c>
    </row>
    <row r="914" spans="1:7" x14ac:dyDescent="0.3">
      <c r="A914" s="33">
        <v>43714</v>
      </c>
      <c r="B914" s="34">
        <v>475</v>
      </c>
      <c r="C914" s="34">
        <f t="shared" si="28"/>
        <v>-7.0278780895351931E-3</v>
      </c>
      <c r="E914" s="33">
        <v>43714</v>
      </c>
      <c r="F914" s="34">
        <v>36981.769999999997</v>
      </c>
      <c r="G914" s="34">
        <f t="shared" si="29"/>
        <v>9.1639228055569351E-3</v>
      </c>
    </row>
    <row r="915" spans="1:7" x14ac:dyDescent="0.3">
      <c r="A915" s="33">
        <v>43717</v>
      </c>
      <c r="B915" s="34">
        <v>474.9</v>
      </c>
      <c r="C915" s="34">
        <f t="shared" si="28"/>
        <v>-2.1054847956512973E-4</v>
      </c>
      <c r="E915" s="33">
        <v>43717</v>
      </c>
      <c r="F915" s="34">
        <v>37145.449999999997</v>
      </c>
      <c r="G915" s="34">
        <f t="shared" si="29"/>
        <v>4.4161986924170201E-3</v>
      </c>
    </row>
    <row r="916" spans="1:7" x14ac:dyDescent="0.3">
      <c r="A916" s="33">
        <v>43719</v>
      </c>
      <c r="B916" s="34">
        <v>471.45</v>
      </c>
      <c r="C916" s="34">
        <f t="shared" si="28"/>
        <v>-7.291203643389841E-3</v>
      </c>
      <c r="E916" s="33">
        <v>43719</v>
      </c>
      <c r="F916" s="34">
        <v>37270.82</v>
      </c>
      <c r="G916" s="34">
        <f t="shared" si="29"/>
        <v>3.3694276429306206E-3</v>
      </c>
    </row>
    <row r="917" spans="1:7" x14ac:dyDescent="0.3">
      <c r="A917" s="33">
        <v>43720</v>
      </c>
      <c r="B917" s="34">
        <v>468.1</v>
      </c>
      <c r="C917" s="34">
        <f t="shared" si="28"/>
        <v>-7.1311036056612839E-3</v>
      </c>
      <c r="E917" s="33">
        <v>43720</v>
      </c>
      <c r="F917" s="34">
        <v>37104.28</v>
      </c>
      <c r="G917" s="34">
        <f t="shared" si="29"/>
        <v>-4.4783880181188899E-3</v>
      </c>
    </row>
    <row r="918" spans="1:7" x14ac:dyDescent="0.3">
      <c r="A918" s="33">
        <v>43721</v>
      </c>
      <c r="B918" s="34">
        <v>468.65</v>
      </c>
      <c r="C918" s="34">
        <f t="shared" si="28"/>
        <v>1.1742728864698945E-3</v>
      </c>
      <c r="E918" s="33">
        <v>43721</v>
      </c>
      <c r="F918" s="34">
        <v>37384.99</v>
      </c>
      <c r="G918" s="34">
        <f t="shared" si="29"/>
        <v>7.5369601239927446E-3</v>
      </c>
    </row>
    <row r="919" spans="1:7" x14ac:dyDescent="0.3">
      <c r="A919" s="33">
        <v>43724</v>
      </c>
      <c r="B919" s="34">
        <v>470.45</v>
      </c>
      <c r="C919" s="34">
        <f t="shared" si="28"/>
        <v>3.8334622602799497E-3</v>
      </c>
      <c r="E919" s="33">
        <v>43724</v>
      </c>
      <c r="F919" s="34">
        <v>37123.31</v>
      </c>
      <c r="G919" s="34">
        <f t="shared" si="29"/>
        <v>-7.024212763693762E-3</v>
      </c>
    </row>
    <row r="920" spans="1:7" x14ac:dyDescent="0.3">
      <c r="A920" s="33">
        <v>43725</v>
      </c>
      <c r="B920" s="34">
        <v>460.4</v>
      </c>
      <c r="C920" s="34">
        <f t="shared" si="28"/>
        <v>-2.1594006605047129E-2</v>
      </c>
      <c r="E920" s="33">
        <v>43725</v>
      </c>
      <c r="F920" s="34">
        <v>36481.089999999997</v>
      </c>
      <c r="G920" s="34">
        <f t="shared" si="29"/>
        <v>-1.7451030055473746E-2</v>
      </c>
    </row>
    <row r="921" spans="1:7" x14ac:dyDescent="0.3">
      <c r="A921" s="33">
        <v>43726</v>
      </c>
      <c r="B921" s="34">
        <v>458.95</v>
      </c>
      <c r="C921" s="34">
        <f t="shared" si="28"/>
        <v>-3.1544051826275926E-3</v>
      </c>
      <c r="E921" s="33">
        <v>43726</v>
      </c>
      <c r="F921" s="34">
        <v>36563.879999999997</v>
      </c>
      <c r="G921" s="34">
        <f t="shared" si="29"/>
        <v>2.266823723831946E-3</v>
      </c>
    </row>
    <row r="922" spans="1:7" x14ac:dyDescent="0.3">
      <c r="A922" s="33">
        <v>43727</v>
      </c>
      <c r="B922" s="34">
        <v>451.35</v>
      </c>
      <c r="C922" s="34">
        <f t="shared" si="28"/>
        <v>-1.6698179920935963E-2</v>
      </c>
      <c r="E922" s="33">
        <v>43727</v>
      </c>
      <c r="F922" s="34">
        <v>36093.47</v>
      </c>
      <c r="G922" s="34">
        <f t="shared" si="29"/>
        <v>-1.2948905319227768E-2</v>
      </c>
    </row>
    <row r="923" spans="1:7" x14ac:dyDescent="0.3">
      <c r="A923" s="33">
        <v>43728</v>
      </c>
      <c r="B923" s="34">
        <v>463.4</v>
      </c>
      <c r="C923" s="34">
        <f t="shared" si="28"/>
        <v>2.6347520254111852E-2</v>
      </c>
      <c r="E923" s="33">
        <v>43728</v>
      </c>
      <c r="F923" s="34">
        <v>38014.620000000003</v>
      </c>
      <c r="G923" s="34">
        <f t="shared" si="29"/>
        <v>5.1858860025930348E-2</v>
      </c>
    </row>
    <row r="924" spans="1:7" x14ac:dyDescent="0.3">
      <c r="A924" s="33">
        <v>43731</v>
      </c>
      <c r="B924" s="34">
        <v>448.9</v>
      </c>
      <c r="C924" s="34">
        <f t="shared" si="28"/>
        <v>-3.1790466210389348E-2</v>
      </c>
      <c r="E924" s="33">
        <v>43731</v>
      </c>
      <c r="F924" s="34">
        <v>39090.03</v>
      </c>
      <c r="G924" s="34">
        <f t="shared" si="29"/>
        <v>2.7896624688027213E-2</v>
      </c>
    </row>
    <row r="925" spans="1:7" x14ac:dyDescent="0.3">
      <c r="A925" s="33">
        <v>43732</v>
      </c>
      <c r="B925" s="34">
        <v>449.8</v>
      </c>
      <c r="C925" s="34">
        <f t="shared" si="28"/>
        <v>2.0028937373288459E-3</v>
      </c>
      <c r="E925" s="33">
        <v>43732</v>
      </c>
      <c r="F925" s="34">
        <v>39097.14</v>
      </c>
      <c r="G925" s="34">
        <f t="shared" si="29"/>
        <v>1.8187127170872416E-4</v>
      </c>
    </row>
    <row r="926" spans="1:7" x14ac:dyDescent="0.3">
      <c r="A926" s="33">
        <v>43733</v>
      </c>
      <c r="B926" s="34">
        <v>434.45</v>
      </c>
      <c r="C926" s="34">
        <f t="shared" si="28"/>
        <v>-3.4722176240000416E-2</v>
      </c>
      <c r="E926" s="33">
        <v>43733</v>
      </c>
      <c r="F926" s="34">
        <v>38593.519999999997</v>
      </c>
      <c r="G926" s="34">
        <f t="shared" si="29"/>
        <v>-1.2964931805562926E-2</v>
      </c>
    </row>
    <row r="927" spans="1:7" x14ac:dyDescent="0.3">
      <c r="A927" s="33">
        <v>43734</v>
      </c>
      <c r="B927" s="34">
        <v>438.95</v>
      </c>
      <c r="C927" s="34">
        <f t="shared" si="28"/>
        <v>1.0304648087002755E-2</v>
      </c>
      <c r="E927" s="33">
        <v>43734</v>
      </c>
      <c r="F927" s="34">
        <v>38989.74</v>
      </c>
      <c r="G927" s="34">
        <f t="shared" si="29"/>
        <v>1.0214147865342483E-2</v>
      </c>
    </row>
    <row r="928" spans="1:7" x14ac:dyDescent="0.3">
      <c r="A928" s="33">
        <v>43735</v>
      </c>
      <c r="B928" s="34">
        <v>439.45</v>
      </c>
      <c r="C928" s="34">
        <f t="shared" si="28"/>
        <v>1.1384336384364286E-3</v>
      </c>
      <c r="E928" s="33">
        <v>43735</v>
      </c>
      <c r="F928" s="34">
        <v>38822.57</v>
      </c>
      <c r="G928" s="34">
        <f t="shared" si="29"/>
        <v>-4.2967560580718205E-3</v>
      </c>
    </row>
    <row r="929" spans="1:7" x14ac:dyDescent="0.3">
      <c r="A929" s="33">
        <v>43738</v>
      </c>
      <c r="B929" s="34">
        <v>425.05</v>
      </c>
      <c r="C929" s="34">
        <f t="shared" si="28"/>
        <v>-3.3317135947286254E-2</v>
      </c>
      <c r="E929" s="33">
        <v>43738</v>
      </c>
      <c r="F929" s="34">
        <v>38667.33</v>
      </c>
      <c r="G929" s="34">
        <f t="shared" si="29"/>
        <v>-4.0067210741730405E-3</v>
      </c>
    </row>
    <row r="930" spans="1:7" x14ac:dyDescent="0.3">
      <c r="A930" s="33">
        <v>43739</v>
      </c>
      <c r="B930" s="34">
        <v>412.45</v>
      </c>
      <c r="C930" s="34">
        <f t="shared" si="28"/>
        <v>-3.009182275662722E-2</v>
      </c>
      <c r="E930" s="33">
        <v>43739</v>
      </c>
      <c r="F930" s="34">
        <v>38305.410000000003</v>
      </c>
      <c r="G930" s="34">
        <f t="shared" si="29"/>
        <v>-9.4039179885154773E-3</v>
      </c>
    </row>
    <row r="931" spans="1:7" x14ac:dyDescent="0.3">
      <c r="A931" s="33">
        <v>43741</v>
      </c>
      <c r="B931" s="34">
        <v>418.1</v>
      </c>
      <c r="C931" s="34">
        <f t="shared" si="28"/>
        <v>1.3605652055778678E-2</v>
      </c>
      <c r="E931" s="33">
        <v>43741</v>
      </c>
      <c r="F931" s="34">
        <v>38106.870000000003</v>
      </c>
      <c r="G931" s="34">
        <f t="shared" si="29"/>
        <v>-5.1965586365083785E-3</v>
      </c>
    </row>
    <row r="932" spans="1:7" x14ac:dyDescent="0.3">
      <c r="A932" s="33">
        <v>43742</v>
      </c>
      <c r="B932" s="34">
        <v>418.35</v>
      </c>
      <c r="C932" s="34">
        <f t="shared" si="28"/>
        <v>5.977643790883141E-4</v>
      </c>
      <c r="E932" s="33">
        <v>43742</v>
      </c>
      <c r="F932" s="34">
        <v>37673.31</v>
      </c>
      <c r="G932" s="34">
        <f t="shared" si="29"/>
        <v>-1.1442694664506365E-2</v>
      </c>
    </row>
    <row r="933" spans="1:7" x14ac:dyDescent="0.3">
      <c r="A933" s="33">
        <v>43745</v>
      </c>
      <c r="B933" s="34">
        <v>408.55</v>
      </c>
      <c r="C933" s="34">
        <f t="shared" si="28"/>
        <v>-2.3704096910891211E-2</v>
      </c>
      <c r="E933" s="33">
        <v>43745</v>
      </c>
      <c r="F933" s="34">
        <v>37531.980000000003</v>
      </c>
      <c r="G933" s="34">
        <f t="shared" si="29"/>
        <v>-3.7585166249392257E-3</v>
      </c>
    </row>
    <row r="934" spans="1:7" x14ac:dyDescent="0.3">
      <c r="A934" s="33">
        <v>43747</v>
      </c>
      <c r="B934" s="34">
        <v>423.5</v>
      </c>
      <c r="C934" s="34">
        <f t="shared" si="28"/>
        <v>3.5939208261392505E-2</v>
      </c>
      <c r="E934" s="33">
        <v>43747</v>
      </c>
      <c r="F934" s="34">
        <v>38177.949999999997</v>
      </c>
      <c r="G934" s="34">
        <f t="shared" si="29"/>
        <v>1.7064754274026234E-2</v>
      </c>
    </row>
    <row r="935" spans="1:7" x14ac:dyDescent="0.3">
      <c r="A935" s="33">
        <v>43748</v>
      </c>
      <c r="B935" s="34">
        <v>422.25</v>
      </c>
      <c r="C935" s="34">
        <f t="shared" si="28"/>
        <v>-2.9559584041996354E-3</v>
      </c>
      <c r="E935" s="33">
        <v>43748</v>
      </c>
      <c r="F935" s="34">
        <v>37880.400000000001</v>
      </c>
      <c r="G935" s="34">
        <f t="shared" si="29"/>
        <v>-7.8242958988619191E-3</v>
      </c>
    </row>
    <row r="936" spans="1:7" x14ac:dyDescent="0.3">
      <c r="A936" s="33">
        <v>43749</v>
      </c>
      <c r="B936" s="34">
        <v>441.55</v>
      </c>
      <c r="C936" s="34">
        <f t="shared" si="28"/>
        <v>4.4693708226901857E-2</v>
      </c>
      <c r="E936" s="33">
        <v>43749</v>
      </c>
      <c r="F936" s="34">
        <v>38127.08</v>
      </c>
      <c r="G936" s="34">
        <f t="shared" si="29"/>
        <v>6.4909628922097959E-3</v>
      </c>
    </row>
    <row r="937" spans="1:7" x14ac:dyDescent="0.3">
      <c r="A937" s="33">
        <v>43752</v>
      </c>
      <c r="B937" s="34">
        <v>440.85</v>
      </c>
      <c r="C937" s="34">
        <f t="shared" si="28"/>
        <v>-1.5865823817751681E-3</v>
      </c>
      <c r="E937" s="33">
        <v>43752</v>
      </c>
      <c r="F937" s="34">
        <v>38214.47</v>
      </c>
      <c r="G937" s="34">
        <f t="shared" si="29"/>
        <v>2.2894488826012893E-3</v>
      </c>
    </row>
    <row r="938" spans="1:7" x14ac:dyDescent="0.3">
      <c r="A938" s="33">
        <v>43753</v>
      </c>
      <c r="B938" s="34">
        <v>446.85</v>
      </c>
      <c r="C938" s="34">
        <f t="shared" si="28"/>
        <v>1.3518286294364875E-2</v>
      </c>
      <c r="E938" s="33">
        <v>43753</v>
      </c>
      <c r="F938" s="34">
        <v>38506.089999999997</v>
      </c>
      <c r="G938" s="34">
        <f t="shared" si="29"/>
        <v>7.6021709034689439E-3</v>
      </c>
    </row>
    <row r="939" spans="1:7" x14ac:dyDescent="0.3">
      <c r="A939" s="33">
        <v>43754</v>
      </c>
      <c r="B939" s="34">
        <v>446.55</v>
      </c>
      <c r="C939" s="34">
        <f t="shared" si="28"/>
        <v>-6.7159169750591818E-4</v>
      </c>
      <c r="E939" s="33">
        <v>43754</v>
      </c>
      <c r="F939" s="34">
        <v>38598.99</v>
      </c>
      <c r="G939" s="34">
        <f t="shared" si="29"/>
        <v>2.409699722849986E-3</v>
      </c>
    </row>
    <row r="940" spans="1:7" x14ac:dyDescent="0.3">
      <c r="A940" s="33">
        <v>43755</v>
      </c>
      <c r="B940" s="34">
        <v>446.3</v>
      </c>
      <c r="C940" s="34">
        <f t="shared" si="28"/>
        <v>-5.6000449467090007E-4</v>
      </c>
      <c r="E940" s="33">
        <v>43755</v>
      </c>
      <c r="F940" s="34">
        <v>39052.06</v>
      </c>
      <c r="G940" s="34">
        <f t="shared" si="29"/>
        <v>1.1669517449886818E-2</v>
      </c>
    </row>
    <row r="941" spans="1:7" x14ac:dyDescent="0.3">
      <c r="A941" s="33">
        <v>43756</v>
      </c>
      <c r="B941" s="34">
        <v>443.8</v>
      </c>
      <c r="C941" s="34">
        <f t="shared" si="28"/>
        <v>-5.6173611367306324E-3</v>
      </c>
      <c r="E941" s="33">
        <v>43756</v>
      </c>
      <c r="F941" s="34">
        <v>39298.379999999997</v>
      </c>
      <c r="G941" s="34">
        <f t="shared" si="29"/>
        <v>6.2876688763129308E-3</v>
      </c>
    </row>
    <row r="942" spans="1:7" x14ac:dyDescent="0.3">
      <c r="A942" s="33">
        <v>43760</v>
      </c>
      <c r="B942" s="34">
        <v>453.75</v>
      </c>
      <c r="C942" s="34">
        <f t="shared" si="28"/>
        <v>2.2172375080566884E-2</v>
      </c>
      <c r="E942" s="33">
        <v>43760</v>
      </c>
      <c r="F942" s="34">
        <v>38963.839999999997</v>
      </c>
      <c r="G942" s="34">
        <f t="shared" si="29"/>
        <v>-8.5492601058511641E-3</v>
      </c>
    </row>
    <row r="943" spans="1:7" x14ac:dyDescent="0.3">
      <c r="A943" s="33">
        <v>43761</v>
      </c>
      <c r="B943" s="34">
        <v>454.95</v>
      </c>
      <c r="C943" s="34">
        <f t="shared" si="28"/>
        <v>2.6411372236391458E-3</v>
      </c>
      <c r="E943" s="33">
        <v>43761</v>
      </c>
      <c r="F943" s="34">
        <v>39058.83</v>
      </c>
      <c r="G943" s="34">
        <f t="shared" si="29"/>
        <v>2.4349345371604985E-3</v>
      </c>
    </row>
    <row r="944" spans="1:7" x14ac:dyDescent="0.3">
      <c r="A944" s="33">
        <v>43762</v>
      </c>
      <c r="B944" s="34">
        <v>446.8</v>
      </c>
      <c r="C944" s="34">
        <f t="shared" si="28"/>
        <v>-1.8076455607654123E-2</v>
      </c>
      <c r="E944" s="33">
        <v>43762</v>
      </c>
      <c r="F944" s="34">
        <v>39020.39</v>
      </c>
      <c r="G944" s="34">
        <f t="shared" si="29"/>
        <v>-9.8464106341466227E-4</v>
      </c>
    </row>
    <row r="945" spans="1:7" x14ac:dyDescent="0.3">
      <c r="A945" s="33">
        <v>43763</v>
      </c>
      <c r="B945" s="34">
        <v>459.7</v>
      </c>
      <c r="C945" s="34">
        <f t="shared" si="28"/>
        <v>2.8463035617136673E-2</v>
      </c>
      <c r="E945" s="33">
        <v>43763</v>
      </c>
      <c r="F945" s="34">
        <v>39058.06</v>
      </c>
      <c r="G945" s="34">
        <f t="shared" si="29"/>
        <v>9.6492701693808264E-4</v>
      </c>
    </row>
    <row r="946" spans="1:7" x14ac:dyDescent="0.3">
      <c r="A946" s="33">
        <v>43765</v>
      </c>
      <c r="B946" s="34">
        <v>461.3</v>
      </c>
      <c r="C946" s="34">
        <f t="shared" si="28"/>
        <v>3.4744877515926727E-3</v>
      </c>
      <c r="E946" s="33">
        <v>43765</v>
      </c>
      <c r="F946" s="34">
        <v>39250.199999999997</v>
      </c>
      <c r="G946" s="34">
        <f t="shared" si="29"/>
        <v>4.9072827204582449E-3</v>
      </c>
    </row>
    <row r="947" spans="1:7" x14ac:dyDescent="0.3">
      <c r="A947" s="33">
        <v>43767</v>
      </c>
      <c r="B947" s="34">
        <v>473.25</v>
      </c>
      <c r="C947" s="34">
        <f t="shared" si="28"/>
        <v>2.5575199525657406E-2</v>
      </c>
      <c r="E947" s="33">
        <v>43767</v>
      </c>
      <c r="F947" s="34">
        <v>39831.839999999997</v>
      </c>
      <c r="G947" s="34">
        <f t="shared" si="29"/>
        <v>1.471005270411979E-2</v>
      </c>
    </row>
    <row r="948" spans="1:7" x14ac:dyDescent="0.3">
      <c r="A948" s="33">
        <v>43768</v>
      </c>
      <c r="B948" s="34">
        <v>464.2</v>
      </c>
      <c r="C948" s="34">
        <f t="shared" si="28"/>
        <v>-1.930829624909557E-2</v>
      </c>
      <c r="E948" s="33">
        <v>43768</v>
      </c>
      <c r="F948" s="34">
        <v>40051.870000000003</v>
      </c>
      <c r="G948" s="34">
        <f t="shared" si="29"/>
        <v>5.5087715988472417E-3</v>
      </c>
    </row>
    <row r="949" spans="1:7" x14ac:dyDescent="0.3">
      <c r="A949" s="33">
        <v>43769</v>
      </c>
      <c r="B949" s="34">
        <v>467.15</v>
      </c>
      <c r="C949" s="34">
        <f t="shared" si="28"/>
        <v>6.3349113986279461E-3</v>
      </c>
      <c r="E949" s="33">
        <v>43769</v>
      </c>
      <c r="F949" s="34">
        <v>40129.050000000003</v>
      </c>
      <c r="G949" s="34">
        <f t="shared" si="29"/>
        <v>1.9251468762639065E-3</v>
      </c>
    </row>
    <row r="950" spans="1:7" x14ac:dyDescent="0.3">
      <c r="A950" s="33">
        <v>43770</v>
      </c>
      <c r="B950" s="34">
        <v>469.05</v>
      </c>
      <c r="C950" s="34">
        <f t="shared" si="28"/>
        <v>4.0589673329953372E-3</v>
      </c>
      <c r="E950" s="33">
        <v>43770</v>
      </c>
      <c r="F950" s="34">
        <v>40165.03</v>
      </c>
      <c r="G950" s="34">
        <f t="shared" si="29"/>
        <v>8.9620560838891343E-4</v>
      </c>
    </row>
    <row r="951" spans="1:7" x14ac:dyDescent="0.3">
      <c r="A951" s="33">
        <v>43773</v>
      </c>
      <c r="B951" s="34">
        <v>467.85</v>
      </c>
      <c r="C951" s="34">
        <f t="shared" si="28"/>
        <v>-2.5616408500380053E-3</v>
      </c>
      <c r="E951" s="33">
        <v>43773</v>
      </c>
      <c r="F951" s="34">
        <v>40301.96</v>
      </c>
      <c r="G951" s="34">
        <f t="shared" si="29"/>
        <v>3.4033864612583709E-3</v>
      </c>
    </row>
    <row r="952" spans="1:7" x14ac:dyDescent="0.3">
      <c r="A952" s="33">
        <v>43774</v>
      </c>
      <c r="B952" s="34">
        <v>467.6</v>
      </c>
      <c r="C952" s="34">
        <f t="shared" si="28"/>
        <v>-5.3450212400859513E-4</v>
      </c>
      <c r="E952" s="33">
        <v>43774</v>
      </c>
      <c r="F952" s="34">
        <v>40248.230000000003</v>
      </c>
      <c r="G952" s="34">
        <f t="shared" si="29"/>
        <v>-1.3340752633570411E-3</v>
      </c>
    </row>
    <row r="953" spans="1:7" x14ac:dyDescent="0.3">
      <c r="A953" s="33">
        <v>43775</v>
      </c>
      <c r="B953" s="34">
        <v>480.5</v>
      </c>
      <c r="C953" s="34">
        <f t="shared" si="28"/>
        <v>2.7213998812433887E-2</v>
      </c>
      <c r="E953" s="33">
        <v>43775</v>
      </c>
      <c r="F953" s="34">
        <v>40469.78</v>
      </c>
      <c r="G953" s="34">
        <f t="shared" si="29"/>
        <v>5.4894950051157772E-3</v>
      </c>
    </row>
    <row r="954" spans="1:7" x14ac:dyDescent="0.3">
      <c r="A954" s="33">
        <v>43776</v>
      </c>
      <c r="B954" s="34">
        <v>471.7</v>
      </c>
      <c r="C954" s="34">
        <f t="shared" si="28"/>
        <v>-1.8484038120131198E-2</v>
      </c>
      <c r="E954" s="33">
        <v>43776</v>
      </c>
      <c r="F954" s="34">
        <v>40653.74</v>
      </c>
      <c r="G954" s="34">
        <f t="shared" si="29"/>
        <v>4.5353139342024281E-3</v>
      </c>
    </row>
    <row r="955" spans="1:7" x14ac:dyDescent="0.3">
      <c r="A955" s="33">
        <v>43777</v>
      </c>
      <c r="B955" s="34">
        <v>462.9</v>
      </c>
      <c r="C955" s="34">
        <f t="shared" si="28"/>
        <v>-1.8832142252991214E-2</v>
      </c>
      <c r="E955" s="33">
        <v>43777</v>
      </c>
      <c r="F955" s="34">
        <v>40323.61</v>
      </c>
      <c r="G955" s="34">
        <f t="shared" si="29"/>
        <v>-8.1536831963089865E-3</v>
      </c>
    </row>
    <row r="956" spans="1:7" x14ac:dyDescent="0.3">
      <c r="A956" s="33">
        <v>43780</v>
      </c>
      <c r="B956" s="34">
        <v>454.5</v>
      </c>
      <c r="C956" s="34">
        <f t="shared" si="28"/>
        <v>-1.8313134419691283E-2</v>
      </c>
      <c r="E956" s="33">
        <v>43780</v>
      </c>
      <c r="F956" s="34">
        <v>40345.08</v>
      </c>
      <c r="G956" s="34">
        <f t="shared" si="29"/>
        <v>5.3230071064614521E-4</v>
      </c>
    </row>
    <row r="957" spans="1:7" x14ac:dyDescent="0.3">
      <c r="A957" s="33">
        <v>43782</v>
      </c>
      <c r="B957" s="34">
        <v>448.25</v>
      </c>
      <c r="C957" s="34">
        <f t="shared" si="28"/>
        <v>-1.3846801132291302E-2</v>
      </c>
      <c r="E957" s="33">
        <v>43782</v>
      </c>
      <c r="F957" s="34">
        <v>40116.06</v>
      </c>
      <c r="G957" s="34">
        <f t="shared" si="29"/>
        <v>-5.6927013085911072E-3</v>
      </c>
    </row>
    <row r="958" spans="1:7" x14ac:dyDescent="0.3">
      <c r="A958" s="33">
        <v>43783</v>
      </c>
      <c r="B958" s="34">
        <v>451.5</v>
      </c>
      <c r="C958" s="34">
        <f t="shared" si="28"/>
        <v>7.2242603717978101E-3</v>
      </c>
      <c r="E958" s="33">
        <v>43783</v>
      </c>
      <c r="F958" s="34">
        <v>40286.480000000003</v>
      </c>
      <c r="G958" s="34">
        <f t="shared" si="29"/>
        <v>4.2391759069446405E-3</v>
      </c>
    </row>
    <row r="959" spans="1:7" x14ac:dyDescent="0.3">
      <c r="A959" s="33">
        <v>43784</v>
      </c>
      <c r="B959" s="34">
        <v>463.1</v>
      </c>
      <c r="C959" s="34">
        <f t="shared" si="28"/>
        <v>2.5367640629666142E-2</v>
      </c>
      <c r="E959" s="33">
        <v>43784</v>
      </c>
      <c r="F959" s="34">
        <v>40356.69</v>
      </c>
      <c r="G959" s="34">
        <f t="shared" si="29"/>
        <v>1.7412514349193233E-3</v>
      </c>
    </row>
    <row r="960" spans="1:7" x14ac:dyDescent="0.3">
      <c r="A960" s="33">
        <v>43787</v>
      </c>
      <c r="B960" s="34">
        <v>459.75</v>
      </c>
      <c r="C960" s="34">
        <f t="shared" si="28"/>
        <v>-7.26015000227584E-3</v>
      </c>
      <c r="E960" s="33">
        <v>43787</v>
      </c>
      <c r="F960" s="34">
        <v>40284.19</v>
      </c>
      <c r="G960" s="34">
        <f t="shared" si="29"/>
        <v>-1.7980959417507924E-3</v>
      </c>
    </row>
    <row r="961" spans="1:7" x14ac:dyDescent="0.3">
      <c r="A961" s="33">
        <v>43788</v>
      </c>
      <c r="B961" s="34">
        <v>471.75</v>
      </c>
      <c r="C961" s="34">
        <f t="shared" si="28"/>
        <v>2.5766320764229179E-2</v>
      </c>
      <c r="E961" s="33">
        <v>43788</v>
      </c>
      <c r="F961" s="34">
        <v>40469.699999999997</v>
      </c>
      <c r="G961" s="34">
        <f t="shared" si="29"/>
        <v>4.5944616743202301E-3</v>
      </c>
    </row>
    <row r="962" spans="1:7" x14ac:dyDescent="0.3">
      <c r="A962" s="33">
        <v>43789</v>
      </c>
      <c r="B962" s="34">
        <v>482.65</v>
      </c>
      <c r="C962" s="34">
        <f t="shared" si="28"/>
        <v>2.2842569045964486E-2</v>
      </c>
      <c r="E962" s="33">
        <v>43789</v>
      </c>
      <c r="F962" s="34">
        <v>40651.64</v>
      </c>
      <c r="G962" s="34">
        <f t="shared" si="29"/>
        <v>4.4856336215948651E-3</v>
      </c>
    </row>
    <row r="963" spans="1:7" x14ac:dyDescent="0.3">
      <c r="A963" s="33">
        <v>43790</v>
      </c>
      <c r="B963" s="34">
        <v>485.5</v>
      </c>
      <c r="C963" s="34">
        <f t="shared" si="28"/>
        <v>5.8875344367555205E-3</v>
      </c>
      <c r="E963" s="33">
        <v>43790</v>
      </c>
      <c r="F963" s="34">
        <v>40575.17</v>
      </c>
      <c r="G963" s="34">
        <f t="shared" si="29"/>
        <v>-1.8828764195451635E-3</v>
      </c>
    </row>
    <row r="964" spans="1:7" x14ac:dyDescent="0.3">
      <c r="A964" s="33">
        <v>43791</v>
      </c>
      <c r="B964" s="34">
        <v>478.55</v>
      </c>
      <c r="C964" s="34">
        <f t="shared" si="28"/>
        <v>-1.441858908946411E-2</v>
      </c>
      <c r="E964" s="33">
        <v>43791</v>
      </c>
      <c r="F964" s="34">
        <v>40359.410000000003</v>
      </c>
      <c r="G964" s="34">
        <f t="shared" si="29"/>
        <v>-5.331726219440132E-3</v>
      </c>
    </row>
    <row r="965" spans="1:7" x14ac:dyDescent="0.3">
      <c r="A965" s="33">
        <v>43794</v>
      </c>
      <c r="B965" s="34">
        <v>483.35</v>
      </c>
      <c r="C965" s="34">
        <f t="shared" si="28"/>
        <v>9.9803302686989701E-3</v>
      </c>
      <c r="E965" s="33">
        <v>43794</v>
      </c>
      <c r="F965" s="34">
        <v>40889.230000000003</v>
      </c>
      <c r="G965" s="34">
        <f t="shared" si="29"/>
        <v>1.3042126244753665E-2</v>
      </c>
    </row>
    <row r="966" spans="1:7" x14ac:dyDescent="0.3">
      <c r="A966" s="33">
        <v>43795</v>
      </c>
      <c r="B966" s="34">
        <v>478.3</v>
      </c>
      <c r="C966" s="34">
        <f t="shared" si="28"/>
        <v>-1.0502878224363224E-2</v>
      </c>
      <c r="E966" s="33">
        <v>43795</v>
      </c>
      <c r="F966" s="34">
        <v>40821.300000000003</v>
      </c>
      <c r="G966" s="34">
        <f t="shared" si="29"/>
        <v>-1.6626991808708247E-3</v>
      </c>
    </row>
    <row r="967" spans="1:7" x14ac:dyDescent="0.3">
      <c r="A967" s="33">
        <v>43796</v>
      </c>
      <c r="B967" s="34">
        <v>467.75</v>
      </c>
      <c r="C967" s="34">
        <f t="shared" ref="C967:C1030" si="30">LN(B967/B966)</f>
        <v>-2.2304185532052229E-2</v>
      </c>
      <c r="E967" s="33">
        <v>43796</v>
      </c>
      <c r="F967" s="34">
        <v>41020.61</v>
      </c>
      <c r="G967" s="34">
        <f t="shared" ref="G967:G1030" si="31">LN(F967/F966)</f>
        <v>4.8706193200520461E-3</v>
      </c>
    </row>
    <row r="968" spans="1:7" x14ac:dyDescent="0.3">
      <c r="A968" s="33">
        <v>43797</v>
      </c>
      <c r="B968" s="34">
        <v>468.15</v>
      </c>
      <c r="C968" s="34">
        <f t="shared" si="30"/>
        <v>8.5479223069913075E-4</v>
      </c>
      <c r="E968" s="33">
        <v>43797</v>
      </c>
      <c r="F968" s="34">
        <v>41130.17</v>
      </c>
      <c r="G968" s="34">
        <f t="shared" si="31"/>
        <v>2.6672921414719981E-3</v>
      </c>
    </row>
    <row r="969" spans="1:7" x14ac:dyDescent="0.3">
      <c r="A969" s="33">
        <v>43798</v>
      </c>
      <c r="B969" s="34">
        <v>466.6</v>
      </c>
      <c r="C969" s="34">
        <f t="shared" si="30"/>
        <v>-3.3163977975684492E-3</v>
      </c>
      <c r="E969" s="33">
        <v>43798</v>
      </c>
      <c r="F969" s="34">
        <v>40793.81</v>
      </c>
      <c r="G969" s="34">
        <f t="shared" si="31"/>
        <v>-8.2115612560190454E-3</v>
      </c>
    </row>
    <row r="970" spans="1:7" x14ac:dyDescent="0.3">
      <c r="A970" s="33">
        <v>43801</v>
      </c>
      <c r="B970" s="34">
        <v>464.35</v>
      </c>
      <c r="C970" s="34">
        <f t="shared" si="30"/>
        <v>-4.8337813653122489E-3</v>
      </c>
      <c r="E970" s="33">
        <v>43801</v>
      </c>
      <c r="F970" s="34">
        <v>40802.17</v>
      </c>
      <c r="G970" s="34">
        <f t="shared" si="31"/>
        <v>2.0491205643352064E-4</v>
      </c>
    </row>
    <row r="971" spans="1:7" x14ac:dyDescent="0.3">
      <c r="A971" s="33">
        <v>43802</v>
      </c>
      <c r="B971" s="34">
        <v>464.7</v>
      </c>
      <c r="C971" s="34">
        <f t="shared" si="30"/>
        <v>7.5345786891513279E-4</v>
      </c>
      <c r="E971" s="33">
        <v>43802</v>
      </c>
      <c r="F971" s="34">
        <v>40675.449999999997</v>
      </c>
      <c r="G971" s="34">
        <f t="shared" si="31"/>
        <v>-3.1105499196830743E-3</v>
      </c>
    </row>
    <row r="972" spans="1:7" x14ac:dyDescent="0.3">
      <c r="A972" s="33">
        <v>43803</v>
      </c>
      <c r="B972" s="34">
        <v>469.9</v>
      </c>
      <c r="C972" s="34">
        <f t="shared" si="30"/>
        <v>1.1127870017837407E-2</v>
      </c>
      <c r="E972" s="33">
        <v>43803</v>
      </c>
      <c r="F972" s="34">
        <v>40850.29</v>
      </c>
      <c r="G972" s="34">
        <f t="shared" si="31"/>
        <v>4.2892040734169596E-3</v>
      </c>
    </row>
    <row r="973" spans="1:7" x14ac:dyDescent="0.3">
      <c r="A973" s="33">
        <v>43804</v>
      </c>
      <c r="B973" s="34">
        <v>462</v>
      </c>
      <c r="C973" s="34">
        <f t="shared" si="30"/>
        <v>-1.6955015027031166E-2</v>
      </c>
      <c r="E973" s="33">
        <v>43804</v>
      </c>
      <c r="F973" s="34">
        <v>40779.589999999997</v>
      </c>
      <c r="G973" s="34">
        <f t="shared" si="31"/>
        <v>-1.7322092762659281E-3</v>
      </c>
    </row>
    <row r="974" spans="1:7" x14ac:dyDescent="0.3">
      <c r="A974" s="33">
        <v>43805</v>
      </c>
      <c r="B974" s="34">
        <v>455.6</v>
      </c>
      <c r="C974" s="34">
        <f t="shared" si="30"/>
        <v>-1.3949659508711704E-2</v>
      </c>
      <c r="E974" s="33">
        <v>43805</v>
      </c>
      <c r="F974" s="34">
        <v>40445.15</v>
      </c>
      <c r="G974" s="34">
        <f t="shared" si="31"/>
        <v>-8.2349759444508546E-3</v>
      </c>
    </row>
    <row r="975" spans="1:7" x14ac:dyDescent="0.3">
      <c r="A975" s="33">
        <v>43808</v>
      </c>
      <c r="B975" s="34">
        <v>447.75</v>
      </c>
      <c r="C975" s="34">
        <f t="shared" si="30"/>
        <v>-1.7380190632205961E-2</v>
      </c>
      <c r="E975" s="33">
        <v>43808</v>
      </c>
      <c r="F975" s="34">
        <v>40487.43</v>
      </c>
      <c r="G975" s="34">
        <f t="shared" si="31"/>
        <v>1.0448203639682946E-3</v>
      </c>
    </row>
    <row r="976" spans="1:7" x14ac:dyDescent="0.3">
      <c r="A976" s="33">
        <v>43809</v>
      </c>
      <c r="B976" s="34">
        <v>453</v>
      </c>
      <c r="C976" s="34">
        <f t="shared" si="30"/>
        <v>1.1657084542212948E-2</v>
      </c>
      <c r="E976" s="33">
        <v>43809</v>
      </c>
      <c r="F976" s="34">
        <v>40239.879999999997</v>
      </c>
      <c r="G976" s="34">
        <f t="shared" si="31"/>
        <v>-6.1330118875900222E-3</v>
      </c>
    </row>
    <row r="977" spans="1:7" x14ac:dyDescent="0.3">
      <c r="A977" s="33">
        <v>43810</v>
      </c>
      <c r="B977" s="34">
        <v>449.7</v>
      </c>
      <c r="C977" s="34">
        <f t="shared" si="30"/>
        <v>-7.3114317063723688E-3</v>
      </c>
      <c r="E977" s="33">
        <v>43810</v>
      </c>
      <c r="F977" s="34">
        <v>40412.57</v>
      </c>
      <c r="G977" s="34">
        <f t="shared" si="31"/>
        <v>4.2823315077037388E-3</v>
      </c>
    </row>
    <row r="978" spans="1:7" x14ac:dyDescent="0.3">
      <c r="A978" s="33">
        <v>43811</v>
      </c>
      <c r="B978" s="34">
        <v>460.6</v>
      </c>
      <c r="C978" s="34">
        <f t="shared" si="30"/>
        <v>2.3949293609923164E-2</v>
      </c>
      <c r="E978" s="33">
        <v>43811</v>
      </c>
      <c r="F978" s="34">
        <v>40581.71</v>
      </c>
      <c r="G978" s="34">
        <f t="shared" si="31"/>
        <v>4.1765973071830158E-3</v>
      </c>
    </row>
    <row r="979" spans="1:7" x14ac:dyDescent="0.3">
      <c r="A979" s="33">
        <v>43812</v>
      </c>
      <c r="B979" s="34">
        <v>461.35</v>
      </c>
      <c r="C979" s="34">
        <f t="shared" si="30"/>
        <v>1.6269866379799338E-3</v>
      </c>
      <c r="E979" s="33">
        <v>43812</v>
      </c>
      <c r="F979" s="34">
        <v>41009.71</v>
      </c>
      <c r="G979" s="34">
        <f t="shared" si="31"/>
        <v>1.0491395438408073E-2</v>
      </c>
    </row>
    <row r="980" spans="1:7" x14ac:dyDescent="0.3">
      <c r="A980" s="33">
        <v>43815</v>
      </c>
      <c r="B980" s="34">
        <v>458.6</v>
      </c>
      <c r="C980" s="34">
        <f t="shared" si="30"/>
        <v>-5.9786036007607925E-3</v>
      </c>
      <c r="E980" s="33">
        <v>43815</v>
      </c>
      <c r="F980" s="34">
        <v>40938.720000000001</v>
      </c>
      <c r="G980" s="34">
        <f t="shared" si="31"/>
        <v>-1.7325534548447135E-3</v>
      </c>
    </row>
    <row r="981" spans="1:7" x14ac:dyDescent="0.3">
      <c r="A981" s="33">
        <v>43816</v>
      </c>
      <c r="B981" s="34">
        <v>463.85</v>
      </c>
      <c r="C981" s="34">
        <f t="shared" si="30"/>
        <v>1.1382853675476519E-2</v>
      </c>
      <c r="E981" s="33">
        <v>43816</v>
      </c>
      <c r="F981" s="34">
        <v>41352.17</v>
      </c>
      <c r="G981" s="34">
        <f t="shared" si="31"/>
        <v>1.0048584453780249E-2</v>
      </c>
    </row>
    <row r="982" spans="1:7" x14ac:dyDescent="0.3">
      <c r="A982" s="33">
        <v>43817</v>
      </c>
      <c r="B982" s="34">
        <v>467.75</v>
      </c>
      <c r="C982" s="34">
        <f t="shared" si="30"/>
        <v>8.372741054918453E-3</v>
      </c>
      <c r="E982" s="33">
        <v>43817</v>
      </c>
      <c r="F982" s="34">
        <v>41558.57</v>
      </c>
      <c r="G982" s="34">
        <f t="shared" si="31"/>
        <v>4.978858622446145E-3</v>
      </c>
    </row>
    <row r="983" spans="1:7" x14ac:dyDescent="0.3">
      <c r="A983" s="33">
        <v>43818</v>
      </c>
      <c r="B983" s="34">
        <v>467.65</v>
      </c>
      <c r="C983" s="34">
        <f t="shared" si="30"/>
        <v>-2.1381227363906358E-4</v>
      </c>
      <c r="E983" s="33">
        <v>43818</v>
      </c>
      <c r="F983" s="34">
        <v>41673.919999999998</v>
      </c>
      <c r="G983" s="34">
        <f t="shared" si="31"/>
        <v>2.7717559296683908E-3</v>
      </c>
    </row>
    <row r="984" spans="1:7" x14ac:dyDescent="0.3">
      <c r="A984" s="33">
        <v>43819</v>
      </c>
      <c r="B984" s="34">
        <v>465.65</v>
      </c>
      <c r="C984" s="34">
        <f t="shared" si="30"/>
        <v>-4.2858739128932028E-3</v>
      </c>
      <c r="E984" s="33">
        <v>43819</v>
      </c>
      <c r="F984" s="34">
        <v>41681.54</v>
      </c>
      <c r="G984" s="34">
        <f t="shared" si="31"/>
        <v>1.8283145510162151E-4</v>
      </c>
    </row>
    <row r="985" spans="1:7" x14ac:dyDescent="0.3">
      <c r="A985" s="33">
        <v>43822</v>
      </c>
      <c r="B985" s="34">
        <v>467.75</v>
      </c>
      <c r="C985" s="34">
        <f t="shared" si="30"/>
        <v>4.4996861865321319E-3</v>
      </c>
      <c r="E985" s="33">
        <v>43822</v>
      </c>
      <c r="F985" s="34">
        <v>41642.660000000003</v>
      </c>
      <c r="G985" s="34">
        <f t="shared" si="31"/>
        <v>-9.3322234889089137E-4</v>
      </c>
    </row>
    <row r="986" spans="1:7" x14ac:dyDescent="0.3">
      <c r="A986" s="33">
        <v>43823</v>
      </c>
      <c r="B986" s="34">
        <v>478.6</v>
      </c>
      <c r="C986" s="34">
        <f t="shared" si="30"/>
        <v>2.2931210320073978E-2</v>
      </c>
      <c r="E986" s="33">
        <v>43823</v>
      </c>
      <c r="F986" s="34">
        <v>41461.26</v>
      </c>
      <c r="G986" s="34">
        <f t="shared" si="31"/>
        <v>-4.3656253063318736E-3</v>
      </c>
    </row>
    <row r="987" spans="1:7" x14ac:dyDescent="0.3">
      <c r="A987" s="33">
        <v>43825</v>
      </c>
      <c r="B987" s="34">
        <v>474.15</v>
      </c>
      <c r="C987" s="34">
        <f t="shared" si="30"/>
        <v>-9.3414481445365828E-3</v>
      </c>
      <c r="E987" s="33">
        <v>43825</v>
      </c>
      <c r="F987" s="34">
        <v>41163.760000000002</v>
      </c>
      <c r="G987" s="34">
        <f t="shared" si="31"/>
        <v>-7.201239664244222E-3</v>
      </c>
    </row>
    <row r="988" spans="1:7" x14ac:dyDescent="0.3">
      <c r="A988" s="33">
        <v>43826</v>
      </c>
      <c r="B988" s="34">
        <v>481.4</v>
      </c>
      <c r="C988" s="34">
        <f t="shared" si="30"/>
        <v>1.5174798019235132E-2</v>
      </c>
      <c r="E988" s="33">
        <v>43826</v>
      </c>
      <c r="F988" s="34">
        <v>41575.14</v>
      </c>
      <c r="G988" s="34">
        <f t="shared" si="31"/>
        <v>9.9441348619589733E-3</v>
      </c>
    </row>
    <row r="989" spans="1:7" x14ac:dyDescent="0.3">
      <c r="A989" s="33">
        <v>43829</v>
      </c>
      <c r="B989" s="34">
        <v>479.8</v>
      </c>
      <c r="C989" s="34">
        <f t="shared" si="30"/>
        <v>-3.3291749433773609E-3</v>
      </c>
      <c r="E989" s="33">
        <v>43829</v>
      </c>
      <c r="F989" s="34">
        <v>41558</v>
      </c>
      <c r="G989" s="34">
        <f t="shared" si="31"/>
        <v>-4.1235060393151512E-4</v>
      </c>
    </row>
    <row r="990" spans="1:7" x14ac:dyDescent="0.3">
      <c r="A990" s="33">
        <v>43830</v>
      </c>
      <c r="B990" s="34">
        <v>478.45</v>
      </c>
      <c r="C990" s="34">
        <f t="shared" si="30"/>
        <v>-2.8176381803223841E-3</v>
      </c>
      <c r="E990" s="33">
        <v>43830</v>
      </c>
      <c r="F990" s="34">
        <v>41253.74</v>
      </c>
      <c r="G990" s="34">
        <f t="shared" si="31"/>
        <v>-7.3482665403055607E-3</v>
      </c>
    </row>
    <row r="991" spans="1:7" x14ac:dyDescent="0.3">
      <c r="A991" s="33">
        <v>43831</v>
      </c>
      <c r="B991" s="34">
        <v>476.05</v>
      </c>
      <c r="C991" s="34">
        <f t="shared" si="30"/>
        <v>-5.0288214935714165E-3</v>
      </c>
      <c r="E991" s="33">
        <v>43831</v>
      </c>
      <c r="F991" s="34">
        <v>41306.019999999997</v>
      </c>
      <c r="G991" s="34">
        <f t="shared" si="31"/>
        <v>1.2664767191167461E-3</v>
      </c>
    </row>
    <row r="992" spans="1:7" x14ac:dyDescent="0.3">
      <c r="A992" s="33">
        <v>43832</v>
      </c>
      <c r="B992" s="34">
        <v>473.7</v>
      </c>
      <c r="C992" s="34">
        <f t="shared" si="30"/>
        <v>-4.9486808019943403E-3</v>
      </c>
      <c r="E992" s="33">
        <v>43832</v>
      </c>
      <c r="F992" s="34">
        <v>41626.639999999999</v>
      </c>
      <c r="G992" s="34">
        <f t="shared" si="31"/>
        <v>7.7320948673718099E-3</v>
      </c>
    </row>
    <row r="993" spans="1:7" x14ac:dyDescent="0.3">
      <c r="A993" s="33">
        <v>43833</v>
      </c>
      <c r="B993" s="34">
        <v>470.25</v>
      </c>
      <c r="C993" s="34">
        <f t="shared" si="30"/>
        <v>-7.3097417485662938E-3</v>
      </c>
      <c r="E993" s="33">
        <v>43833</v>
      </c>
      <c r="F993" s="34">
        <v>41464.61</v>
      </c>
      <c r="G993" s="34">
        <f t="shared" si="31"/>
        <v>-3.9000545876664424E-3</v>
      </c>
    </row>
    <row r="994" spans="1:7" x14ac:dyDescent="0.3">
      <c r="A994" s="33">
        <v>43836</v>
      </c>
      <c r="B994" s="34">
        <v>466.75</v>
      </c>
      <c r="C994" s="34">
        <f t="shared" si="30"/>
        <v>-7.470685759307762E-3</v>
      </c>
      <c r="E994" s="33">
        <v>43836</v>
      </c>
      <c r="F994" s="34">
        <v>40676.629999999997</v>
      </c>
      <c r="G994" s="34">
        <f t="shared" si="31"/>
        <v>-1.9186566278656874E-2</v>
      </c>
    </row>
    <row r="995" spans="1:7" x14ac:dyDescent="0.3">
      <c r="A995" s="33">
        <v>43837</v>
      </c>
      <c r="B995" s="34">
        <v>468.75</v>
      </c>
      <c r="C995" s="34">
        <f t="shared" si="30"/>
        <v>4.2757948627886724E-3</v>
      </c>
      <c r="E995" s="33">
        <v>43837</v>
      </c>
      <c r="F995" s="34">
        <v>40869.47</v>
      </c>
      <c r="G995" s="34">
        <f t="shared" si="31"/>
        <v>4.7296034874040336E-3</v>
      </c>
    </row>
    <row r="996" spans="1:7" x14ac:dyDescent="0.3">
      <c r="A996" s="33">
        <v>43838</v>
      </c>
      <c r="B996" s="34">
        <v>464.55</v>
      </c>
      <c r="C996" s="34">
        <f t="shared" si="30"/>
        <v>-9.0003821972990464E-3</v>
      </c>
      <c r="E996" s="33">
        <v>43838</v>
      </c>
      <c r="F996" s="34">
        <v>40817.74</v>
      </c>
      <c r="G996" s="34">
        <f t="shared" si="31"/>
        <v>-1.2665387131008292E-3</v>
      </c>
    </row>
    <row r="997" spans="1:7" x14ac:dyDescent="0.3">
      <c r="A997" s="33">
        <v>43839</v>
      </c>
      <c r="B997" s="34">
        <v>470</v>
      </c>
      <c r="C997" s="34">
        <f t="shared" si="30"/>
        <v>1.1663499616782808E-2</v>
      </c>
      <c r="E997" s="33">
        <v>43839</v>
      </c>
      <c r="F997" s="34">
        <v>41452.35</v>
      </c>
      <c r="G997" s="34">
        <f t="shared" si="31"/>
        <v>1.5427783955390403E-2</v>
      </c>
    </row>
    <row r="998" spans="1:7" x14ac:dyDescent="0.3">
      <c r="A998" s="33">
        <v>43840</v>
      </c>
      <c r="B998" s="34">
        <v>473.15</v>
      </c>
      <c r="C998" s="34">
        <f t="shared" si="30"/>
        <v>6.6797682501374116E-3</v>
      </c>
      <c r="E998" s="33">
        <v>43840</v>
      </c>
      <c r="F998" s="34">
        <v>41599.72</v>
      </c>
      <c r="G998" s="34">
        <f t="shared" si="31"/>
        <v>3.5488616880937013E-3</v>
      </c>
    </row>
    <row r="999" spans="1:7" x14ac:dyDescent="0.3">
      <c r="A999" s="33">
        <v>43843</v>
      </c>
      <c r="B999" s="34">
        <v>477.45</v>
      </c>
      <c r="C999" s="34">
        <f t="shared" si="30"/>
        <v>9.0469794419699504E-3</v>
      </c>
      <c r="E999" s="33">
        <v>43843</v>
      </c>
      <c r="F999" s="34">
        <v>41859.69</v>
      </c>
      <c r="G999" s="34">
        <f t="shared" si="31"/>
        <v>6.2298748772562909E-3</v>
      </c>
    </row>
    <row r="1000" spans="1:7" x14ac:dyDescent="0.3">
      <c r="A1000" s="33">
        <v>43844</v>
      </c>
      <c r="B1000" s="34">
        <v>484.4</v>
      </c>
      <c r="C1000" s="34">
        <f t="shared" si="30"/>
        <v>1.4451569282725573E-2</v>
      </c>
      <c r="E1000" s="33">
        <v>43844</v>
      </c>
      <c r="F1000" s="34">
        <v>41952.63</v>
      </c>
      <c r="G1000" s="34">
        <f t="shared" si="31"/>
        <v>2.2178132784126982E-3</v>
      </c>
    </row>
    <row r="1001" spans="1:7" x14ac:dyDescent="0.3">
      <c r="A1001" s="33">
        <v>43845</v>
      </c>
      <c r="B1001" s="34">
        <v>483.7</v>
      </c>
      <c r="C1001" s="34">
        <f t="shared" si="30"/>
        <v>-1.4461318499996267E-3</v>
      </c>
      <c r="E1001" s="33">
        <v>43845</v>
      </c>
      <c r="F1001" s="34">
        <v>41872.730000000003</v>
      </c>
      <c r="G1001" s="34">
        <f t="shared" si="31"/>
        <v>-1.9063449103560257E-3</v>
      </c>
    </row>
    <row r="1002" spans="1:7" x14ac:dyDescent="0.3">
      <c r="A1002" s="33">
        <v>43846</v>
      </c>
      <c r="B1002" s="34">
        <v>479.95</v>
      </c>
      <c r="C1002" s="34">
        <f t="shared" si="30"/>
        <v>-7.782948019391599E-3</v>
      </c>
      <c r="E1002" s="33">
        <v>43846</v>
      </c>
      <c r="F1002" s="34">
        <v>41932.559999999998</v>
      </c>
      <c r="G1002" s="34">
        <f t="shared" si="31"/>
        <v>1.4278337361439274E-3</v>
      </c>
    </row>
    <row r="1003" spans="1:7" x14ac:dyDescent="0.3">
      <c r="A1003" s="33">
        <v>43847</v>
      </c>
      <c r="B1003" s="34">
        <v>480.25</v>
      </c>
      <c r="C1003" s="34">
        <f t="shared" si="30"/>
        <v>6.2486983912021267E-4</v>
      </c>
      <c r="E1003" s="33">
        <v>43847</v>
      </c>
      <c r="F1003" s="34">
        <v>41945.37</v>
      </c>
      <c r="G1003" s="34">
        <f t="shared" si="31"/>
        <v>3.0544387777805496E-4</v>
      </c>
    </row>
    <row r="1004" spans="1:7" x14ac:dyDescent="0.3">
      <c r="A1004" s="33">
        <v>43850</v>
      </c>
      <c r="B1004" s="34">
        <v>480.15</v>
      </c>
      <c r="C1004" s="34">
        <f t="shared" si="30"/>
        <v>-2.0824656468430223E-4</v>
      </c>
      <c r="E1004" s="33">
        <v>43850</v>
      </c>
      <c r="F1004" s="34">
        <v>41528.910000000003</v>
      </c>
      <c r="G1004" s="34">
        <f t="shared" si="31"/>
        <v>-9.9782461235083317E-3</v>
      </c>
    </row>
    <row r="1005" spans="1:7" x14ac:dyDescent="0.3">
      <c r="A1005" s="33">
        <v>43851</v>
      </c>
      <c r="B1005" s="34">
        <v>473.25</v>
      </c>
      <c r="C1005" s="34">
        <f t="shared" si="30"/>
        <v>-1.4474764994549505E-2</v>
      </c>
      <c r="E1005" s="33">
        <v>43851</v>
      </c>
      <c r="F1005" s="34">
        <v>41323.81</v>
      </c>
      <c r="G1005" s="34">
        <f t="shared" si="31"/>
        <v>-4.9509640468420697E-3</v>
      </c>
    </row>
    <row r="1006" spans="1:7" x14ac:dyDescent="0.3">
      <c r="A1006" s="33">
        <v>43852</v>
      </c>
      <c r="B1006" s="34">
        <v>471.75</v>
      </c>
      <c r="C1006" s="34">
        <f t="shared" si="30"/>
        <v>-3.1746058407726538E-3</v>
      </c>
      <c r="E1006" s="33">
        <v>43852</v>
      </c>
      <c r="F1006" s="34">
        <v>41115.379999999997</v>
      </c>
      <c r="G1006" s="34">
        <f t="shared" si="31"/>
        <v>-5.056586415106307E-3</v>
      </c>
    </row>
    <row r="1007" spans="1:7" x14ac:dyDescent="0.3">
      <c r="A1007" s="33">
        <v>43853</v>
      </c>
      <c r="B1007" s="34">
        <v>464.8</v>
      </c>
      <c r="C1007" s="34">
        <f t="shared" si="30"/>
        <v>-1.4841978710958111E-2</v>
      </c>
      <c r="E1007" s="33">
        <v>43853</v>
      </c>
      <c r="F1007" s="34">
        <v>41386.400000000001</v>
      </c>
      <c r="G1007" s="34">
        <f t="shared" si="31"/>
        <v>6.5700636979582946E-3</v>
      </c>
    </row>
    <row r="1008" spans="1:7" x14ac:dyDescent="0.3">
      <c r="A1008" s="33">
        <v>43854</v>
      </c>
      <c r="B1008" s="34">
        <v>458.1</v>
      </c>
      <c r="C1008" s="34">
        <f t="shared" si="30"/>
        <v>-1.4519704645005019E-2</v>
      </c>
      <c r="E1008" s="33">
        <v>43854</v>
      </c>
      <c r="F1008" s="34">
        <v>41613.19</v>
      </c>
      <c r="G1008" s="34">
        <f t="shared" si="31"/>
        <v>5.464859872621932E-3</v>
      </c>
    </row>
    <row r="1009" spans="1:7" x14ac:dyDescent="0.3">
      <c r="A1009" s="33">
        <v>43857</v>
      </c>
      <c r="B1009" s="34">
        <v>464.65</v>
      </c>
      <c r="C1009" s="34">
        <f t="shared" si="30"/>
        <v>1.4196933110651745E-2</v>
      </c>
      <c r="E1009" s="33">
        <v>43857</v>
      </c>
      <c r="F1009" s="34">
        <v>41155.120000000003</v>
      </c>
      <c r="G1009" s="34">
        <f t="shared" si="31"/>
        <v>-1.1068842093238456E-2</v>
      </c>
    </row>
    <row r="1010" spans="1:7" x14ac:dyDescent="0.3">
      <c r="A1010" s="33">
        <v>43858</v>
      </c>
      <c r="B1010" s="34">
        <v>464.65</v>
      </c>
      <c r="C1010" s="34">
        <f t="shared" si="30"/>
        <v>0</v>
      </c>
      <c r="E1010" s="33">
        <v>43858</v>
      </c>
      <c r="F1010" s="34">
        <v>40966.86</v>
      </c>
      <c r="G1010" s="34">
        <f t="shared" si="31"/>
        <v>-4.5848950497409469E-3</v>
      </c>
    </row>
    <row r="1011" spans="1:7" x14ac:dyDescent="0.3">
      <c r="A1011" s="33">
        <v>43859</v>
      </c>
      <c r="B1011" s="34">
        <v>461.35</v>
      </c>
      <c r="C1011" s="34">
        <f t="shared" si="30"/>
        <v>-7.1274599787833478E-3</v>
      </c>
      <c r="E1011" s="33">
        <v>43859</v>
      </c>
      <c r="F1011" s="34">
        <v>41198.660000000003</v>
      </c>
      <c r="G1011" s="34">
        <f t="shared" si="31"/>
        <v>5.6422843779960798E-3</v>
      </c>
    </row>
    <row r="1012" spans="1:7" x14ac:dyDescent="0.3">
      <c r="A1012" s="33">
        <v>43860</v>
      </c>
      <c r="B1012" s="34">
        <v>451.5</v>
      </c>
      <c r="C1012" s="34">
        <f t="shared" si="30"/>
        <v>-2.1581601167524764E-2</v>
      </c>
      <c r="E1012" s="33">
        <v>43860</v>
      </c>
      <c r="F1012" s="34">
        <v>40913.82</v>
      </c>
      <c r="G1012" s="34">
        <f t="shared" si="31"/>
        <v>-6.9378282698807064E-3</v>
      </c>
    </row>
    <row r="1013" spans="1:7" x14ac:dyDescent="0.3">
      <c r="A1013" s="33">
        <v>43861</v>
      </c>
      <c r="B1013" s="34">
        <v>446.9</v>
      </c>
      <c r="C1013" s="34">
        <f t="shared" si="30"/>
        <v>-1.024051691763435E-2</v>
      </c>
      <c r="E1013" s="33">
        <v>43861</v>
      </c>
      <c r="F1013" s="34">
        <v>40723.49</v>
      </c>
      <c r="G1013" s="34">
        <f t="shared" si="31"/>
        <v>-4.6628274460654845E-3</v>
      </c>
    </row>
    <row r="1014" spans="1:7" x14ac:dyDescent="0.3">
      <c r="A1014" s="33">
        <v>43862</v>
      </c>
      <c r="B1014" s="34">
        <v>442.8</v>
      </c>
      <c r="C1014" s="34">
        <f t="shared" si="30"/>
        <v>-9.2166551049239522E-3</v>
      </c>
      <c r="E1014" s="33">
        <v>43862</v>
      </c>
      <c r="F1014" s="34">
        <v>39735.53</v>
      </c>
      <c r="G1014" s="34">
        <f t="shared" si="31"/>
        <v>-2.4559326168897572E-2</v>
      </c>
    </row>
    <row r="1015" spans="1:7" x14ac:dyDescent="0.3">
      <c r="A1015" s="33">
        <v>43864</v>
      </c>
      <c r="B1015" s="34">
        <v>444.4</v>
      </c>
      <c r="C1015" s="34">
        <f t="shared" si="30"/>
        <v>3.6068569309930629E-3</v>
      </c>
      <c r="E1015" s="33">
        <v>43864</v>
      </c>
      <c r="F1015" s="34">
        <v>39872.31</v>
      </c>
      <c r="G1015" s="34">
        <f t="shared" si="31"/>
        <v>3.4363483445117539E-3</v>
      </c>
    </row>
    <row r="1016" spans="1:7" x14ac:dyDescent="0.3">
      <c r="A1016" s="33">
        <v>43865</v>
      </c>
      <c r="B1016" s="34">
        <v>448.6</v>
      </c>
      <c r="C1016" s="34">
        <f t="shared" si="30"/>
        <v>9.406564320633061E-3</v>
      </c>
      <c r="E1016" s="33">
        <v>43865</v>
      </c>
      <c r="F1016" s="34">
        <v>40789.379999999997</v>
      </c>
      <c r="G1016" s="34">
        <f t="shared" si="31"/>
        <v>2.2739655395696969E-2</v>
      </c>
    </row>
    <row r="1017" spans="1:7" x14ac:dyDescent="0.3">
      <c r="A1017" s="33">
        <v>43866</v>
      </c>
      <c r="B1017" s="34">
        <v>446.8</v>
      </c>
      <c r="C1017" s="34">
        <f t="shared" si="30"/>
        <v>-4.0205548910622838E-3</v>
      </c>
      <c r="E1017" s="33">
        <v>43866</v>
      </c>
      <c r="F1017" s="34">
        <v>41142.660000000003</v>
      </c>
      <c r="G1017" s="34">
        <f t="shared" si="31"/>
        <v>8.6237859924106364E-3</v>
      </c>
    </row>
    <row r="1018" spans="1:7" x14ac:dyDescent="0.3">
      <c r="A1018" s="33">
        <v>43867</v>
      </c>
      <c r="B1018" s="34">
        <v>439.7</v>
      </c>
      <c r="C1018" s="34">
        <f t="shared" si="30"/>
        <v>-1.6018391008281233E-2</v>
      </c>
      <c r="E1018" s="33">
        <v>43867</v>
      </c>
      <c r="F1018" s="34">
        <v>41306.03</v>
      </c>
      <c r="G1018" s="34">
        <f t="shared" si="31"/>
        <v>3.962954749446506E-3</v>
      </c>
    </row>
    <row r="1019" spans="1:7" x14ac:dyDescent="0.3">
      <c r="A1019" s="33">
        <v>43868</v>
      </c>
      <c r="B1019" s="34">
        <v>443.15</v>
      </c>
      <c r="C1019" s="34">
        <f t="shared" si="30"/>
        <v>7.8156369976425701E-3</v>
      </c>
      <c r="E1019" s="33">
        <v>43868</v>
      </c>
      <c r="F1019" s="34">
        <v>41141.85</v>
      </c>
      <c r="G1019" s="34">
        <f t="shared" si="31"/>
        <v>-3.9826425375862114E-3</v>
      </c>
    </row>
    <row r="1020" spans="1:7" x14ac:dyDescent="0.3">
      <c r="A1020" s="33">
        <v>43871</v>
      </c>
      <c r="B1020" s="34">
        <v>444.85</v>
      </c>
      <c r="C1020" s="34">
        <f t="shared" si="30"/>
        <v>3.8288335063695021E-3</v>
      </c>
      <c r="E1020" s="33">
        <v>43871</v>
      </c>
      <c r="F1020" s="34">
        <v>40979.620000000003</v>
      </c>
      <c r="G1020" s="34">
        <f t="shared" si="31"/>
        <v>-3.9509816625931064E-3</v>
      </c>
    </row>
    <row r="1021" spans="1:7" x14ac:dyDescent="0.3">
      <c r="A1021" s="33">
        <v>43872</v>
      </c>
      <c r="B1021" s="34">
        <v>450.65</v>
      </c>
      <c r="C1021" s="34">
        <f t="shared" si="30"/>
        <v>1.2953838311642304E-2</v>
      </c>
      <c r="E1021" s="33">
        <v>43872</v>
      </c>
      <c r="F1021" s="34">
        <v>41216.14</v>
      </c>
      <c r="G1021" s="34">
        <f t="shared" si="31"/>
        <v>5.7550572634968008E-3</v>
      </c>
    </row>
    <row r="1022" spans="1:7" x14ac:dyDescent="0.3">
      <c r="A1022" s="33">
        <v>43873</v>
      </c>
      <c r="B1022" s="34">
        <v>446.75</v>
      </c>
      <c r="C1022" s="34">
        <f t="shared" si="30"/>
        <v>-8.6918309628813278E-3</v>
      </c>
      <c r="E1022" s="33">
        <v>43873</v>
      </c>
      <c r="F1022" s="34">
        <v>41565.9</v>
      </c>
      <c r="G1022" s="34">
        <f t="shared" si="31"/>
        <v>8.4501923662947086E-3</v>
      </c>
    </row>
    <row r="1023" spans="1:7" x14ac:dyDescent="0.3">
      <c r="A1023" s="33">
        <v>43874</v>
      </c>
      <c r="B1023" s="34">
        <v>443.55</v>
      </c>
      <c r="C1023" s="34">
        <f t="shared" si="30"/>
        <v>-7.1886190729414804E-3</v>
      </c>
      <c r="E1023" s="33">
        <v>43874</v>
      </c>
      <c r="F1023" s="34">
        <v>41459.79</v>
      </c>
      <c r="G1023" s="34">
        <f t="shared" si="31"/>
        <v>-2.5560777097489015E-3</v>
      </c>
    </row>
    <row r="1024" spans="1:7" x14ac:dyDescent="0.3">
      <c r="A1024" s="33">
        <v>43875</v>
      </c>
      <c r="B1024" s="34">
        <v>446.95</v>
      </c>
      <c r="C1024" s="34">
        <f t="shared" si="30"/>
        <v>7.6361965672657028E-3</v>
      </c>
      <c r="E1024" s="33">
        <v>43875</v>
      </c>
      <c r="F1024" s="34">
        <v>41257.74</v>
      </c>
      <c r="G1024" s="34">
        <f t="shared" si="31"/>
        <v>-4.885310328970079E-3</v>
      </c>
    </row>
    <row r="1025" spans="1:7" x14ac:dyDescent="0.3">
      <c r="A1025" s="33">
        <v>43878</v>
      </c>
      <c r="B1025" s="34">
        <v>431.7</v>
      </c>
      <c r="C1025" s="34">
        <f t="shared" si="30"/>
        <v>-3.4715828972429807E-2</v>
      </c>
      <c r="E1025" s="33">
        <v>43878</v>
      </c>
      <c r="F1025" s="34">
        <v>41055.69</v>
      </c>
      <c r="G1025" s="34">
        <f t="shared" si="31"/>
        <v>-4.909293800615739E-3</v>
      </c>
    </row>
    <row r="1026" spans="1:7" x14ac:dyDescent="0.3">
      <c r="A1026" s="33">
        <v>43879</v>
      </c>
      <c r="B1026" s="34">
        <v>435.65</v>
      </c>
      <c r="C1026" s="34">
        <f t="shared" si="30"/>
        <v>9.1082661158640669E-3</v>
      </c>
      <c r="E1026" s="33">
        <v>43879</v>
      </c>
      <c r="F1026" s="34">
        <v>40894.379999999997</v>
      </c>
      <c r="G1026" s="34">
        <f t="shared" si="31"/>
        <v>-3.9367924477993702E-3</v>
      </c>
    </row>
    <row r="1027" spans="1:7" x14ac:dyDescent="0.3">
      <c r="A1027" s="33">
        <v>43880</v>
      </c>
      <c r="B1027" s="34">
        <v>447.45</v>
      </c>
      <c r="C1027" s="34">
        <f t="shared" si="30"/>
        <v>2.6725630951571495E-2</v>
      </c>
      <c r="E1027" s="33">
        <v>43880</v>
      </c>
      <c r="F1027" s="34">
        <v>41323</v>
      </c>
      <c r="G1027" s="34">
        <f t="shared" si="31"/>
        <v>1.0426600387307441E-2</v>
      </c>
    </row>
    <row r="1028" spans="1:7" x14ac:dyDescent="0.3">
      <c r="A1028" s="33">
        <v>43881</v>
      </c>
      <c r="B1028" s="34">
        <v>435.55</v>
      </c>
      <c r="C1028" s="34">
        <f t="shared" si="30"/>
        <v>-2.6955199363966197E-2</v>
      </c>
      <c r="E1028" s="33">
        <v>43881</v>
      </c>
      <c r="F1028" s="34">
        <v>41170.120000000003</v>
      </c>
      <c r="G1028" s="34">
        <f t="shared" si="31"/>
        <v>-3.7064951604068985E-3</v>
      </c>
    </row>
    <row r="1029" spans="1:7" x14ac:dyDescent="0.3">
      <c r="A1029" s="33">
        <v>43885</v>
      </c>
      <c r="B1029" s="34">
        <v>430.3</v>
      </c>
      <c r="C1029" s="34">
        <f t="shared" si="30"/>
        <v>-1.2126960420347032E-2</v>
      </c>
      <c r="E1029" s="33">
        <v>43885</v>
      </c>
      <c r="F1029" s="34">
        <v>40363.230000000003</v>
      </c>
      <c r="G1029" s="34">
        <f t="shared" si="31"/>
        <v>-1.979352850570253E-2</v>
      </c>
    </row>
    <row r="1030" spans="1:7" x14ac:dyDescent="0.3">
      <c r="A1030" s="33">
        <v>43886</v>
      </c>
      <c r="B1030" s="34">
        <v>425.35</v>
      </c>
      <c r="C1030" s="34">
        <f t="shared" si="30"/>
        <v>-1.1570280422660633E-2</v>
      </c>
      <c r="E1030" s="33">
        <v>43886</v>
      </c>
      <c r="F1030" s="34">
        <v>40281.199999999997</v>
      </c>
      <c r="G1030" s="34">
        <f t="shared" si="31"/>
        <v>-2.034363149222181E-3</v>
      </c>
    </row>
    <row r="1031" spans="1:7" x14ac:dyDescent="0.3">
      <c r="A1031" s="33">
        <v>43887</v>
      </c>
      <c r="B1031" s="34">
        <v>422.45</v>
      </c>
      <c r="C1031" s="34">
        <f t="shared" ref="C1031:C1094" si="32">LN(B1031/B1030)</f>
        <v>-6.8412628230395669E-3</v>
      </c>
      <c r="E1031" s="33">
        <v>43887</v>
      </c>
      <c r="F1031" s="34">
        <v>39888.959999999999</v>
      </c>
      <c r="G1031" s="34">
        <f t="shared" ref="G1031:G1094" si="33">LN(F1031/F1030)</f>
        <v>-9.7852649861108754E-3</v>
      </c>
    </row>
    <row r="1032" spans="1:7" x14ac:dyDescent="0.3">
      <c r="A1032" s="33">
        <v>43888</v>
      </c>
      <c r="B1032" s="34">
        <v>421.45</v>
      </c>
      <c r="C1032" s="34">
        <f t="shared" si="32"/>
        <v>-2.3699501553626858E-3</v>
      </c>
      <c r="E1032" s="33">
        <v>43888</v>
      </c>
      <c r="F1032" s="34">
        <v>39745.660000000003</v>
      </c>
      <c r="G1032" s="34">
        <f t="shared" si="33"/>
        <v>-3.5989411307025291E-3</v>
      </c>
    </row>
    <row r="1033" spans="1:7" x14ac:dyDescent="0.3">
      <c r="A1033" s="33">
        <v>43889</v>
      </c>
      <c r="B1033" s="34">
        <v>401.45</v>
      </c>
      <c r="C1033" s="34">
        <f t="shared" si="32"/>
        <v>-4.8618153812798118E-2</v>
      </c>
      <c r="E1033" s="33">
        <v>43889</v>
      </c>
      <c r="F1033" s="34">
        <v>38297.29</v>
      </c>
      <c r="G1033" s="34">
        <f t="shared" si="33"/>
        <v>-3.7121516246536618E-2</v>
      </c>
    </row>
    <row r="1034" spans="1:7" x14ac:dyDescent="0.3">
      <c r="A1034" s="33">
        <v>43892</v>
      </c>
      <c r="B1034" s="34">
        <v>403.7</v>
      </c>
      <c r="C1034" s="34">
        <f t="shared" si="32"/>
        <v>5.5890352282022037E-3</v>
      </c>
      <c r="E1034" s="33">
        <v>43892</v>
      </c>
      <c r="F1034" s="34">
        <v>38144.019999999997</v>
      </c>
      <c r="G1034" s="34">
        <f t="shared" si="33"/>
        <v>-4.0101407314301948E-3</v>
      </c>
    </row>
    <row r="1035" spans="1:7" x14ac:dyDescent="0.3">
      <c r="A1035" s="33">
        <v>43893</v>
      </c>
      <c r="B1035" s="34">
        <v>425.7</v>
      </c>
      <c r="C1035" s="34">
        <f t="shared" si="32"/>
        <v>5.3062844975211458E-2</v>
      </c>
      <c r="E1035" s="33">
        <v>43893</v>
      </c>
      <c r="F1035" s="34">
        <v>38623.699999999997</v>
      </c>
      <c r="G1035" s="34">
        <f t="shared" si="33"/>
        <v>1.2497081921966484E-2</v>
      </c>
    </row>
    <row r="1036" spans="1:7" x14ac:dyDescent="0.3">
      <c r="A1036" s="33">
        <v>43894</v>
      </c>
      <c r="B1036" s="34">
        <v>447.7</v>
      </c>
      <c r="C1036" s="34">
        <f t="shared" si="32"/>
        <v>5.03884924128132E-2</v>
      </c>
      <c r="E1036" s="33">
        <v>43894</v>
      </c>
      <c r="F1036" s="34">
        <v>38409.480000000003</v>
      </c>
      <c r="G1036" s="34">
        <f t="shared" si="33"/>
        <v>-5.5617735685095284E-3</v>
      </c>
    </row>
    <row r="1037" spans="1:7" x14ac:dyDescent="0.3">
      <c r="A1037" s="33">
        <v>43895</v>
      </c>
      <c r="B1037" s="34">
        <v>440.45</v>
      </c>
      <c r="C1037" s="34">
        <f t="shared" si="32"/>
        <v>-1.6326433691115146E-2</v>
      </c>
      <c r="E1037" s="33">
        <v>43895</v>
      </c>
      <c r="F1037" s="34">
        <v>38470.61</v>
      </c>
      <c r="G1037" s="34">
        <f t="shared" si="33"/>
        <v>1.5902690249950137E-3</v>
      </c>
    </row>
    <row r="1038" spans="1:7" x14ac:dyDescent="0.3">
      <c r="A1038" s="33">
        <v>43896</v>
      </c>
      <c r="B1038" s="34">
        <v>433.95</v>
      </c>
      <c r="C1038" s="34">
        <f t="shared" si="32"/>
        <v>-1.4867611465550944E-2</v>
      </c>
      <c r="E1038" s="33">
        <v>43896</v>
      </c>
      <c r="F1038" s="34">
        <v>37576.620000000003</v>
      </c>
      <c r="G1038" s="34">
        <f t="shared" si="33"/>
        <v>-2.3512524667936702E-2</v>
      </c>
    </row>
    <row r="1039" spans="1:7" x14ac:dyDescent="0.3">
      <c r="A1039" s="33">
        <v>43899</v>
      </c>
      <c r="B1039" s="34">
        <v>425.55</v>
      </c>
      <c r="C1039" s="34">
        <f t="shared" si="32"/>
        <v>-1.9546870167283657E-2</v>
      </c>
      <c r="E1039" s="33">
        <v>43899</v>
      </c>
      <c r="F1039" s="34">
        <v>35634.949999999997</v>
      </c>
      <c r="G1039" s="34">
        <f t="shared" si="33"/>
        <v>-5.3055150644186935E-2</v>
      </c>
    </row>
    <row r="1040" spans="1:7" x14ac:dyDescent="0.3">
      <c r="A1040" s="33">
        <v>43901</v>
      </c>
      <c r="B1040" s="34">
        <v>417.55</v>
      </c>
      <c r="C1040" s="34">
        <f t="shared" si="32"/>
        <v>-1.8978152323731613E-2</v>
      </c>
      <c r="E1040" s="33">
        <v>43901</v>
      </c>
      <c r="F1040" s="34">
        <v>35697.4</v>
      </c>
      <c r="G1040" s="34">
        <f t="shared" si="33"/>
        <v>1.7509591638363855E-3</v>
      </c>
    </row>
    <row r="1041" spans="1:7" x14ac:dyDescent="0.3">
      <c r="A1041" s="33">
        <v>43902</v>
      </c>
      <c r="B1041" s="34">
        <v>394.85</v>
      </c>
      <c r="C1041" s="34">
        <f t="shared" si="32"/>
        <v>-5.5898351655648423E-2</v>
      </c>
      <c r="E1041" s="33">
        <v>43902</v>
      </c>
      <c r="F1041" s="34">
        <v>32778.14</v>
      </c>
      <c r="G1041" s="34">
        <f t="shared" si="33"/>
        <v>-8.5316027211772852E-2</v>
      </c>
    </row>
    <row r="1042" spans="1:7" x14ac:dyDescent="0.3">
      <c r="A1042" s="33">
        <v>43903</v>
      </c>
      <c r="B1042" s="34">
        <v>425.2</v>
      </c>
      <c r="C1042" s="34">
        <f t="shared" si="32"/>
        <v>7.4053700524202709E-2</v>
      </c>
      <c r="E1042" s="33">
        <v>43903</v>
      </c>
      <c r="F1042" s="34">
        <v>34103.480000000003</v>
      </c>
      <c r="G1042" s="34">
        <f t="shared" si="33"/>
        <v>3.9637602078365669E-2</v>
      </c>
    </row>
    <row r="1043" spans="1:7" x14ac:dyDescent="0.3">
      <c r="A1043" s="33">
        <v>43906</v>
      </c>
      <c r="B1043" s="34">
        <v>396.4</v>
      </c>
      <c r="C1043" s="34">
        <f t="shared" si="32"/>
        <v>-7.0135844011959922E-2</v>
      </c>
      <c r="E1043" s="33">
        <v>43906</v>
      </c>
      <c r="F1043" s="34">
        <v>31390.07</v>
      </c>
      <c r="G1043" s="34">
        <f t="shared" si="33"/>
        <v>-8.2907831007430724E-2</v>
      </c>
    </row>
    <row r="1044" spans="1:7" x14ac:dyDescent="0.3">
      <c r="A1044" s="33">
        <v>43907</v>
      </c>
      <c r="B1044" s="34">
        <v>401.75</v>
      </c>
      <c r="C1044" s="34">
        <f t="shared" si="32"/>
        <v>1.3406202161789076E-2</v>
      </c>
      <c r="E1044" s="33">
        <v>43907</v>
      </c>
      <c r="F1044" s="34">
        <v>30579.09</v>
      </c>
      <c r="G1044" s="34">
        <f t="shared" si="33"/>
        <v>-2.6175158814567435E-2</v>
      </c>
    </row>
    <row r="1045" spans="1:7" x14ac:dyDescent="0.3">
      <c r="A1045" s="33">
        <v>43908</v>
      </c>
      <c r="B1045" s="34">
        <v>386.7</v>
      </c>
      <c r="C1045" s="34">
        <f t="shared" si="32"/>
        <v>-3.818080600437055E-2</v>
      </c>
      <c r="E1045" s="33">
        <v>43908</v>
      </c>
      <c r="F1045" s="34">
        <v>28869.51</v>
      </c>
      <c r="G1045" s="34">
        <f t="shared" si="33"/>
        <v>-5.7530421151512801E-2</v>
      </c>
    </row>
    <row r="1046" spans="1:7" x14ac:dyDescent="0.3">
      <c r="A1046" s="33">
        <v>43909</v>
      </c>
      <c r="B1046" s="34">
        <v>374.6</v>
      </c>
      <c r="C1046" s="34">
        <f t="shared" si="32"/>
        <v>-3.1790408603263189E-2</v>
      </c>
      <c r="E1046" s="33">
        <v>43909</v>
      </c>
      <c r="F1046" s="34">
        <v>28288.23</v>
      </c>
      <c r="G1046" s="34">
        <f t="shared" si="33"/>
        <v>-2.0340203816564647E-2</v>
      </c>
    </row>
    <row r="1047" spans="1:7" x14ac:dyDescent="0.3">
      <c r="A1047" s="33">
        <v>43910</v>
      </c>
      <c r="B1047" s="34">
        <v>393.6</v>
      </c>
      <c r="C1047" s="34">
        <f t="shared" si="32"/>
        <v>4.9476375168110286E-2</v>
      </c>
      <c r="E1047" s="33">
        <v>43910</v>
      </c>
      <c r="F1047" s="34">
        <v>29915.96</v>
      </c>
      <c r="G1047" s="34">
        <f t="shared" si="33"/>
        <v>5.5946300173089936E-2</v>
      </c>
    </row>
    <row r="1048" spans="1:7" x14ac:dyDescent="0.3">
      <c r="A1048" s="33">
        <v>43913</v>
      </c>
      <c r="B1048" s="34">
        <v>377.6</v>
      </c>
      <c r="C1048" s="34">
        <f t="shared" si="32"/>
        <v>-4.1499730906752734E-2</v>
      </c>
      <c r="E1048" s="33">
        <v>43913</v>
      </c>
      <c r="F1048" s="34">
        <v>25981.24</v>
      </c>
      <c r="G1048" s="34">
        <f t="shared" si="33"/>
        <v>-0.14101737812559303</v>
      </c>
    </row>
    <row r="1049" spans="1:7" x14ac:dyDescent="0.3">
      <c r="A1049" s="33">
        <v>43914</v>
      </c>
      <c r="B1049" s="34">
        <v>377.65</v>
      </c>
      <c r="C1049" s="34">
        <f t="shared" si="32"/>
        <v>1.3240648811129919E-4</v>
      </c>
      <c r="E1049" s="33">
        <v>43914</v>
      </c>
      <c r="F1049" s="34">
        <v>26674.03</v>
      </c>
      <c r="G1049" s="34">
        <f t="shared" si="33"/>
        <v>2.6315693764495499E-2</v>
      </c>
    </row>
    <row r="1050" spans="1:7" x14ac:dyDescent="0.3">
      <c r="A1050" s="33">
        <v>43915</v>
      </c>
      <c r="B1050" s="34">
        <v>376.7</v>
      </c>
      <c r="C1050" s="34">
        <f t="shared" si="32"/>
        <v>-2.5187260614615908E-3</v>
      </c>
      <c r="E1050" s="33">
        <v>43915</v>
      </c>
      <c r="F1050" s="34">
        <v>28535.78</v>
      </c>
      <c r="G1050" s="34">
        <f t="shared" si="33"/>
        <v>6.7468305576736901E-2</v>
      </c>
    </row>
    <row r="1051" spans="1:7" x14ac:dyDescent="0.3">
      <c r="A1051" s="33">
        <v>43916</v>
      </c>
      <c r="B1051" s="34">
        <v>386.65</v>
      </c>
      <c r="C1051" s="34">
        <f t="shared" si="32"/>
        <v>2.6070776357048936E-2</v>
      </c>
      <c r="E1051" s="33">
        <v>43916</v>
      </c>
      <c r="F1051" s="34">
        <v>29946.77</v>
      </c>
      <c r="G1051" s="34">
        <f t="shared" si="33"/>
        <v>4.8262733867914305E-2</v>
      </c>
    </row>
    <row r="1052" spans="1:7" x14ac:dyDescent="0.3">
      <c r="A1052" s="33">
        <v>43917</v>
      </c>
      <c r="B1052" s="34">
        <v>408.45</v>
      </c>
      <c r="C1052" s="34">
        <f t="shared" si="32"/>
        <v>5.4849616732833797E-2</v>
      </c>
      <c r="E1052" s="33">
        <v>43917</v>
      </c>
      <c r="F1052" s="34">
        <v>29815.59</v>
      </c>
      <c r="G1052" s="34">
        <f t="shared" si="33"/>
        <v>-4.390061258691483E-3</v>
      </c>
    </row>
    <row r="1053" spans="1:7" x14ac:dyDescent="0.3">
      <c r="A1053" s="33">
        <v>43920</v>
      </c>
      <c r="B1053" s="34">
        <v>432.1</v>
      </c>
      <c r="C1053" s="34">
        <f t="shared" si="32"/>
        <v>5.6287535150009331E-2</v>
      </c>
      <c r="E1053" s="33">
        <v>43920</v>
      </c>
      <c r="F1053" s="34">
        <v>28440.32</v>
      </c>
      <c r="G1053" s="34">
        <f t="shared" si="33"/>
        <v>-4.7223554446413393E-2</v>
      </c>
    </row>
    <row r="1054" spans="1:7" x14ac:dyDescent="0.3">
      <c r="A1054" s="33">
        <v>43921</v>
      </c>
      <c r="B1054" s="34">
        <v>423</v>
      </c>
      <c r="C1054" s="34">
        <f t="shared" si="32"/>
        <v>-2.1284863891609603E-2</v>
      </c>
      <c r="E1054" s="33">
        <v>43921</v>
      </c>
      <c r="F1054" s="34">
        <v>29468.49</v>
      </c>
      <c r="G1054" s="34">
        <f t="shared" si="33"/>
        <v>3.5513700259361833E-2</v>
      </c>
    </row>
    <row r="1055" spans="1:7" x14ac:dyDescent="0.3">
      <c r="A1055" s="33">
        <v>43922</v>
      </c>
      <c r="B1055" s="34">
        <v>413.55</v>
      </c>
      <c r="C1055" s="34">
        <f t="shared" si="32"/>
        <v>-2.2593752908362477E-2</v>
      </c>
      <c r="E1055" s="33">
        <v>43922</v>
      </c>
      <c r="F1055" s="34">
        <v>28265.31</v>
      </c>
      <c r="G1055" s="34">
        <f t="shared" si="33"/>
        <v>-4.16862991942702E-2</v>
      </c>
    </row>
    <row r="1056" spans="1:7" x14ac:dyDescent="0.3">
      <c r="A1056" s="33">
        <v>43924</v>
      </c>
      <c r="B1056" s="34">
        <v>449.1</v>
      </c>
      <c r="C1056" s="34">
        <f t="shared" si="32"/>
        <v>8.2467153955776931E-2</v>
      </c>
      <c r="E1056" s="33">
        <v>43924</v>
      </c>
      <c r="F1056" s="34">
        <v>27590.95</v>
      </c>
      <c r="G1056" s="34">
        <f t="shared" si="33"/>
        <v>-2.4147437293023044E-2</v>
      </c>
    </row>
    <row r="1057" spans="1:7" x14ac:dyDescent="0.3">
      <c r="A1057" s="33">
        <v>43928</v>
      </c>
      <c r="B1057" s="34">
        <v>491.95</v>
      </c>
      <c r="C1057" s="34">
        <f t="shared" si="32"/>
        <v>9.1131505218081957E-2</v>
      </c>
      <c r="E1057" s="33">
        <v>43928</v>
      </c>
      <c r="F1057" s="34">
        <v>30067.21</v>
      </c>
      <c r="G1057" s="34">
        <f t="shared" si="33"/>
        <v>8.5947388788731885E-2</v>
      </c>
    </row>
    <row r="1058" spans="1:7" x14ac:dyDescent="0.3">
      <c r="A1058" s="33">
        <v>43929</v>
      </c>
      <c r="B1058" s="34">
        <v>513</v>
      </c>
      <c r="C1058" s="34">
        <f t="shared" si="32"/>
        <v>4.1898759858995112E-2</v>
      </c>
      <c r="E1058" s="33">
        <v>43929</v>
      </c>
      <c r="F1058" s="34">
        <v>29893.96</v>
      </c>
      <c r="G1058" s="34">
        <f t="shared" si="33"/>
        <v>-5.7787558890491451E-3</v>
      </c>
    </row>
    <row r="1059" spans="1:7" x14ac:dyDescent="0.3">
      <c r="A1059" s="33">
        <v>43930</v>
      </c>
      <c r="B1059" s="34">
        <v>579.5</v>
      </c>
      <c r="C1059" s="34">
        <f t="shared" si="32"/>
        <v>0.12188981760903679</v>
      </c>
      <c r="E1059" s="33">
        <v>43930</v>
      </c>
      <c r="F1059" s="34">
        <v>31159.62</v>
      </c>
      <c r="G1059" s="34">
        <f t="shared" si="33"/>
        <v>4.1466572504657004E-2</v>
      </c>
    </row>
    <row r="1060" spans="1:7" x14ac:dyDescent="0.3">
      <c r="A1060" s="33">
        <v>43934</v>
      </c>
      <c r="B1060" s="34">
        <v>592.70000000000005</v>
      </c>
      <c r="C1060" s="34">
        <f t="shared" si="32"/>
        <v>2.2522706013986087E-2</v>
      </c>
      <c r="E1060" s="33">
        <v>43934</v>
      </c>
      <c r="F1060" s="34">
        <v>30690.02</v>
      </c>
      <c r="G1060" s="34">
        <f t="shared" si="33"/>
        <v>-1.5185505496731606E-2</v>
      </c>
    </row>
    <row r="1061" spans="1:7" x14ac:dyDescent="0.3">
      <c r="A1061" s="33">
        <v>43936</v>
      </c>
      <c r="B1061" s="34">
        <v>592.54999999999995</v>
      </c>
      <c r="C1061" s="34">
        <f t="shared" si="32"/>
        <v>-2.5311115933502937E-4</v>
      </c>
      <c r="E1061" s="33">
        <v>43936</v>
      </c>
      <c r="F1061" s="34">
        <v>30379.81</v>
      </c>
      <c r="G1061" s="34">
        <f t="shared" si="33"/>
        <v>-1.0159277275982721E-2</v>
      </c>
    </row>
    <row r="1062" spans="1:7" x14ac:dyDescent="0.3">
      <c r="A1062" s="33">
        <v>43937</v>
      </c>
      <c r="B1062" s="34">
        <v>600.54999999999995</v>
      </c>
      <c r="C1062" s="34">
        <f t="shared" si="32"/>
        <v>1.3410644366041632E-2</v>
      </c>
      <c r="E1062" s="33">
        <v>43937</v>
      </c>
      <c r="F1062" s="34">
        <v>30602.61</v>
      </c>
      <c r="G1062" s="34">
        <f t="shared" si="33"/>
        <v>7.3070564051250439E-3</v>
      </c>
    </row>
    <row r="1063" spans="1:7" x14ac:dyDescent="0.3">
      <c r="A1063" s="33">
        <v>43938</v>
      </c>
      <c r="B1063" s="34">
        <v>598.1</v>
      </c>
      <c r="C1063" s="34">
        <f t="shared" si="32"/>
        <v>-4.087937949987859E-3</v>
      </c>
      <c r="E1063" s="33">
        <v>43938</v>
      </c>
      <c r="F1063" s="34">
        <v>31588.720000000001</v>
      </c>
      <c r="G1063" s="34">
        <f t="shared" si="33"/>
        <v>3.1714795402794892E-2</v>
      </c>
    </row>
    <row r="1064" spans="1:7" x14ac:dyDescent="0.3">
      <c r="A1064" s="33">
        <v>43941</v>
      </c>
      <c r="B1064" s="34">
        <v>584.75</v>
      </c>
      <c r="C1064" s="34">
        <f t="shared" si="32"/>
        <v>-2.2573558586222953E-2</v>
      </c>
      <c r="E1064" s="33">
        <v>43941</v>
      </c>
      <c r="F1064" s="34">
        <v>31648</v>
      </c>
      <c r="G1064" s="34">
        <f t="shared" si="33"/>
        <v>1.8748605988609774E-3</v>
      </c>
    </row>
    <row r="1065" spans="1:7" x14ac:dyDescent="0.3">
      <c r="A1065" s="33">
        <v>43942</v>
      </c>
      <c r="B1065" s="34">
        <v>590.79999999999995</v>
      </c>
      <c r="C1065" s="34">
        <f t="shared" si="32"/>
        <v>1.0293145192936322E-2</v>
      </c>
      <c r="E1065" s="33">
        <v>43942</v>
      </c>
      <c r="F1065" s="34">
        <v>30636.71</v>
      </c>
      <c r="G1065" s="34">
        <f t="shared" si="33"/>
        <v>-3.2475992312236544E-2</v>
      </c>
    </row>
    <row r="1066" spans="1:7" x14ac:dyDescent="0.3">
      <c r="A1066" s="33">
        <v>43943</v>
      </c>
      <c r="B1066" s="34">
        <v>587.1</v>
      </c>
      <c r="C1066" s="34">
        <f t="shared" si="32"/>
        <v>-6.2823875870843754E-3</v>
      </c>
      <c r="E1066" s="33">
        <v>43943</v>
      </c>
      <c r="F1066" s="34">
        <v>31379.55</v>
      </c>
      <c r="G1066" s="34">
        <f t="shared" si="33"/>
        <v>2.395744372982939E-2</v>
      </c>
    </row>
    <row r="1067" spans="1:7" x14ac:dyDescent="0.3">
      <c r="A1067" s="33">
        <v>43944</v>
      </c>
      <c r="B1067" s="34">
        <v>586.65</v>
      </c>
      <c r="C1067" s="34">
        <f t="shared" si="32"/>
        <v>-7.6677320050745558E-4</v>
      </c>
      <c r="E1067" s="33">
        <v>43944</v>
      </c>
      <c r="F1067" s="34">
        <v>31863.08</v>
      </c>
      <c r="G1067" s="34">
        <f t="shared" si="33"/>
        <v>1.5291565895610629E-2</v>
      </c>
    </row>
    <row r="1068" spans="1:7" x14ac:dyDescent="0.3">
      <c r="A1068" s="33">
        <v>43945</v>
      </c>
      <c r="B1068" s="34">
        <v>599.6</v>
      </c>
      <c r="C1068" s="34">
        <f t="shared" si="32"/>
        <v>2.1834376358809901E-2</v>
      </c>
      <c r="E1068" s="33">
        <v>43945</v>
      </c>
      <c r="F1068" s="34">
        <v>31327.22</v>
      </c>
      <c r="G1068" s="34">
        <f t="shared" si="33"/>
        <v>-1.6960604570316031E-2</v>
      </c>
    </row>
    <row r="1069" spans="1:7" x14ac:dyDescent="0.3">
      <c r="A1069" s="33">
        <v>43948</v>
      </c>
      <c r="B1069" s="34">
        <v>608.70000000000005</v>
      </c>
      <c r="C1069" s="34">
        <f t="shared" si="32"/>
        <v>1.5062769271436065E-2</v>
      </c>
      <c r="E1069" s="33">
        <v>43948</v>
      </c>
      <c r="F1069" s="34">
        <v>31743.08</v>
      </c>
      <c r="G1069" s="34">
        <f t="shared" si="33"/>
        <v>1.3187380644452518E-2</v>
      </c>
    </row>
    <row r="1070" spans="1:7" x14ac:dyDescent="0.3">
      <c r="A1070" s="33">
        <v>43949</v>
      </c>
      <c r="B1070" s="34">
        <v>598.45000000000005</v>
      </c>
      <c r="C1070" s="34">
        <f t="shared" si="32"/>
        <v>-1.6982556180499236E-2</v>
      </c>
      <c r="E1070" s="33">
        <v>43949</v>
      </c>
      <c r="F1070" s="34">
        <v>32114.52</v>
      </c>
      <c r="G1070" s="34">
        <f t="shared" si="33"/>
        <v>1.1633515483635464E-2</v>
      </c>
    </row>
    <row r="1071" spans="1:7" x14ac:dyDescent="0.3">
      <c r="A1071" s="33">
        <v>43950</v>
      </c>
      <c r="B1071" s="34">
        <v>596.65</v>
      </c>
      <c r="C1071" s="34">
        <f t="shared" si="32"/>
        <v>-3.012302503714908E-3</v>
      </c>
      <c r="E1071" s="33">
        <v>43950</v>
      </c>
      <c r="F1071" s="34">
        <v>32720.16</v>
      </c>
      <c r="G1071" s="34">
        <f t="shared" si="33"/>
        <v>1.8683137386863436E-2</v>
      </c>
    </row>
    <row r="1072" spans="1:7" x14ac:dyDescent="0.3">
      <c r="A1072" s="33">
        <v>43951</v>
      </c>
      <c r="B1072" s="34">
        <v>589.5</v>
      </c>
      <c r="C1072" s="34">
        <f t="shared" si="32"/>
        <v>-1.2055956838239101E-2</v>
      </c>
      <c r="E1072" s="33">
        <v>43951</v>
      </c>
      <c r="F1072" s="34">
        <v>33717.620000000003</v>
      </c>
      <c r="G1072" s="34">
        <f t="shared" si="33"/>
        <v>3.0029147687126185E-2</v>
      </c>
    </row>
    <row r="1073" spans="1:7" x14ac:dyDescent="0.3">
      <c r="A1073" s="33">
        <v>43955</v>
      </c>
      <c r="B1073" s="34">
        <v>612</v>
      </c>
      <c r="C1073" s="34">
        <f t="shared" si="32"/>
        <v>3.7457562534900415E-2</v>
      </c>
      <c r="E1073" s="33">
        <v>43955</v>
      </c>
      <c r="F1073" s="34">
        <v>31715.35</v>
      </c>
      <c r="G1073" s="34">
        <f t="shared" si="33"/>
        <v>-6.1219758572817765E-2</v>
      </c>
    </row>
    <row r="1074" spans="1:7" x14ac:dyDescent="0.3">
      <c r="A1074" s="33">
        <v>43956</v>
      </c>
      <c r="B1074" s="34">
        <v>597.04999999999995</v>
      </c>
      <c r="C1074" s="34">
        <f t="shared" si="32"/>
        <v>-2.4731420532932473E-2</v>
      </c>
      <c r="E1074" s="33">
        <v>43956</v>
      </c>
      <c r="F1074" s="34">
        <v>31453.51</v>
      </c>
      <c r="G1074" s="34">
        <f t="shared" si="33"/>
        <v>-8.2902081700843323E-3</v>
      </c>
    </row>
    <row r="1075" spans="1:7" x14ac:dyDescent="0.3">
      <c r="A1075" s="33">
        <v>43957</v>
      </c>
      <c r="B1075" s="34">
        <v>592.04999999999995</v>
      </c>
      <c r="C1075" s="34">
        <f t="shared" si="32"/>
        <v>-8.4097712024278435E-3</v>
      </c>
      <c r="E1075" s="33">
        <v>43957</v>
      </c>
      <c r="F1075" s="34">
        <v>31685.75</v>
      </c>
      <c r="G1075" s="34">
        <f t="shared" si="33"/>
        <v>7.3564703595225571E-3</v>
      </c>
    </row>
    <row r="1076" spans="1:7" x14ac:dyDescent="0.3">
      <c r="A1076" s="33">
        <v>43958</v>
      </c>
      <c r="B1076" s="34">
        <v>589.4</v>
      </c>
      <c r="C1076" s="34">
        <f t="shared" si="32"/>
        <v>-4.4860204733713945E-3</v>
      </c>
      <c r="E1076" s="33">
        <v>43958</v>
      </c>
      <c r="F1076" s="34">
        <v>31443.38</v>
      </c>
      <c r="G1076" s="34">
        <f t="shared" si="33"/>
        <v>-7.6785848579528212E-3</v>
      </c>
    </row>
    <row r="1077" spans="1:7" x14ac:dyDescent="0.3">
      <c r="A1077" s="33">
        <v>43959</v>
      </c>
      <c r="B1077" s="34">
        <v>591.85</v>
      </c>
      <c r="C1077" s="34">
        <f t="shared" si="32"/>
        <v>4.1481540963084415E-3</v>
      </c>
      <c r="E1077" s="33">
        <v>43959</v>
      </c>
      <c r="F1077" s="34">
        <v>31642.7</v>
      </c>
      <c r="G1077" s="34">
        <f t="shared" si="33"/>
        <v>6.3190061336566607E-3</v>
      </c>
    </row>
    <row r="1078" spans="1:7" x14ac:dyDescent="0.3">
      <c r="A1078" s="33">
        <v>43962</v>
      </c>
      <c r="B1078" s="34">
        <v>586.1</v>
      </c>
      <c r="C1078" s="34">
        <f t="shared" si="32"/>
        <v>-9.7628009175191044E-3</v>
      </c>
      <c r="E1078" s="33">
        <v>43962</v>
      </c>
      <c r="F1078" s="34">
        <v>31561.22</v>
      </c>
      <c r="G1078" s="34">
        <f t="shared" si="33"/>
        <v>-2.5783225198119501E-3</v>
      </c>
    </row>
    <row r="1079" spans="1:7" x14ac:dyDescent="0.3">
      <c r="A1079" s="33">
        <v>43963</v>
      </c>
      <c r="B1079" s="34">
        <v>570</v>
      </c>
      <c r="C1079" s="34">
        <f t="shared" si="32"/>
        <v>-2.7854062653787776E-2</v>
      </c>
      <c r="E1079" s="33">
        <v>43963</v>
      </c>
      <c r="F1079" s="34">
        <v>31371.119999999999</v>
      </c>
      <c r="G1079" s="34">
        <f t="shared" si="33"/>
        <v>-6.0414272916648583E-3</v>
      </c>
    </row>
    <row r="1080" spans="1:7" x14ac:dyDescent="0.3">
      <c r="A1080" s="33">
        <v>43964</v>
      </c>
      <c r="B1080" s="34">
        <v>570.20000000000005</v>
      </c>
      <c r="C1080" s="34">
        <f t="shared" si="32"/>
        <v>3.5081564997587248E-4</v>
      </c>
      <c r="E1080" s="33">
        <v>43964</v>
      </c>
      <c r="F1080" s="34">
        <v>32008.61</v>
      </c>
      <c r="G1080" s="34">
        <f t="shared" si="33"/>
        <v>2.0117204642789665E-2</v>
      </c>
    </row>
    <row r="1081" spans="1:7" x14ac:dyDescent="0.3">
      <c r="A1081" s="33">
        <v>43965</v>
      </c>
      <c r="B1081" s="34">
        <v>569.6</v>
      </c>
      <c r="C1081" s="34">
        <f t="shared" si="32"/>
        <v>-1.0528163808056748E-3</v>
      </c>
      <c r="E1081" s="33">
        <v>43965</v>
      </c>
      <c r="F1081" s="34">
        <v>31122.89</v>
      </c>
      <c r="G1081" s="34">
        <f t="shared" si="33"/>
        <v>-2.8061367786615533E-2</v>
      </c>
    </row>
    <row r="1082" spans="1:7" x14ac:dyDescent="0.3">
      <c r="A1082" s="33">
        <v>43966</v>
      </c>
      <c r="B1082" s="34">
        <v>570.20000000000005</v>
      </c>
      <c r="C1082" s="34">
        <f t="shared" si="32"/>
        <v>1.0528163808055475E-3</v>
      </c>
      <c r="E1082" s="33">
        <v>43966</v>
      </c>
      <c r="F1082" s="34">
        <v>31097.73</v>
      </c>
      <c r="G1082" s="34">
        <f t="shared" si="33"/>
        <v>-8.0873515472296696E-4</v>
      </c>
    </row>
    <row r="1083" spans="1:7" x14ac:dyDescent="0.3">
      <c r="A1083" s="33">
        <v>43969</v>
      </c>
      <c r="B1083" s="34">
        <v>600.6</v>
      </c>
      <c r="C1083" s="34">
        <f t="shared" si="32"/>
        <v>5.1941979070658229E-2</v>
      </c>
      <c r="E1083" s="33">
        <v>43969</v>
      </c>
      <c r="F1083" s="34">
        <v>30028.98</v>
      </c>
      <c r="G1083" s="34">
        <f t="shared" si="33"/>
        <v>-3.4971910783151088E-2</v>
      </c>
    </row>
    <row r="1084" spans="1:7" x14ac:dyDescent="0.3">
      <c r="A1084" s="33">
        <v>43970</v>
      </c>
      <c r="B1084" s="34">
        <v>594.79999999999995</v>
      </c>
      <c r="C1084" s="34">
        <f t="shared" si="32"/>
        <v>-9.7039409632300126E-3</v>
      </c>
      <c r="E1084" s="33">
        <v>43970</v>
      </c>
      <c r="F1084" s="34">
        <v>30196.17</v>
      </c>
      <c r="G1084" s="34">
        <f t="shared" si="33"/>
        <v>5.5521797618695743E-3</v>
      </c>
    </row>
    <row r="1085" spans="1:7" x14ac:dyDescent="0.3">
      <c r="A1085" s="33">
        <v>43971</v>
      </c>
      <c r="B1085" s="34">
        <v>620.35</v>
      </c>
      <c r="C1085" s="34">
        <f t="shared" si="32"/>
        <v>4.2058620302880677E-2</v>
      </c>
      <c r="E1085" s="33">
        <v>43971</v>
      </c>
      <c r="F1085" s="34">
        <v>30818.61</v>
      </c>
      <c r="G1085" s="34">
        <f t="shared" si="33"/>
        <v>2.0403633144587839E-2</v>
      </c>
    </row>
    <row r="1086" spans="1:7" x14ac:dyDescent="0.3">
      <c r="A1086" s="33">
        <v>43972</v>
      </c>
      <c r="B1086" s="34">
        <v>616.45000000000005</v>
      </c>
      <c r="C1086" s="34">
        <f t="shared" si="32"/>
        <v>-6.3066185743187288E-3</v>
      </c>
      <c r="E1086" s="33">
        <v>43972</v>
      </c>
      <c r="F1086" s="34">
        <v>30932.9</v>
      </c>
      <c r="G1086" s="34">
        <f t="shared" si="33"/>
        <v>3.7016141143624164E-3</v>
      </c>
    </row>
    <row r="1087" spans="1:7" x14ac:dyDescent="0.3">
      <c r="A1087" s="33">
        <v>43973</v>
      </c>
      <c r="B1087" s="34">
        <v>639</v>
      </c>
      <c r="C1087" s="34">
        <f t="shared" si="32"/>
        <v>3.5927238062973037E-2</v>
      </c>
      <c r="E1087" s="33">
        <v>43973</v>
      </c>
      <c r="F1087" s="34">
        <v>30672.59</v>
      </c>
      <c r="G1087" s="34">
        <f t="shared" si="33"/>
        <v>-8.4509205018697912E-3</v>
      </c>
    </row>
    <row r="1088" spans="1:7" x14ac:dyDescent="0.3">
      <c r="A1088" s="33">
        <v>43977</v>
      </c>
      <c r="B1088" s="34">
        <v>627.85</v>
      </c>
      <c r="C1088" s="34">
        <f t="shared" si="32"/>
        <v>-1.7603169942561874E-2</v>
      </c>
      <c r="E1088" s="33">
        <v>43977</v>
      </c>
      <c r="F1088" s="34">
        <v>30609.3</v>
      </c>
      <c r="G1088" s="34">
        <f t="shared" si="33"/>
        <v>-2.0655375512062014E-3</v>
      </c>
    </row>
    <row r="1089" spans="1:7" x14ac:dyDescent="0.3">
      <c r="A1089" s="33">
        <v>43978</v>
      </c>
      <c r="B1089" s="34">
        <v>632.9</v>
      </c>
      <c r="C1089" s="34">
        <f t="shared" si="32"/>
        <v>8.0111473462867889E-3</v>
      </c>
      <c r="E1089" s="33">
        <v>43978</v>
      </c>
      <c r="F1089" s="34">
        <v>31605.22</v>
      </c>
      <c r="G1089" s="34">
        <f t="shared" si="33"/>
        <v>3.2018412471781339E-2</v>
      </c>
    </row>
    <row r="1090" spans="1:7" x14ac:dyDescent="0.3">
      <c r="A1090" s="33">
        <v>43979</v>
      </c>
      <c r="B1090" s="34">
        <v>628.29999999999995</v>
      </c>
      <c r="C1090" s="34">
        <f t="shared" si="32"/>
        <v>-7.2946723723583753E-3</v>
      </c>
      <c r="E1090" s="33">
        <v>43979</v>
      </c>
      <c r="F1090" s="34">
        <v>32200.59</v>
      </c>
      <c r="G1090" s="34">
        <f t="shared" si="33"/>
        <v>1.8662478539925975E-2</v>
      </c>
    </row>
    <row r="1091" spans="1:7" x14ac:dyDescent="0.3">
      <c r="A1091" s="33">
        <v>43980</v>
      </c>
      <c r="B1091" s="34">
        <v>647.6</v>
      </c>
      <c r="C1091" s="34">
        <f t="shared" si="32"/>
        <v>3.0255462394578794E-2</v>
      </c>
      <c r="E1091" s="33">
        <v>43980</v>
      </c>
      <c r="F1091" s="34">
        <v>32424.1</v>
      </c>
      <c r="G1091" s="34">
        <f t="shared" si="33"/>
        <v>6.9171980925947091E-3</v>
      </c>
    </row>
    <row r="1092" spans="1:7" x14ac:dyDescent="0.3">
      <c r="A1092" s="33">
        <v>43983</v>
      </c>
      <c r="B1092" s="34">
        <v>642.04999999999995</v>
      </c>
      <c r="C1092" s="34">
        <f t="shared" si="32"/>
        <v>-8.6070395261971903E-3</v>
      </c>
      <c r="E1092" s="33">
        <v>43983</v>
      </c>
      <c r="F1092" s="34">
        <v>33303.519999999997</v>
      </c>
      <c r="G1092" s="34">
        <f t="shared" si="33"/>
        <v>2.6761123649189374E-2</v>
      </c>
    </row>
    <row r="1093" spans="1:7" x14ac:dyDescent="0.3">
      <c r="A1093" s="33">
        <v>43984</v>
      </c>
      <c r="B1093" s="34">
        <v>637.45000000000005</v>
      </c>
      <c r="C1093" s="34">
        <f t="shared" si="32"/>
        <v>-7.1903396931515713E-3</v>
      </c>
      <c r="E1093" s="33">
        <v>43984</v>
      </c>
      <c r="F1093" s="34">
        <v>33825.53</v>
      </c>
      <c r="G1093" s="34">
        <f t="shared" si="33"/>
        <v>1.5552745712408229E-2</v>
      </c>
    </row>
    <row r="1094" spans="1:7" x14ac:dyDescent="0.3">
      <c r="A1094" s="33">
        <v>43985</v>
      </c>
      <c r="B1094" s="34">
        <v>641.45000000000005</v>
      </c>
      <c r="C1094" s="34">
        <f t="shared" si="32"/>
        <v>6.2553961112179644E-3</v>
      </c>
      <c r="E1094" s="33">
        <v>43985</v>
      </c>
      <c r="F1094" s="34">
        <v>34109.54</v>
      </c>
      <c r="G1094" s="34">
        <f t="shared" si="33"/>
        <v>8.3612677402671188E-3</v>
      </c>
    </row>
    <row r="1095" spans="1:7" x14ac:dyDescent="0.3">
      <c r="A1095" s="33">
        <v>43986</v>
      </c>
      <c r="B1095" s="34">
        <v>660.9</v>
      </c>
      <c r="C1095" s="34">
        <f t="shared" ref="C1095:C1158" si="34">LN(B1095/B1094)</f>
        <v>2.9871303781057765E-2</v>
      </c>
      <c r="E1095" s="33">
        <v>43986</v>
      </c>
      <c r="F1095" s="34">
        <v>33980.699999999997</v>
      </c>
      <c r="G1095" s="34">
        <f t="shared" ref="G1095:G1158" si="35">LN(F1095/F1094)</f>
        <v>-3.7843941735741676E-3</v>
      </c>
    </row>
    <row r="1096" spans="1:7" x14ac:dyDescent="0.3">
      <c r="A1096" s="33">
        <v>43987</v>
      </c>
      <c r="B1096" s="34">
        <v>651.1</v>
      </c>
      <c r="C1096" s="34">
        <f t="shared" si="34"/>
        <v>-1.4939302233590702E-2</v>
      </c>
      <c r="E1096" s="33">
        <v>43987</v>
      </c>
      <c r="F1096" s="34">
        <v>34287.24</v>
      </c>
      <c r="G1096" s="34">
        <f t="shared" si="35"/>
        <v>8.9805569118318121E-3</v>
      </c>
    </row>
    <row r="1097" spans="1:7" x14ac:dyDescent="0.3">
      <c r="A1097" s="33">
        <v>43990</v>
      </c>
      <c r="B1097" s="34">
        <v>635.25</v>
      </c>
      <c r="C1097" s="34">
        <f t="shared" si="34"/>
        <v>-2.4644618042543007E-2</v>
      </c>
      <c r="E1097" s="33">
        <v>43990</v>
      </c>
      <c r="F1097" s="34">
        <v>34370.58</v>
      </c>
      <c r="G1097" s="34">
        <f t="shared" si="35"/>
        <v>2.4276926046205927E-3</v>
      </c>
    </row>
    <row r="1098" spans="1:7" x14ac:dyDescent="0.3">
      <c r="A1098" s="33">
        <v>43991</v>
      </c>
      <c r="B1098" s="34">
        <v>639.9</v>
      </c>
      <c r="C1098" s="34">
        <f t="shared" si="34"/>
        <v>7.2932919451411428E-3</v>
      </c>
      <c r="E1098" s="33">
        <v>43991</v>
      </c>
      <c r="F1098" s="34">
        <v>33956.69</v>
      </c>
      <c r="G1098" s="34">
        <f t="shared" si="35"/>
        <v>-1.2115076817284076E-2</v>
      </c>
    </row>
    <row r="1099" spans="1:7" x14ac:dyDescent="0.3">
      <c r="A1099" s="33">
        <v>43992</v>
      </c>
      <c r="B1099" s="34">
        <v>642.5</v>
      </c>
      <c r="C1099" s="34">
        <f t="shared" si="34"/>
        <v>4.0549026239602298E-3</v>
      </c>
      <c r="E1099" s="33">
        <v>43992</v>
      </c>
      <c r="F1099" s="34">
        <v>34247.050000000003</v>
      </c>
      <c r="G1099" s="34">
        <f t="shared" si="35"/>
        <v>8.514540527933389E-3</v>
      </c>
    </row>
    <row r="1100" spans="1:7" x14ac:dyDescent="0.3">
      <c r="A1100" s="33">
        <v>43993</v>
      </c>
      <c r="B1100" s="34">
        <v>634.95000000000005</v>
      </c>
      <c r="C1100" s="34">
        <f t="shared" si="34"/>
        <v>-1.1820561134332361E-2</v>
      </c>
      <c r="E1100" s="33">
        <v>43993</v>
      </c>
      <c r="F1100" s="34">
        <v>33538.370000000003</v>
      </c>
      <c r="G1100" s="34">
        <f t="shared" si="35"/>
        <v>-2.0910273085877312E-2</v>
      </c>
    </row>
    <row r="1101" spans="1:7" x14ac:dyDescent="0.3">
      <c r="A1101" s="33">
        <v>43994</v>
      </c>
      <c r="B1101" s="34">
        <v>643.65</v>
      </c>
      <c r="C1101" s="34">
        <f t="shared" si="34"/>
        <v>1.3608844470600946E-2</v>
      </c>
      <c r="E1101" s="33">
        <v>43994</v>
      </c>
      <c r="F1101" s="34">
        <v>33780.89</v>
      </c>
      <c r="G1101" s="34">
        <f t="shared" si="35"/>
        <v>7.2051014574627831E-3</v>
      </c>
    </row>
    <row r="1102" spans="1:7" x14ac:dyDescent="0.3">
      <c r="A1102" s="33">
        <v>43997</v>
      </c>
      <c r="B1102" s="34">
        <v>643.35</v>
      </c>
      <c r="C1102" s="34">
        <f t="shared" si="34"/>
        <v>-4.6620047464418707E-4</v>
      </c>
      <c r="E1102" s="33">
        <v>43997</v>
      </c>
      <c r="F1102" s="34">
        <v>33228.800000000003</v>
      </c>
      <c r="G1102" s="34">
        <f t="shared" si="35"/>
        <v>-1.6478288216022555E-2</v>
      </c>
    </row>
    <row r="1103" spans="1:7" x14ac:dyDescent="0.3">
      <c r="A1103" s="33">
        <v>43998</v>
      </c>
      <c r="B1103" s="34">
        <v>637.85</v>
      </c>
      <c r="C1103" s="34">
        <f t="shared" si="34"/>
        <v>-8.5857536467001047E-3</v>
      </c>
      <c r="E1103" s="33">
        <v>43998</v>
      </c>
      <c r="F1103" s="34">
        <v>33605.22</v>
      </c>
      <c r="G1103" s="34">
        <f t="shared" si="35"/>
        <v>1.1264442277929389E-2</v>
      </c>
    </row>
    <row r="1104" spans="1:7" x14ac:dyDescent="0.3">
      <c r="A1104" s="33">
        <v>43999</v>
      </c>
      <c r="B1104" s="34">
        <v>640.5</v>
      </c>
      <c r="C1104" s="34">
        <f t="shared" si="34"/>
        <v>4.1459753524899457E-3</v>
      </c>
      <c r="E1104" s="33">
        <v>43999</v>
      </c>
      <c r="F1104" s="34">
        <v>33507.919999999998</v>
      </c>
      <c r="G1104" s="34">
        <f t="shared" si="35"/>
        <v>-2.8995832461863524E-3</v>
      </c>
    </row>
    <row r="1105" spans="1:7" x14ac:dyDescent="0.3">
      <c r="A1105" s="33">
        <v>44000</v>
      </c>
      <c r="B1105" s="34">
        <v>641.54999999999995</v>
      </c>
      <c r="C1105" s="34">
        <f t="shared" si="34"/>
        <v>1.6380020042383698E-3</v>
      </c>
      <c r="E1105" s="33">
        <v>44000</v>
      </c>
      <c r="F1105" s="34">
        <v>34208.050000000003</v>
      </c>
      <c r="G1105" s="34">
        <f t="shared" si="35"/>
        <v>2.0679167688806791E-2</v>
      </c>
    </row>
    <row r="1106" spans="1:7" x14ac:dyDescent="0.3">
      <c r="A1106" s="33">
        <v>44001</v>
      </c>
      <c r="B1106" s="34">
        <v>637.1</v>
      </c>
      <c r="C1106" s="34">
        <f t="shared" si="34"/>
        <v>-6.9604942185847425E-3</v>
      </c>
      <c r="E1106" s="33">
        <v>44001</v>
      </c>
      <c r="F1106" s="34">
        <v>34731.730000000003</v>
      </c>
      <c r="G1106" s="34">
        <f t="shared" si="35"/>
        <v>1.5192681869322574E-2</v>
      </c>
    </row>
    <row r="1107" spans="1:7" x14ac:dyDescent="0.3">
      <c r="A1107" s="33">
        <v>44004</v>
      </c>
      <c r="B1107" s="34">
        <v>655.8</v>
      </c>
      <c r="C1107" s="34">
        <f t="shared" si="34"/>
        <v>2.8929235288105187E-2</v>
      </c>
      <c r="E1107" s="33">
        <v>44004</v>
      </c>
      <c r="F1107" s="34">
        <v>34911.32</v>
      </c>
      <c r="G1107" s="34">
        <f t="shared" si="35"/>
        <v>5.1574535601446279E-3</v>
      </c>
    </row>
    <row r="1108" spans="1:7" x14ac:dyDescent="0.3">
      <c r="A1108" s="33">
        <v>44005</v>
      </c>
      <c r="B1108" s="34">
        <v>659.7</v>
      </c>
      <c r="C1108" s="34">
        <f t="shared" si="34"/>
        <v>5.9293218182773881E-3</v>
      </c>
      <c r="E1108" s="33">
        <v>44005</v>
      </c>
      <c r="F1108" s="34">
        <v>35430.43</v>
      </c>
      <c r="G1108" s="34">
        <f t="shared" si="35"/>
        <v>1.475992349369506E-2</v>
      </c>
    </row>
    <row r="1109" spans="1:7" x14ac:dyDescent="0.3">
      <c r="A1109" s="33">
        <v>44006</v>
      </c>
      <c r="B1109" s="34">
        <v>631.65</v>
      </c>
      <c r="C1109" s="34">
        <f t="shared" si="34"/>
        <v>-4.3449742952778793E-2</v>
      </c>
      <c r="E1109" s="33">
        <v>44006</v>
      </c>
      <c r="F1109" s="34">
        <v>34868.980000000003</v>
      </c>
      <c r="G1109" s="34">
        <f t="shared" si="35"/>
        <v>-1.5973446656993396E-2</v>
      </c>
    </row>
    <row r="1110" spans="1:7" x14ac:dyDescent="0.3">
      <c r="A1110" s="33">
        <v>44007</v>
      </c>
      <c r="B1110" s="34">
        <v>635.1</v>
      </c>
      <c r="C1110" s="34">
        <f t="shared" si="34"/>
        <v>5.4470235328826682E-3</v>
      </c>
      <c r="E1110" s="33">
        <v>44007</v>
      </c>
      <c r="F1110" s="34">
        <v>34842.1</v>
      </c>
      <c r="G1110" s="34">
        <f t="shared" si="35"/>
        <v>-7.7118304097955909E-4</v>
      </c>
    </row>
    <row r="1111" spans="1:7" x14ac:dyDescent="0.3">
      <c r="A1111" s="33">
        <v>44008</v>
      </c>
      <c r="B1111" s="34">
        <v>634.70000000000005</v>
      </c>
      <c r="C1111" s="34">
        <f t="shared" si="34"/>
        <v>-6.3002049650474597E-4</v>
      </c>
      <c r="E1111" s="33">
        <v>44008</v>
      </c>
      <c r="F1111" s="34">
        <v>35171.269999999997</v>
      </c>
      <c r="G1111" s="34">
        <f t="shared" si="35"/>
        <v>9.4031304420711097E-3</v>
      </c>
    </row>
    <row r="1112" spans="1:7" x14ac:dyDescent="0.3">
      <c r="A1112" s="33">
        <v>44011</v>
      </c>
      <c r="B1112" s="34">
        <v>645.04999999999995</v>
      </c>
      <c r="C1112" s="34">
        <f t="shared" si="34"/>
        <v>1.6175386858721077E-2</v>
      </c>
      <c r="E1112" s="33">
        <v>44011</v>
      </c>
      <c r="F1112" s="34">
        <v>34961.519999999997</v>
      </c>
      <c r="G1112" s="34">
        <f t="shared" si="35"/>
        <v>-5.9815280521735787E-3</v>
      </c>
    </row>
    <row r="1113" spans="1:7" x14ac:dyDescent="0.3">
      <c r="A1113" s="33">
        <v>44012</v>
      </c>
      <c r="B1113" s="34">
        <v>640.04999999999995</v>
      </c>
      <c r="C1113" s="34">
        <f t="shared" si="34"/>
        <v>-7.781534869026884E-3</v>
      </c>
      <c r="E1113" s="33">
        <v>44012</v>
      </c>
      <c r="F1113" s="34">
        <v>34915.800000000003</v>
      </c>
      <c r="G1113" s="34">
        <f t="shared" si="35"/>
        <v>-1.3085792793473586E-3</v>
      </c>
    </row>
    <row r="1114" spans="1:7" x14ac:dyDescent="0.3">
      <c r="A1114" s="33">
        <v>44013</v>
      </c>
      <c r="B1114" s="34">
        <v>627.1</v>
      </c>
      <c r="C1114" s="34">
        <f t="shared" si="34"/>
        <v>-2.0440280753143445E-2</v>
      </c>
      <c r="E1114" s="33">
        <v>44013</v>
      </c>
      <c r="F1114" s="34">
        <v>35414.449999999997</v>
      </c>
      <c r="G1114" s="34">
        <f t="shared" si="35"/>
        <v>1.4180480118692407E-2</v>
      </c>
    </row>
    <row r="1115" spans="1:7" x14ac:dyDescent="0.3">
      <c r="A1115" s="33">
        <v>44014</v>
      </c>
      <c r="B1115" s="34">
        <v>645.79999999999995</v>
      </c>
      <c r="C1115" s="34">
        <f t="shared" si="34"/>
        <v>2.9383840775199625E-2</v>
      </c>
      <c r="E1115" s="33">
        <v>44014</v>
      </c>
      <c r="F1115" s="34">
        <v>35843.699999999997</v>
      </c>
      <c r="G1115" s="34">
        <f t="shared" si="35"/>
        <v>1.2047890442943774E-2</v>
      </c>
    </row>
    <row r="1116" spans="1:7" x14ac:dyDescent="0.3">
      <c r="A1116" s="33">
        <v>44015</v>
      </c>
      <c r="B1116" s="34">
        <v>638.85</v>
      </c>
      <c r="C1116" s="34">
        <f t="shared" si="34"/>
        <v>-1.0820173286842519E-2</v>
      </c>
      <c r="E1116" s="33">
        <v>44015</v>
      </c>
      <c r="F1116" s="34">
        <v>36021.42</v>
      </c>
      <c r="G1116" s="34">
        <f t="shared" si="35"/>
        <v>4.9459421284527936E-3</v>
      </c>
    </row>
    <row r="1117" spans="1:7" x14ac:dyDescent="0.3">
      <c r="A1117" s="33">
        <v>44018</v>
      </c>
      <c r="B1117" s="34">
        <v>634.6</v>
      </c>
      <c r="C1117" s="34">
        <f t="shared" si="34"/>
        <v>-6.6748058882370046E-3</v>
      </c>
      <c r="E1117" s="33">
        <v>44018</v>
      </c>
      <c r="F1117" s="34">
        <v>36487.279999999999</v>
      </c>
      <c r="G1117" s="34">
        <f t="shared" si="35"/>
        <v>1.2849945186117621E-2</v>
      </c>
    </row>
    <row r="1118" spans="1:7" x14ac:dyDescent="0.3">
      <c r="A1118" s="33">
        <v>44019</v>
      </c>
      <c r="B1118" s="34">
        <v>636.4</v>
      </c>
      <c r="C1118" s="34">
        <f t="shared" si="34"/>
        <v>2.8324173145366149E-3</v>
      </c>
      <c r="E1118" s="33">
        <v>44019</v>
      </c>
      <c r="F1118" s="34">
        <v>36674.519999999997</v>
      </c>
      <c r="G1118" s="34">
        <f t="shared" si="35"/>
        <v>5.1185293089259874E-3</v>
      </c>
    </row>
    <row r="1119" spans="1:7" x14ac:dyDescent="0.3">
      <c r="A1119" s="33">
        <v>44020</v>
      </c>
      <c r="B1119" s="34">
        <v>634.45000000000005</v>
      </c>
      <c r="C1119" s="34">
        <f t="shared" si="34"/>
        <v>-3.0688146207081646E-3</v>
      </c>
      <c r="E1119" s="33">
        <v>44020</v>
      </c>
      <c r="F1119" s="34">
        <v>36329.01</v>
      </c>
      <c r="G1119" s="34">
        <f t="shared" si="35"/>
        <v>-9.4656403534612212E-3</v>
      </c>
    </row>
    <row r="1120" spans="1:7" x14ac:dyDescent="0.3">
      <c r="A1120" s="33">
        <v>44021</v>
      </c>
      <c r="B1120" s="34">
        <v>638.79999999999995</v>
      </c>
      <c r="C1120" s="34">
        <f t="shared" si="34"/>
        <v>6.8329344979337261E-3</v>
      </c>
      <c r="E1120" s="33">
        <v>44021</v>
      </c>
      <c r="F1120" s="34">
        <v>36737.69</v>
      </c>
      <c r="G1120" s="34">
        <f t="shared" si="35"/>
        <v>1.118660790343806E-2</v>
      </c>
    </row>
    <row r="1121" spans="1:7" x14ac:dyDescent="0.3">
      <c r="A1121" s="33">
        <v>44022</v>
      </c>
      <c r="B1121" s="34">
        <v>638.65</v>
      </c>
      <c r="C1121" s="34">
        <f t="shared" si="34"/>
        <v>-2.3484285207150623E-4</v>
      </c>
      <c r="E1121" s="33">
        <v>44022</v>
      </c>
      <c r="F1121" s="34">
        <v>36594.33</v>
      </c>
      <c r="G1121" s="34">
        <f t="shared" si="35"/>
        <v>-3.9098931853181742E-3</v>
      </c>
    </row>
    <row r="1122" spans="1:7" x14ac:dyDescent="0.3">
      <c r="A1122" s="33">
        <v>44025</v>
      </c>
      <c r="B1122" s="34">
        <v>638.15</v>
      </c>
      <c r="C1122" s="34">
        <f t="shared" si="34"/>
        <v>-7.8320806008610501E-4</v>
      </c>
      <c r="E1122" s="33">
        <v>44025</v>
      </c>
      <c r="F1122" s="34">
        <v>36693.69</v>
      </c>
      <c r="G1122" s="34">
        <f t="shared" si="35"/>
        <v>2.7114952996755764E-3</v>
      </c>
    </row>
    <row r="1123" spans="1:7" x14ac:dyDescent="0.3">
      <c r="A1123" s="33">
        <v>44026</v>
      </c>
      <c r="B1123" s="34">
        <v>632.20000000000005</v>
      </c>
      <c r="C1123" s="34">
        <f t="shared" si="34"/>
        <v>-9.3675656471823524E-3</v>
      </c>
      <c r="E1123" s="33">
        <v>44026</v>
      </c>
      <c r="F1123" s="34">
        <v>36033.06</v>
      </c>
      <c r="G1123" s="34">
        <f t="shared" si="35"/>
        <v>-1.8167955293806812E-2</v>
      </c>
    </row>
    <row r="1124" spans="1:7" x14ac:dyDescent="0.3">
      <c r="A1124" s="33">
        <v>44027</v>
      </c>
      <c r="B1124" s="34">
        <v>638.15</v>
      </c>
      <c r="C1124" s="34">
        <f t="shared" si="34"/>
        <v>9.3675656471823437E-3</v>
      </c>
      <c r="E1124" s="33">
        <v>44027</v>
      </c>
      <c r="F1124" s="34">
        <v>36051.81</v>
      </c>
      <c r="G1124" s="34">
        <f t="shared" si="35"/>
        <v>5.2022013559465557E-4</v>
      </c>
    </row>
    <row r="1125" spans="1:7" x14ac:dyDescent="0.3">
      <c r="A1125" s="33">
        <v>44028</v>
      </c>
      <c r="B1125" s="34">
        <v>674.5</v>
      </c>
      <c r="C1125" s="34">
        <f t="shared" si="34"/>
        <v>5.539831021911093E-2</v>
      </c>
      <c r="E1125" s="33">
        <v>44028</v>
      </c>
      <c r="F1125" s="34">
        <v>36471.68</v>
      </c>
      <c r="G1125" s="34">
        <f t="shared" si="35"/>
        <v>1.1578998503775348E-2</v>
      </c>
    </row>
    <row r="1126" spans="1:7" x14ac:dyDescent="0.3">
      <c r="A1126" s="33">
        <v>44029</v>
      </c>
      <c r="B1126" s="34">
        <v>689</v>
      </c>
      <c r="C1126" s="34">
        <f t="shared" si="34"/>
        <v>2.1269595365847948E-2</v>
      </c>
      <c r="E1126" s="33">
        <v>44029</v>
      </c>
      <c r="F1126" s="34">
        <v>37020.14</v>
      </c>
      <c r="G1126" s="34">
        <f t="shared" si="35"/>
        <v>1.4926019859066312E-2</v>
      </c>
    </row>
    <row r="1127" spans="1:7" x14ac:dyDescent="0.3">
      <c r="A1127" s="33">
        <v>44032</v>
      </c>
      <c r="B1127" s="34">
        <v>674.3</v>
      </c>
      <c r="C1127" s="34">
        <f t="shared" si="34"/>
        <v>-2.1566155273122427E-2</v>
      </c>
      <c r="E1127" s="33">
        <v>44032</v>
      </c>
      <c r="F1127" s="34">
        <v>37418.99</v>
      </c>
      <c r="G1127" s="34">
        <f t="shared" si="35"/>
        <v>1.0716240689931536E-2</v>
      </c>
    </row>
    <row r="1128" spans="1:7" x14ac:dyDescent="0.3">
      <c r="A1128" s="33">
        <v>44033</v>
      </c>
      <c r="B1128" s="34">
        <v>661.4</v>
      </c>
      <c r="C1128" s="34">
        <f t="shared" si="34"/>
        <v>-1.931631519284379E-2</v>
      </c>
      <c r="E1128" s="33">
        <v>44033</v>
      </c>
      <c r="F1128" s="34">
        <v>37930.33</v>
      </c>
      <c r="G1128" s="34">
        <f t="shared" si="35"/>
        <v>1.3572726332507473E-2</v>
      </c>
    </row>
    <row r="1129" spans="1:7" x14ac:dyDescent="0.3">
      <c r="A1129" s="33">
        <v>44034</v>
      </c>
      <c r="B1129" s="34">
        <v>661.8</v>
      </c>
      <c r="C1129" s="34">
        <f t="shared" si="34"/>
        <v>6.0459493981925103E-4</v>
      </c>
      <c r="E1129" s="33">
        <v>44034</v>
      </c>
      <c r="F1129" s="34">
        <v>37871.519999999997</v>
      </c>
      <c r="G1129" s="34">
        <f t="shared" si="35"/>
        <v>-1.5516774801606122E-3</v>
      </c>
    </row>
    <row r="1130" spans="1:7" x14ac:dyDescent="0.3">
      <c r="A1130" s="33">
        <v>44035</v>
      </c>
      <c r="B1130" s="34">
        <v>671.55</v>
      </c>
      <c r="C1130" s="34">
        <f t="shared" si="34"/>
        <v>1.4625077867572538E-2</v>
      </c>
      <c r="E1130" s="33">
        <v>44035</v>
      </c>
      <c r="F1130" s="34">
        <v>38140.47</v>
      </c>
      <c r="G1130" s="34">
        <f t="shared" si="35"/>
        <v>7.0765446967169148E-3</v>
      </c>
    </row>
    <row r="1131" spans="1:7" x14ac:dyDescent="0.3">
      <c r="A1131" s="33">
        <v>44036</v>
      </c>
      <c r="B1131" s="34">
        <v>665.5</v>
      </c>
      <c r="C1131" s="34">
        <f t="shared" si="34"/>
        <v>-9.0498355199178145E-3</v>
      </c>
      <c r="E1131" s="33">
        <v>44036</v>
      </c>
      <c r="F1131" s="34">
        <v>38128.9</v>
      </c>
      <c r="G1131" s="34">
        <f t="shared" si="35"/>
        <v>-3.0339833903835991E-4</v>
      </c>
    </row>
    <row r="1132" spans="1:7" x14ac:dyDescent="0.3">
      <c r="A1132" s="33">
        <v>44039</v>
      </c>
      <c r="B1132" s="34">
        <v>652.65</v>
      </c>
      <c r="C1132" s="34">
        <f t="shared" si="34"/>
        <v>-1.9497640000367539E-2</v>
      </c>
      <c r="E1132" s="33">
        <v>44039</v>
      </c>
      <c r="F1132" s="34">
        <v>37934.730000000003</v>
      </c>
      <c r="G1132" s="34">
        <f t="shared" si="35"/>
        <v>-5.1054734507711029E-3</v>
      </c>
    </row>
    <row r="1133" spans="1:7" x14ac:dyDescent="0.3">
      <c r="A1133" s="33">
        <v>44040</v>
      </c>
      <c r="B1133" s="34">
        <v>662.7</v>
      </c>
      <c r="C1133" s="34">
        <f t="shared" si="34"/>
        <v>1.5281401259382484E-2</v>
      </c>
      <c r="E1133" s="33">
        <v>44040</v>
      </c>
      <c r="F1133" s="34">
        <v>38492.949999999997</v>
      </c>
      <c r="G1133" s="34">
        <f t="shared" si="35"/>
        <v>1.4608056315691422E-2</v>
      </c>
    </row>
    <row r="1134" spans="1:7" x14ac:dyDescent="0.3">
      <c r="A1134" s="33">
        <v>44041</v>
      </c>
      <c r="B1134" s="34">
        <v>681.25</v>
      </c>
      <c r="C1134" s="34">
        <f t="shared" si="34"/>
        <v>2.7606946883272608E-2</v>
      </c>
      <c r="E1134" s="33">
        <v>44041</v>
      </c>
      <c r="F1134" s="34">
        <v>38071.129999999997</v>
      </c>
      <c r="G1134" s="34">
        <f t="shared" si="35"/>
        <v>-1.1018855524345006E-2</v>
      </c>
    </row>
    <row r="1135" spans="1:7" x14ac:dyDescent="0.3">
      <c r="A1135" s="33">
        <v>44042</v>
      </c>
      <c r="B1135" s="34">
        <v>685.95</v>
      </c>
      <c r="C1135" s="34">
        <f t="shared" si="34"/>
        <v>6.8753927947200495E-3</v>
      </c>
      <c r="E1135" s="33">
        <v>44042</v>
      </c>
      <c r="F1135" s="34">
        <v>37736.07</v>
      </c>
      <c r="G1135" s="34">
        <f t="shared" si="35"/>
        <v>-8.8398511455130193E-3</v>
      </c>
    </row>
    <row r="1136" spans="1:7" x14ac:dyDescent="0.3">
      <c r="A1136" s="33">
        <v>44043</v>
      </c>
      <c r="B1136" s="34">
        <v>720.3</v>
      </c>
      <c r="C1136" s="34">
        <f t="shared" si="34"/>
        <v>4.8863053123143207E-2</v>
      </c>
      <c r="E1136" s="33">
        <v>44043</v>
      </c>
      <c r="F1136" s="34">
        <v>37606.89</v>
      </c>
      <c r="G1136" s="34">
        <f t="shared" si="35"/>
        <v>-3.4291226833759502E-3</v>
      </c>
    </row>
    <row r="1137" spans="1:7" x14ac:dyDescent="0.3">
      <c r="A1137" s="33">
        <v>44046</v>
      </c>
      <c r="B1137" s="34">
        <v>710.55</v>
      </c>
      <c r="C1137" s="34">
        <f t="shared" si="34"/>
        <v>-1.3628473857446761E-2</v>
      </c>
      <c r="E1137" s="33">
        <v>44046</v>
      </c>
      <c r="F1137" s="34">
        <v>36939.599999999999</v>
      </c>
      <c r="G1137" s="34">
        <f t="shared" si="35"/>
        <v>-1.7903131947307714E-2</v>
      </c>
    </row>
    <row r="1138" spans="1:7" x14ac:dyDescent="0.3">
      <c r="A1138" s="33">
        <v>44047</v>
      </c>
      <c r="B1138" s="34">
        <v>713.85</v>
      </c>
      <c r="C1138" s="34">
        <f t="shared" si="34"/>
        <v>4.6335381973587469E-3</v>
      </c>
      <c r="E1138" s="33">
        <v>44047</v>
      </c>
      <c r="F1138" s="34">
        <v>37687.910000000003</v>
      </c>
      <c r="G1138" s="34">
        <f t="shared" si="35"/>
        <v>2.0055207024732919E-2</v>
      </c>
    </row>
    <row r="1139" spans="1:7" x14ac:dyDescent="0.3">
      <c r="A1139" s="33">
        <v>44048</v>
      </c>
      <c r="B1139" s="34">
        <v>722.55</v>
      </c>
      <c r="C1139" s="34">
        <f t="shared" si="34"/>
        <v>1.2113765509110197E-2</v>
      </c>
      <c r="E1139" s="33">
        <v>44048</v>
      </c>
      <c r="F1139" s="34">
        <v>37663.33</v>
      </c>
      <c r="G1139" s="34">
        <f t="shared" si="35"/>
        <v>-6.52411317235245E-4</v>
      </c>
    </row>
    <row r="1140" spans="1:7" x14ac:dyDescent="0.3">
      <c r="A1140" s="33">
        <v>44049</v>
      </c>
      <c r="B1140" s="34">
        <v>731.7</v>
      </c>
      <c r="C1140" s="34">
        <f t="shared" si="34"/>
        <v>1.2583972145644995E-2</v>
      </c>
      <c r="E1140" s="33">
        <v>44049</v>
      </c>
      <c r="F1140" s="34">
        <v>38025.449999999997</v>
      </c>
      <c r="G1140" s="34">
        <f t="shared" si="35"/>
        <v>9.5687303452240934E-3</v>
      </c>
    </row>
    <row r="1141" spans="1:7" x14ac:dyDescent="0.3">
      <c r="A1141" s="33">
        <v>44050</v>
      </c>
      <c r="B1141" s="34">
        <v>728.6</v>
      </c>
      <c r="C1141" s="34">
        <f t="shared" si="34"/>
        <v>-4.2457093155209222E-3</v>
      </c>
      <c r="E1141" s="33">
        <v>44050</v>
      </c>
      <c r="F1141" s="34">
        <v>38040.57</v>
      </c>
      <c r="G1141" s="34">
        <f t="shared" si="35"/>
        <v>3.9754939719831945E-4</v>
      </c>
    </row>
    <row r="1142" spans="1:7" x14ac:dyDescent="0.3">
      <c r="A1142" s="33">
        <v>44053</v>
      </c>
      <c r="B1142" s="34">
        <v>795.65</v>
      </c>
      <c r="C1142" s="34">
        <f t="shared" si="34"/>
        <v>8.8034506081729302E-2</v>
      </c>
      <c r="E1142" s="33">
        <v>44053</v>
      </c>
      <c r="F1142" s="34">
        <v>38182.080000000002</v>
      </c>
      <c r="G1142" s="34">
        <f t="shared" si="35"/>
        <v>3.713073806334065E-3</v>
      </c>
    </row>
    <row r="1143" spans="1:7" x14ac:dyDescent="0.3">
      <c r="A1143" s="33">
        <v>44054</v>
      </c>
      <c r="B1143" s="34">
        <v>778.7</v>
      </c>
      <c r="C1143" s="34">
        <f t="shared" si="34"/>
        <v>-2.1533528073252414E-2</v>
      </c>
      <c r="E1143" s="33">
        <v>44054</v>
      </c>
      <c r="F1143" s="34">
        <v>38407.01</v>
      </c>
      <c r="G1143" s="34">
        <f t="shared" si="35"/>
        <v>5.8736994180199741E-3</v>
      </c>
    </row>
    <row r="1144" spans="1:7" x14ac:dyDescent="0.3">
      <c r="A1144" s="33">
        <v>44055</v>
      </c>
      <c r="B1144" s="34">
        <v>762.2</v>
      </c>
      <c r="C1144" s="34">
        <f t="shared" si="34"/>
        <v>-2.141687414318056E-2</v>
      </c>
      <c r="E1144" s="33">
        <v>44055</v>
      </c>
      <c r="F1144" s="34">
        <v>38369.629999999997</v>
      </c>
      <c r="G1144" s="34">
        <f t="shared" si="35"/>
        <v>-9.737337542647384E-4</v>
      </c>
    </row>
    <row r="1145" spans="1:7" x14ac:dyDescent="0.3">
      <c r="A1145" s="33">
        <v>44056</v>
      </c>
      <c r="B1145" s="34">
        <v>760.4</v>
      </c>
      <c r="C1145" s="34">
        <f t="shared" si="34"/>
        <v>-2.3643778254858186E-3</v>
      </c>
      <c r="E1145" s="33">
        <v>44056</v>
      </c>
      <c r="F1145" s="34">
        <v>38310.49</v>
      </c>
      <c r="G1145" s="34">
        <f t="shared" si="35"/>
        <v>-1.5425122372317028E-3</v>
      </c>
    </row>
    <row r="1146" spans="1:7" x14ac:dyDescent="0.3">
      <c r="A1146" s="33">
        <v>44057</v>
      </c>
      <c r="B1146" s="34">
        <v>771.8</v>
      </c>
      <c r="C1146" s="34">
        <f t="shared" si="34"/>
        <v>1.4880838489244238E-2</v>
      </c>
      <c r="E1146" s="33">
        <v>44057</v>
      </c>
      <c r="F1146" s="34">
        <v>37877.339999999997</v>
      </c>
      <c r="G1146" s="34">
        <f t="shared" si="35"/>
        <v>-1.1370704925603407E-2</v>
      </c>
    </row>
    <row r="1147" spans="1:7" x14ac:dyDescent="0.3">
      <c r="A1147" s="33">
        <v>44060</v>
      </c>
      <c r="B1147" s="34">
        <v>771.45</v>
      </c>
      <c r="C1147" s="34">
        <f t="shared" si="34"/>
        <v>-4.5358821448331804E-4</v>
      </c>
      <c r="E1147" s="33">
        <v>44060</v>
      </c>
      <c r="F1147" s="34">
        <v>38050.78</v>
      </c>
      <c r="G1147" s="34">
        <f t="shared" si="35"/>
        <v>4.5685393412451033E-3</v>
      </c>
    </row>
    <row r="1148" spans="1:7" x14ac:dyDescent="0.3">
      <c r="A1148" s="33">
        <v>44061</v>
      </c>
      <c r="B1148" s="34">
        <v>764.65</v>
      </c>
      <c r="C1148" s="34">
        <f t="shared" si="34"/>
        <v>-8.8536480949026677E-3</v>
      </c>
      <c r="E1148" s="33">
        <v>44061</v>
      </c>
      <c r="F1148" s="34">
        <v>38528.32</v>
      </c>
      <c r="G1148" s="34">
        <f t="shared" si="35"/>
        <v>1.247197185914869E-2</v>
      </c>
    </row>
    <row r="1149" spans="1:7" x14ac:dyDescent="0.3">
      <c r="A1149" s="33">
        <v>44062</v>
      </c>
      <c r="B1149" s="34">
        <v>758.45</v>
      </c>
      <c r="C1149" s="34">
        <f t="shared" si="34"/>
        <v>-8.1413357564509396E-3</v>
      </c>
      <c r="E1149" s="33">
        <v>44062</v>
      </c>
      <c r="F1149" s="34">
        <v>38614.79</v>
      </c>
      <c r="G1149" s="34">
        <f t="shared" si="35"/>
        <v>2.2418084055565541E-3</v>
      </c>
    </row>
    <row r="1150" spans="1:7" x14ac:dyDescent="0.3">
      <c r="A1150" s="33">
        <v>44063</v>
      </c>
      <c r="B1150" s="34">
        <v>762.65</v>
      </c>
      <c r="C1150" s="34">
        <f t="shared" si="34"/>
        <v>5.5223334082606405E-3</v>
      </c>
      <c r="E1150" s="33">
        <v>44063</v>
      </c>
      <c r="F1150" s="34">
        <v>38220.39</v>
      </c>
      <c r="G1150" s="34">
        <f t="shared" si="35"/>
        <v>-1.0266220863563028E-2</v>
      </c>
    </row>
    <row r="1151" spans="1:7" x14ac:dyDescent="0.3">
      <c r="A1151" s="33">
        <v>44064</v>
      </c>
      <c r="B1151" s="34">
        <v>761.15</v>
      </c>
      <c r="C1151" s="34">
        <f t="shared" si="34"/>
        <v>-1.9687629406790817E-3</v>
      </c>
      <c r="E1151" s="33">
        <v>44064</v>
      </c>
      <c r="F1151" s="34">
        <v>38434.720000000001</v>
      </c>
      <c r="G1151" s="34">
        <f t="shared" si="35"/>
        <v>5.5920749061927153E-3</v>
      </c>
    </row>
    <row r="1152" spans="1:7" x14ac:dyDescent="0.3">
      <c r="A1152" s="33">
        <v>44067</v>
      </c>
      <c r="B1152" s="34">
        <v>751.95</v>
      </c>
      <c r="C1152" s="34">
        <f t="shared" si="34"/>
        <v>-1.2160615127640901E-2</v>
      </c>
      <c r="E1152" s="33">
        <v>44067</v>
      </c>
      <c r="F1152" s="34">
        <v>38799.08</v>
      </c>
      <c r="G1152" s="34">
        <f t="shared" si="35"/>
        <v>9.4353172600122968E-3</v>
      </c>
    </row>
    <row r="1153" spans="1:7" x14ac:dyDescent="0.3">
      <c r="A1153" s="33">
        <v>44068</v>
      </c>
      <c r="B1153" s="34">
        <v>747.5</v>
      </c>
      <c r="C1153" s="34">
        <f t="shared" si="34"/>
        <v>-5.9355271127806376E-3</v>
      </c>
      <c r="E1153" s="33">
        <v>44068</v>
      </c>
      <c r="F1153" s="34">
        <v>38843.879999999997</v>
      </c>
      <c r="G1153" s="34">
        <f t="shared" si="35"/>
        <v>1.1540004392345659E-3</v>
      </c>
    </row>
    <row r="1154" spans="1:7" x14ac:dyDescent="0.3">
      <c r="A1154" s="33">
        <v>44069</v>
      </c>
      <c r="B1154" s="34">
        <v>747.95</v>
      </c>
      <c r="C1154" s="34">
        <f t="shared" si="34"/>
        <v>6.018255556286033E-4</v>
      </c>
      <c r="E1154" s="33">
        <v>44069</v>
      </c>
      <c r="F1154" s="34">
        <v>39073.919999999998</v>
      </c>
      <c r="G1154" s="34">
        <f t="shared" si="35"/>
        <v>5.9047013229634147E-3</v>
      </c>
    </row>
    <row r="1155" spans="1:7" x14ac:dyDescent="0.3">
      <c r="A1155" s="33">
        <v>44070</v>
      </c>
      <c r="B1155" s="34">
        <v>756.05</v>
      </c>
      <c r="C1155" s="34">
        <f t="shared" si="34"/>
        <v>1.077138073820808E-2</v>
      </c>
      <c r="E1155" s="33">
        <v>44070</v>
      </c>
      <c r="F1155" s="34">
        <v>39113.47</v>
      </c>
      <c r="G1155" s="34">
        <f t="shared" si="35"/>
        <v>1.011672173050612E-3</v>
      </c>
    </row>
    <row r="1156" spans="1:7" x14ac:dyDescent="0.3">
      <c r="A1156" s="33">
        <v>44071</v>
      </c>
      <c r="B1156" s="34">
        <v>748.8</v>
      </c>
      <c r="C1156" s="34">
        <f t="shared" si="34"/>
        <v>-9.6355863952958584E-3</v>
      </c>
      <c r="E1156" s="33">
        <v>44071</v>
      </c>
      <c r="F1156" s="34">
        <v>39467.31</v>
      </c>
      <c r="G1156" s="34">
        <f t="shared" si="35"/>
        <v>9.0058253814646362E-3</v>
      </c>
    </row>
    <row r="1157" spans="1:7" x14ac:dyDescent="0.3">
      <c r="A1157" s="33">
        <v>44074</v>
      </c>
      <c r="B1157" s="34">
        <v>712.1</v>
      </c>
      <c r="C1157" s="34">
        <f t="shared" si="34"/>
        <v>-5.0253574175303094E-2</v>
      </c>
      <c r="E1157" s="33">
        <v>44074</v>
      </c>
      <c r="F1157" s="34">
        <v>38628.29</v>
      </c>
      <c r="G1157" s="34">
        <f t="shared" si="35"/>
        <v>-2.1487824740618906E-2</v>
      </c>
    </row>
    <row r="1158" spans="1:7" x14ac:dyDescent="0.3">
      <c r="A1158" s="33">
        <v>44075</v>
      </c>
      <c r="B1158" s="34">
        <v>737.25</v>
      </c>
      <c r="C1158" s="34">
        <f t="shared" si="34"/>
        <v>3.4708696707306606E-2</v>
      </c>
      <c r="E1158" s="33">
        <v>44075</v>
      </c>
      <c r="F1158" s="34">
        <v>38900.800000000003</v>
      </c>
      <c r="G1158" s="34">
        <f t="shared" si="35"/>
        <v>7.0299063816340601E-3</v>
      </c>
    </row>
    <row r="1159" spans="1:7" x14ac:dyDescent="0.3">
      <c r="A1159" s="33">
        <v>44076</v>
      </c>
      <c r="B1159" s="34">
        <v>737.9</v>
      </c>
      <c r="C1159" s="34">
        <f t="shared" ref="C1159:C1222" si="36">LN(B1159/B1158)</f>
        <v>8.8126636893529813E-4</v>
      </c>
      <c r="E1159" s="33">
        <v>44076</v>
      </c>
      <c r="F1159" s="34">
        <v>39086.03</v>
      </c>
      <c r="G1159" s="34">
        <f t="shared" ref="G1159:G1222" si="37">LN(F1159/F1158)</f>
        <v>4.7502981802076674E-3</v>
      </c>
    </row>
    <row r="1160" spans="1:7" x14ac:dyDescent="0.3">
      <c r="A1160" s="33">
        <v>44077</v>
      </c>
      <c r="B1160" s="34">
        <v>738.6</v>
      </c>
      <c r="C1160" s="34">
        <f t="shared" si="36"/>
        <v>9.4818835414183368E-4</v>
      </c>
      <c r="E1160" s="33">
        <v>44077</v>
      </c>
      <c r="F1160" s="34">
        <v>38990.94</v>
      </c>
      <c r="G1160" s="34">
        <f t="shared" si="37"/>
        <v>-2.4358026961123127E-3</v>
      </c>
    </row>
    <row r="1161" spans="1:7" x14ac:dyDescent="0.3">
      <c r="A1161" s="33">
        <v>44078</v>
      </c>
      <c r="B1161" s="34">
        <v>724.7</v>
      </c>
      <c r="C1161" s="34">
        <f t="shared" si="36"/>
        <v>-1.8998726303227013E-2</v>
      </c>
      <c r="E1161" s="33">
        <v>44078</v>
      </c>
      <c r="F1161" s="34">
        <v>38357.18</v>
      </c>
      <c r="G1161" s="34">
        <f t="shared" si="37"/>
        <v>-1.6387578213945632E-2</v>
      </c>
    </row>
    <row r="1162" spans="1:7" x14ac:dyDescent="0.3">
      <c r="A1162" s="33">
        <v>44081</v>
      </c>
      <c r="B1162" s="34">
        <v>716.65</v>
      </c>
      <c r="C1162" s="34">
        <f t="shared" si="36"/>
        <v>-1.1170199746011153E-2</v>
      </c>
      <c r="E1162" s="33">
        <v>44081</v>
      </c>
      <c r="F1162" s="34">
        <v>38417.230000000003</v>
      </c>
      <c r="G1162" s="34">
        <f t="shared" si="37"/>
        <v>1.5643236397581291E-3</v>
      </c>
    </row>
    <row r="1163" spans="1:7" x14ac:dyDescent="0.3">
      <c r="A1163" s="33">
        <v>44082</v>
      </c>
      <c r="B1163" s="34">
        <v>708.35</v>
      </c>
      <c r="C1163" s="34">
        <f t="shared" si="36"/>
        <v>-1.1649254543864632E-2</v>
      </c>
      <c r="E1163" s="33">
        <v>44082</v>
      </c>
      <c r="F1163" s="34">
        <v>38365.35</v>
      </c>
      <c r="G1163" s="34">
        <f t="shared" si="37"/>
        <v>-1.3513483890494047E-3</v>
      </c>
    </row>
    <row r="1164" spans="1:7" x14ac:dyDescent="0.3">
      <c r="A1164" s="33">
        <v>44083</v>
      </c>
      <c r="B1164" s="34">
        <v>727.8</v>
      </c>
      <c r="C1164" s="34">
        <f t="shared" si="36"/>
        <v>2.7087963352699442E-2</v>
      </c>
      <c r="E1164" s="33">
        <v>44083</v>
      </c>
      <c r="F1164" s="34">
        <v>38193.919999999998</v>
      </c>
      <c r="G1164" s="34">
        <f t="shared" si="37"/>
        <v>-4.4783678452893702E-3</v>
      </c>
    </row>
    <row r="1165" spans="1:7" x14ac:dyDescent="0.3">
      <c r="A1165" s="33">
        <v>44084</v>
      </c>
      <c r="B1165" s="34">
        <v>727.35</v>
      </c>
      <c r="C1165" s="34">
        <f t="shared" si="36"/>
        <v>-6.1849295858839941E-4</v>
      </c>
      <c r="E1165" s="33">
        <v>44084</v>
      </c>
      <c r="F1165" s="34">
        <v>38840.32</v>
      </c>
      <c r="G1165" s="34">
        <f t="shared" si="37"/>
        <v>1.6782541676922721E-2</v>
      </c>
    </row>
    <row r="1166" spans="1:7" x14ac:dyDescent="0.3">
      <c r="A1166" s="33">
        <v>44085</v>
      </c>
      <c r="B1166" s="34">
        <v>725.5</v>
      </c>
      <c r="C1166" s="34">
        <f t="shared" si="36"/>
        <v>-2.5467198952284597E-3</v>
      </c>
      <c r="E1166" s="33">
        <v>44085</v>
      </c>
      <c r="F1166" s="34">
        <v>38854.550000000003</v>
      </c>
      <c r="G1166" s="34">
        <f t="shared" si="37"/>
        <v>3.6630475497586668E-4</v>
      </c>
    </row>
    <row r="1167" spans="1:7" x14ac:dyDescent="0.3">
      <c r="A1167" s="33">
        <v>44088</v>
      </c>
      <c r="B1167" s="34">
        <v>721.75</v>
      </c>
      <c r="C1167" s="34">
        <f t="shared" si="36"/>
        <v>-5.1822537811980233E-3</v>
      </c>
      <c r="E1167" s="33">
        <v>44088</v>
      </c>
      <c r="F1167" s="34">
        <v>38756.629999999997</v>
      </c>
      <c r="G1167" s="34">
        <f t="shared" si="37"/>
        <v>-2.5233491349337615E-3</v>
      </c>
    </row>
    <row r="1168" spans="1:7" x14ac:dyDescent="0.3">
      <c r="A1168" s="33">
        <v>44089</v>
      </c>
      <c r="B1168" s="34">
        <v>742.3</v>
      </c>
      <c r="C1168" s="34">
        <f t="shared" si="36"/>
        <v>2.8074655580456659E-2</v>
      </c>
      <c r="E1168" s="33">
        <v>44089</v>
      </c>
      <c r="F1168" s="34">
        <v>39044.35</v>
      </c>
      <c r="G1168" s="34">
        <f t="shared" si="37"/>
        <v>7.3963415798408922E-3</v>
      </c>
    </row>
    <row r="1169" spans="1:7" x14ac:dyDescent="0.3">
      <c r="A1169" s="33">
        <v>44090</v>
      </c>
      <c r="B1169" s="34">
        <v>752.7</v>
      </c>
      <c r="C1169" s="34">
        <f t="shared" si="36"/>
        <v>1.3913267916985082E-2</v>
      </c>
      <c r="E1169" s="33">
        <v>44090</v>
      </c>
      <c r="F1169" s="34">
        <v>39302.85</v>
      </c>
      <c r="G1169" s="34">
        <f t="shared" si="37"/>
        <v>6.5988558117966133E-3</v>
      </c>
    </row>
    <row r="1170" spans="1:7" x14ac:dyDescent="0.3">
      <c r="A1170" s="33">
        <v>44091</v>
      </c>
      <c r="B1170" s="34">
        <v>752.05</v>
      </c>
      <c r="C1170" s="34">
        <f t="shared" si="36"/>
        <v>-8.6393093926412953E-4</v>
      </c>
      <c r="E1170" s="33">
        <v>44091</v>
      </c>
      <c r="F1170" s="34">
        <v>38979.85</v>
      </c>
      <c r="G1170" s="34">
        <f t="shared" si="37"/>
        <v>-8.252189385037384E-3</v>
      </c>
    </row>
    <row r="1171" spans="1:7" x14ac:dyDescent="0.3">
      <c r="A1171" s="33">
        <v>44092</v>
      </c>
      <c r="B1171" s="34">
        <v>806.85</v>
      </c>
      <c r="C1171" s="34">
        <f t="shared" si="36"/>
        <v>7.0334966286139042E-2</v>
      </c>
      <c r="E1171" s="33">
        <v>44092</v>
      </c>
      <c r="F1171" s="34">
        <v>38845.82</v>
      </c>
      <c r="G1171" s="34">
        <f t="shared" si="37"/>
        <v>-3.4443682272778642E-3</v>
      </c>
    </row>
    <row r="1172" spans="1:7" x14ac:dyDescent="0.3">
      <c r="A1172" s="33">
        <v>44095</v>
      </c>
      <c r="B1172" s="34">
        <v>767.7</v>
      </c>
      <c r="C1172" s="34">
        <f t="shared" si="36"/>
        <v>-4.9738745553508393E-2</v>
      </c>
      <c r="E1172" s="33">
        <v>44095</v>
      </c>
      <c r="F1172" s="34">
        <v>38034.14</v>
      </c>
      <c r="G1172" s="34">
        <f t="shared" si="37"/>
        <v>-2.1116300277104007E-2</v>
      </c>
    </row>
    <row r="1173" spans="1:7" x14ac:dyDescent="0.3">
      <c r="A1173" s="33">
        <v>44096</v>
      </c>
      <c r="B1173" s="34">
        <v>778.2</v>
      </c>
      <c r="C1173" s="34">
        <f t="shared" si="36"/>
        <v>1.358452871660038E-2</v>
      </c>
      <c r="E1173" s="33">
        <v>44096</v>
      </c>
      <c r="F1173" s="34">
        <v>37734.080000000002</v>
      </c>
      <c r="G1173" s="34">
        <f t="shared" si="37"/>
        <v>-7.9205125493249581E-3</v>
      </c>
    </row>
    <row r="1174" spans="1:7" x14ac:dyDescent="0.3">
      <c r="A1174" s="33">
        <v>44097</v>
      </c>
      <c r="B1174" s="34">
        <v>766.9</v>
      </c>
      <c r="C1174" s="34">
        <f t="shared" si="36"/>
        <v>-1.4627145779639713E-2</v>
      </c>
      <c r="E1174" s="33">
        <v>44097</v>
      </c>
      <c r="F1174" s="34">
        <v>37668.42</v>
      </c>
      <c r="G1174" s="34">
        <f t="shared" si="37"/>
        <v>-1.7415872576176273E-3</v>
      </c>
    </row>
    <row r="1175" spans="1:7" x14ac:dyDescent="0.3">
      <c r="A1175" s="33">
        <v>44098</v>
      </c>
      <c r="B1175" s="34">
        <v>732.8</v>
      </c>
      <c r="C1175" s="34">
        <f t="shared" si="36"/>
        <v>-4.5483601410893082E-2</v>
      </c>
      <c r="E1175" s="33">
        <v>44098</v>
      </c>
      <c r="F1175" s="34">
        <v>36553.599999999999</v>
      </c>
      <c r="G1175" s="34">
        <f t="shared" si="37"/>
        <v>-3.0042401075950482E-2</v>
      </c>
    </row>
    <row r="1176" spans="1:7" x14ac:dyDescent="0.3">
      <c r="A1176" s="33">
        <v>44099</v>
      </c>
      <c r="B1176" s="34">
        <v>770.2</v>
      </c>
      <c r="C1176" s="34">
        <f t="shared" si="36"/>
        <v>4.9777408020888043E-2</v>
      </c>
      <c r="E1176" s="33">
        <v>44099</v>
      </c>
      <c r="F1176" s="34">
        <v>37388.660000000003</v>
      </c>
      <c r="G1176" s="34">
        <f t="shared" si="37"/>
        <v>2.2587773329837496E-2</v>
      </c>
    </row>
    <row r="1177" spans="1:7" x14ac:dyDescent="0.3">
      <c r="A1177" s="33">
        <v>44102</v>
      </c>
      <c r="B1177" s="34">
        <v>774.65</v>
      </c>
      <c r="C1177" s="34">
        <f t="shared" si="36"/>
        <v>5.7610930614921882E-3</v>
      </c>
      <c r="E1177" s="33">
        <v>44102</v>
      </c>
      <c r="F1177" s="34">
        <v>37981.629999999997</v>
      </c>
      <c r="G1177" s="34">
        <f t="shared" si="37"/>
        <v>1.5735171900797276E-2</v>
      </c>
    </row>
    <row r="1178" spans="1:7" x14ac:dyDescent="0.3">
      <c r="A1178" s="33">
        <v>44103</v>
      </c>
      <c r="B1178" s="34">
        <v>762.25</v>
      </c>
      <c r="C1178" s="34">
        <f t="shared" si="36"/>
        <v>-1.6136728573936669E-2</v>
      </c>
      <c r="E1178" s="33">
        <v>44103</v>
      </c>
      <c r="F1178" s="34">
        <v>37973.22</v>
      </c>
      <c r="G1178" s="34">
        <f t="shared" si="37"/>
        <v>-2.21447347585148E-4</v>
      </c>
    </row>
    <row r="1179" spans="1:7" x14ac:dyDescent="0.3">
      <c r="A1179" s="33">
        <v>44104</v>
      </c>
      <c r="B1179" s="34">
        <v>774.75</v>
      </c>
      <c r="C1179" s="34">
        <f t="shared" si="36"/>
        <v>1.6265810799493501E-2</v>
      </c>
      <c r="E1179" s="33">
        <v>44104</v>
      </c>
      <c r="F1179" s="34">
        <v>38067.93</v>
      </c>
      <c r="G1179" s="34">
        <f t="shared" si="37"/>
        <v>2.4910209531135014E-3</v>
      </c>
    </row>
    <row r="1180" spans="1:7" x14ac:dyDescent="0.3">
      <c r="A1180" s="33">
        <v>44105</v>
      </c>
      <c r="B1180" s="34">
        <v>773.1</v>
      </c>
      <c r="C1180" s="34">
        <f t="shared" si="36"/>
        <v>-2.1319903414284891E-3</v>
      </c>
      <c r="E1180" s="33">
        <v>44105</v>
      </c>
      <c r="F1180" s="34">
        <v>38697.050000000003</v>
      </c>
      <c r="G1180" s="34">
        <f t="shared" si="37"/>
        <v>1.6391174346446415E-2</v>
      </c>
    </row>
    <row r="1181" spans="1:7" x14ac:dyDescent="0.3">
      <c r="A1181" s="33">
        <v>44109</v>
      </c>
      <c r="B1181" s="34">
        <v>779.1</v>
      </c>
      <c r="C1181" s="34">
        <f t="shared" si="36"/>
        <v>7.7310010103834809E-3</v>
      </c>
      <c r="E1181" s="33">
        <v>44109</v>
      </c>
      <c r="F1181" s="34">
        <v>38973.699999999997</v>
      </c>
      <c r="G1181" s="34">
        <f t="shared" si="37"/>
        <v>7.1236899328984788E-3</v>
      </c>
    </row>
    <row r="1182" spans="1:7" x14ac:dyDescent="0.3">
      <c r="A1182" s="33">
        <v>44110</v>
      </c>
      <c r="B1182" s="34">
        <v>780.2</v>
      </c>
      <c r="C1182" s="34">
        <f t="shared" si="36"/>
        <v>1.4108897357438194E-3</v>
      </c>
      <c r="E1182" s="33">
        <v>44110</v>
      </c>
      <c r="F1182" s="34">
        <v>39574.57</v>
      </c>
      <c r="G1182" s="34">
        <f t="shared" si="37"/>
        <v>1.5299680589690855E-2</v>
      </c>
    </row>
    <row r="1183" spans="1:7" x14ac:dyDescent="0.3">
      <c r="A1183" s="33">
        <v>44111</v>
      </c>
      <c r="B1183" s="34">
        <v>773.65</v>
      </c>
      <c r="C1183" s="34">
        <f t="shared" si="36"/>
        <v>-8.4307221368746087E-3</v>
      </c>
      <c r="E1183" s="33">
        <v>44111</v>
      </c>
      <c r="F1183" s="34">
        <v>39878.949999999997</v>
      </c>
      <c r="G1183" s="34">
        <f t="shared" si="37"/>
        <v>7.6618754973731759E-3</v>
      </c>
    </row>
    <row r="1184" spans="1:7" x14ac:dyDescent="0.3">
      <c r="A1184" s="33">
        <v>44112</v>
      </c>
      <c r="B1184" s="34">
        <v>811.4</v>
      </c>
      <c r="C1184" s="34">
        <f t="shared" si="36"/>
        <v>4.7641575836665326E-2</v>
      </c>
      <c r="E1184" s="33">
        <v>44112</v>
      </c>
      <c r="F1184" s="34">
        <v>40182.67</v>
      </c>
      <c r="G1184" s="34">
        <f t="shared" si="37"/>
        <v>7.5871923895897619E-3</v>
      </c>
    </row>
    <row r="1185" spans="1:7" x14ac:dyDescent="0.3">
      <c r="A1185" s="33">
        <v>44113</v>
      </c>
      <c r="B1185" s="34">
        <v>803.3</v>
      </c>
      <c r="C1185" s="34">
        <f t="shared" si="36"/>
        <v>-1.0032907592580039E-2</v>
      </c>
      <c r="E1185" s="33">
        <v>44113</v>
      </c>
      <c r="F1185" s="34">
        <v>40509.49</v>
      </c>
      <c r="G1185" s="34">
        <f t="shared" si="37"/>
        <v>8.1004595016204682E-3</v>
      </c>
    </row>
    <row r="1186" spans="1:7" x14ac:dyDescent="0.3">
      <c r="A1186" s="33">
        <v>44116</v>
      </c>
      <c r="B1186" s="34">
        <v>814.7</v>
      </c>
      <c r="C1186" s="34">
        <f t="shared" si="36"/>
        <v>1.4091704136829416E-2</v>
      </c>
      <c r="E1186" s="33">
        <v>44116</v>
      </c>
      <c r="F1186" s="34">
        <v>40593.800000000003</v>
      </c>
      <c r="G1186" s="34">
        <f t="shared" si="37"/>
        <v>2.0790779355466492E-3</v>
      </c>
    </row>
    <row r="1187" spans="1:7" x14ac:dyDescent="0.3">
      <c r="A1187" s="33">
        <v>44117</v>
      </c>
      <c r="B1187" s="34">
        <v>788.25</v>
      </c>
      <c r="C1187" s="34">
        <f t="shared" si="36"/>
        <v>-3.3004648891425972E-2</v>
      </c>
      <c r="E1187" s="33">
        <v>44117</v>
      </c>
      <c r="F1187" s="34">
        <v>40625.51</v>
      </c>
      <c r="G1187" s="34">
        <f t="shared" si="37"/>
        <v>7.8084883043686804E-4</v>
      </c>
    </row>
    <row r="1188" spans="1:7" x14ac:dyDescent="0.3">
      <c r="A1188" s="33">
        <v>44118</v>
      </c>
      <c r="B1188" s="34">
        <v>781.4</v>
      </c>
      <c r="C1188" s="34">
        <f t="shared" si="36"/>
        <v>-8.7281158042000553E-3</v>
      </c>
      <c r="E1188" s="33">
        <v>44118</v>
      </c>
      <c r="F1188" s="34">
        <v>40794.74</v>
      </c>
      <c r="G1188" s="34">
        <f t="shared" si="37"/>
        <v>4.1569571131321766E-3</v>
      </c>
    </row>
    <row r="1189" spans="1:7" x14ac:dyDescent="0.3">
      <c r="A1189" s="33">
        <v>44119</v>
      </c>
      <c r="B1189" s="34">
        <v>768.45</v>
      </c>
      <c r="C1189" s="34">
        <f t="shared" si="36"/>
        <v>-1.6711683567649144E-2</v>
      </c>
      <c r="E1189" s="33">
        <v>44119</v>
      </c>
      <c r="F1189" s="34">
        <v>39728.410000000003</v>
      </c>
      <c r="G1189" s="34">
        <f t="shared" si="37"/>
        <v>-2.6486602640625592E-2</v>
      </c>
    </row>
    <row r="1190" spans="1:7" x14ac:dyDescent="0.3">
      <c r="A1190" s="33">
        <v>44120</v>
      </c>
      <c r="B1190" s="34">
        <v>782.1</v>
      </c>
      <c r="C1190" s="34">
        <f t="shared" si="36"/>
        <v>1.7607110554244639E-2</v>
      </c>
      <c r="E1190" s="33">
        <v>44120</v>
      </c>
      <c r="F1190" s="34">
        <v>39982.980000000003</v>
      </c>
      <c r="G1190" s="34">
        <f t="shared" si="37"/>
        <v>6.3873146733609085E-3</v>
      </c>
    </row>
    <row r="1191" spans="1:7" x14ac:dyDescent="0.3">
      <c r="A1191" s="33">
        <v>44123</v>
      </c>
      <c r="B1191" s="34">
        <v>763.85</v>
      </c>
      <c r="C1191" s="34">
        <f t="shared" si="36"/>
        <v>-2.3611174795833915E-2</v>
      </c>
      <c r="E1191" s="33">
        <v>44123</v>
      </c>
      <c r="F1191" s="34">
        <v>40431.599999999999</v>
      </c>
      <c r="G1191" s="34">
        <f t="shared" si="37"/>
        <v>1.1157793879839136E-2</v>
      </c>
    </row>
    <row r="1192" spans="1:7" x14ac:dyDescent="0.3">
      <c r="A1192" s="33">
        <v>44124</v>
      </c>
      <c r="B1192" s="34">
        <v>764.05</v>
      </c>
      <c r="C1192" s="34">
        <f t="shared" si="36"/>
        <v>2.6179723953421752E-4</v>
      </c>
      <c r="E1192" s="33">
        <v>44124</v>
      </c>
      <c r="F1192" s="34">
        <v>40544.370000000003</v>
      </c>
      <c r="G1192" s="34">
        <f t="shared" si="37"/>
        <v>2.785272542048748E-3</v>
      </c>
    </row>
    <row r="1193" spans="1:7" x14ac:dyDescent="0.3">
      <c r="A1193" s="33">
        <v>44125</v>
      </c>
      <c r="B1193" s="34">
        <v>767.55</v>
      </c>
      <c r="C1193" s="34">
        <f t="shared" si="36"/>
        <v>4.5703918679442764E-3</v>
      </c>
      <c r="E1193" s="33">
        <v>44125</v>
      </c>
      <c r="F1193" s="34">
        <v>40707.31</v>
      </c>
      <c r="G1193" s="34">
        <f t="shared" si="37"/>
        <v>4.0107532157593511E-3</v>
      </c>
    </row>
    <row r="1194" spans="1:7" x14ac:dyDescent="0.3">
      <c r="A1194" s="33">
        <v>44126</v>
      </c>
      <c r="B1194" s="34">
        <v>757.35</v>
      </c>
      <c r="C1194" s="34">
        <f t="shared" si="36"/>
        <v>-1.3378125946175974E-2</v>
      </c>
      <c r="E1194" s="33">
        <v>44126</v>
      </c>
      <c r="F1194" s="34">
        <v>40558.49</v>
      </c>
      <c r="G1194" s="34">
        <f t="shared" si="37"/>
        <v>-3.6625534076969147E-3</v>
      </c>
    </row>
    <row r="1195" spans="1:7" x14ac:dyDescent="0.3">
      <c r="A1195" s="33">
        <v>44127</v>
      </c>
      <c r="B1195" s="34">
        <v>756.85</v>
      </c>
      <c r="C1195" s="34">
        <f t="shared" si="36"/>
        <v>-6.6041476446025151E-4</v>
      </c>
      <c r="E1195" s="33">
        <v>44127</v>
      </c>
      <c r="F1195" s="34">
        <v>40685.5</v>
      </c>
      <c r="G1195" s="34">
        <f t="shared" si="37"/>
        <v>3.1266338216302089E-3</v>
      </c>
    </row>
    <row r="1196" spans="1:7" x14ac:dyDescent="0.3">
      <c r="A1196" s="33">
        <v>44130</v>
      </c>
      <c r="B1196" s="34">
        <v>745.05</v>
      </c>
      <c r="C1196" s="34">
        <f t="shared" si="36"/>
        <v>-1.5713752987105055E-2</v>
      </c>
      <c r="E1196" s="33">
        <v>44130</v>
      </c>
      <c r="F1196" s="34">
        <v>40145.5</v>
      </c>
      <c r="G1196" s="34">
        <f t="shared" si="37"/>
        <v>-1.3361409204454073E-2</v>
      </c>
    </row>
    <row r="1197" spans="1:7" x14ac:dyDescent="0.3">
      <c r="A1197" s="33">
        <v>44131</v>
      </c>
      <c r="B1197" s="34">
        <v>770.45</v>
      </c>
      <c r="C1197" s="34">
        <f t="shared" si="36"/>
        <v>3.3523429506393296E-2</v>
      </c>
      <c r="E1197" s="33">
        <v>44131</v>
      </c>
      <c r="F1197" s="34">
        <v>40522.1</v>
      </c>
      <c r="G1197" s="34">
        <f t="shared" si="37"/>
        <v>9.3371498859352673E-3</v>
      </c>
    </row>
    <row r="1198" spans="1:7" x14ac:dyDescent="0.3">
      <c r="A1198" s="33">
        <v>44132</v>
      </c>
      <c r="B1198" s="34">
        <v>765.15</v>
      </c>
      <c r="C1198" s="34">
        <f t="shared" si="36"/>
        <v>-6.9028666908172104E-3</v>
      </c>
      <c r="E1198" s="33">
        <v>44132</v>
      </c>
      <c r="F1198" s="34">
        <v>39922.46</v>
      </c>
      <c r="G1198" s="34">
        <f t="shared" si="37"/>
        <v>-1.4908431505064192E-2</v>
      </c>
    </row>
    <row r="1199" spans="1:7" x14ac:dyDescent="0.3">
      <c r="A1199" s="33">
        <v>44133</v>
      </c>
      <c r="B1199" s="34">
        <v>761.9</v>
      </c>
      <c r="C1199" s="34">
        <f t="shared" si="36"/>
        <v>-4.2565795580812435E-3</v>
      </c>
      <c r="E1199" s="33">
        <v>44133</v>
      </c>
      <c r="F1199" s="34">
        <v>39749.85</v>
      </c>
      <c r="G1199" s="34">
        <f t="shared" si="37"/>
        <v>-4.3330052828067008E-3</v>
      </c>
    </row>
    <row r="1200" spans="1:7" x14ac:dyDescent="0.3">
      <c r="A1200" s="33">
        <v>44134</v>
      </c>
      <c r="B1200" s="34">
        <v>754.1</v>
      </c>
      <c r="C1200" s="34">
        <f t="shared" si="36"/>
        <v>-1.0290328270362543E-2</v>
      </c>
      <c r="E1200" s="33">
        <v>44134</v>
      </c>
      <c r="F1200" s="34">
        <v>39614.07</v>
      </c>
      <c r="G1200" s="34">
        <f t="shared" si="37"/>
        <v>-3.4217093227517626E-3</v>
      </c>
    </row>
    <row r="1201" spans="1:7" x14ac:dyDescent="0.3">
      <c r="A1201" s="33">
        <v>44137</v>
      </c>
      <c r="B1201" s="34">
        <v>750.95</v>
      </c>
      <c r="C1201" s="34">
        <f t="shared" si="36"/>
        <v>-4.1859135570114919E-3</v>
      </c>
      <c r="E1201" s="33">
        <v>44137</v>
      </c>
      <c r="F1201" s="34">
        <v>39757.58</v>
      </c>
      <c r="G1201" s="34">
        <f t="shared" si="37"/>
        <v>3.6161565593021356E-3</v>
      </c>
    </row>
    <row r="1202" spans="1:7" x14ac:dyDescent="0.3">
      <c r="A1202" s="33">
        <v>44138</v>
      </c>
      <c r="B1202" s="34">
        <v>759.65</v>
      </c>
      <c r="C1202" s="34">
        <f t="shared" si="36"/>
        <v>1.1518729238185647E-2</v>
      </c>
      <c r="E1202" s="33">
        <v>44138</v>
      </c>
      <c r="F1202" s="34">
        <v>40261.129999999997</v>
      </c>
      <c r="G1202" s="34">
        <f t="shared" si="37"/>
        <v>1.2585972633747734E-2</v>
      </c>
    </row>
    <row r="1203" spans="1:7" x14ac:dyDescent="0.3">
      <c r="A1203" s="33">
        <v>44139</v>
      </c>
      <c r="B1203" s="34">
        <v>781.25</v>
      </c>
      <c r="C1203" s="34">
        <f t="shared" si="36"/>
        <v>2.803740016083588E-2</v>
      </c>
      <c r="E1203" s="33">
        <v>44139</v>
      </c>
      <c r="F1203" s="34">
        <v>40616.14</v>
      </c>
      <c r="G1203" s="34">
        <f t="shared" si="37"/>
        <v>8.7790371780103339E-3</v>
      </c>
    </row>
    <row r="1204" spans="1:7" x14ac:dyDescent="0.3">
      <c r="A1204" s="33">
        <v>44140</v>
      </c>
      <c r="B1204" s="34">
        <v>793.85</v>
      </c>
      <c r="C1204" s="34">
        <f t="shared" si="36"/>
        <v>1.5999325472909182E-2</v>
      </c>
      <c r="E1204" s="33">
        <v>44140</v>
      </c>
      <c r="F1204" s="34">
        <v>41340.160000000003</v>
      </c>
      <c r="G1204" s="34">
        <f t="shared" si="37"/>
        <v>1.7668900033002009E-2</v>
      </c>
    </row>
    <row r="1205" spans="1:7" x14ac:dyDescent="0.3">
      <c r="A1205" s="33">
        <v>44141</v>
      </c>
      <c r="B1205" s="34">
        <v>789.9</v>
      </c>
      <c r="C1205" s="34">
        <f t="shared" si="36"/>
        <v>-4.9881713531471084E-3</v>
      </c>
      <c r="E1205" s="33">
        <v>44141</v>
      </c>
      <c r="F1205" s="34">
        <v>41893.06</v>
      </c>
      <c r="G1205" s="34">
        <f t="shared" si="37"/>
        <v>1.3285756161662159E-2</v>
      </c>
    </row>
    <row r="1206" spans="1:7" x14ac:dyDescent="0.3">
      <c r="A1206" s="33">
        <v>44144</v>
      </c>
      <c r="B1206" s="34">
        <v>762.6</v>
      </c>
      <c r="C1206" s="34">
        <f t="shared" si="36"/>
        <v>-3.5172707746910031E-2</v>
      </c>
      <c r="E1206" s="33">
        <v>44144</v>
      </c>
      <c r="F1206" s="34">
        <v>42597.43</v>
      </c>
      <c r="G1206" s="34">
        <f t="shared" si="37"/>
        <v>1.6673742065693841E-2</v>
      </c>
    </row>
    <row r="1207" spans="1:7" x14ac:dyDescent="0.3">
      <c r="A1207" s="33">
        <v>44145</v>
      </c>
      <c r="B1207" s="34">
        <v>717.7</v>
      </c>
      <c r="C1207" s="34">
        <f t="shared" si="36"/>
        <v>-6.0681992987437122E-2</v>
      </c>
      <c r="E1207" s="33">
        <v>44145</v>
      </c>
      <c r="F1207" s="34">
        <v>43277.65</v>
      </c>
      <c r="G1207" s="34">
        <f t="shared" si="37"/>
        <v>1.5842412650034114E-2</v>
      </c>
    </row>
    <row r="1208" spans="1:7" x14ac:dyDescent="0.3">
      <c r="A1208" s="33">
        <v>44146</v>
      </c>
      <c r="B1208" s="34">
        <v>742.1</v>
      </c>
      <c r="C1208" s="34">
        <f t="shared" si="36"/>
        <v>3.3432350540061648E-2</v>
      </c>
      <c r="E1208" s="33">
        <v>44146</v>
      </c>
      <c r="F1208" s="34">
        <v>43593.67</v>
      </c>
      <c r="G1208" s="34">
        <f t="shared" si="37"/>
        <v>7.2756208615917632E-3</v>
      </c>
    </row>
    <row r="1209" spans="1:7" x14ac:dyDescent="0.3">
      <c r="A1209" s="33">
        <v>44147</v>
      </c>
      <c r="B1209" s="34">
        <v>739.9</v>
      </c>
      <c r="C1209" s="34">
        <f t="shared" si="36"/>
        <v>-2.9689630445826477E-3</v>
      </c>
      <c r="E1209" s="33">
        <v>44147</v>
      </c>
      <c r="F1209" s="34">
        <v>43357.19</v>
      </c>
      <c r="G1209" s="34">
        <f t="shared" si="37"/>
        <v>-5.4394075702966505E-3</v>
      </c>
    </row>
    <row r="1210" spans="1:7" x14ac:dyDescent="0.3">
      <c r="A1210" s="33">
        <v>44148</v>
      </c>
      <c r="B1210" s="34">
        <v>744.5</v>
      </c>
      <c r="C1210" s="34">
        <f t="shared" si="36"/>
        <v>6.1978101925584022E-3</v>
      </c>
      <c r="E1210" s="33">
        <v>44148</v>
      </c>
      <c r="F1210" s="34">
        <v>43443</v>
      </c>
      <c r="G1210" s="34">
        <f t="shared" si="37"/>
        <v>1.9771852562642956E-3</v>
      </c>
    </row>
    <row r="1211" spans="1:7" x14ac:dyDescent="0.3">
      <c r="A1211" s="33">
        <v>44149</v>
      </c>
      <c r="B1211" s="34">
        <v>746.25</v>
      </c>
      <c r="C1211" s="34">
        <f t="shared" si="36"/>
        <v>2.3478125827481951E-3</v>
      </c>
      <c r="E1211" s="33">
        <v>44149</v>
      </c>
      <c r="F1211" s="34">
        <v>43637.98</v>
      </c>
      <c r="G1211" s="34">
        <f t="shared" si="37"/>
        <v>4.4781380696319907E-3</v>
      </c>
    </row>
    <row r="1212" spans="1:7" x14ac:dyDescent="0.3">
      <c r="A1212" s="33">
        <v>44152</v>
      </c>
      <c r="B1212" s="34">
        <v>742.5</v>
      </c>
      <c r="C1212" s="34">
        <f t="shared" si="36"/>
        <v>-5.0377940299571808E-3</v>
      </c>
      <c r="E1212" s="33">
        <v>44152</v>
      </c>
      <c r="F1212" s="34">
        <v>43952.71</v>
      </c>
      <c r="G1212" s="34">
        <f t="shared" si="37"/>
        <v>7.1864111244033758E-3</v>
      </c>
    </row>
    <row r="1213" spans="1:7" x14ac:dyDescent="0.3">
      <c r="A1213" s="33">
        <v>44153</v>
      </c>
      <c r="B1213" s="34">
        <v>743.35</v>
      </c>
      <c r="C1213" s="34">
        <f t="shared" si="36"/>
        <v>1.1441263825050885E-3</v>
      </c>
      <c r="E1213" s="33">
        <v>44153</v>
      </c>
      <c r="F1213" s="34">
        <v>44180.05</v>
      </c>
      <c r="G1213" s="34">
        <f t="shared" si="37"/>
        <v>5.1590465165365536E-3</v>
      </c>
    </row>
    <row r="1214" spans="1:7" x14ac:dyDescent="0.3">
      <c r="A1214" s="33">
        <v>44154</v>
      </c>
      <c r="B1214" s="34">
        <v>741.9</v>
      </c>
      <c r="C1214" s="34">
        <f t="shared" si="36"/>
        <v>-1.9525338638796837E-3</v>
      </c>
      <c r="E1214" s="33">
        <v>44154</v>
      </c>
      <c r="F1214" s="34">
        <v>43599.96</v>
      </c>
      <c r="G1214" s="34">
        <f t="shared" si="37"/>
        <v>-1.3217096801771841E-2</v>
      </c>
    </row>
    <row r="1215" spans="1:7" x14ac:dyDescent="0.3">
      <c r="A1215" s="33">
        <v>44155</v>
      </c>
      <c r="B1215" s="34">
        <v>739.9</v>
      </c>
      <c r="C1215" s="34">
        <f t="shared" si="36"/>
        <v>-2.699421263974999E-3</v>
      </c>
      <c r="E1215" s="33">
        <v>44155</v>
      </c>
      <c r="F1215" s="34">
        <v>43882.25</v>
      </c>
      <c r="G1215" s="34">
        <f t="shared" si="37"/>
        <v>6.4536773769141194E-3</v>
      </c>
    </row>
    <row r="1216" spans="1:7" x14ac:dyDescent="0.3">
      <c r="A1216" s="33">
        <v>44158</v>
      </c>
      <c r="B1216" s="34">
        <v>746.1</v>
      </c>
      <c r="C1216" s="34">
        <f t="shared" si="36"/>
        <v>8.3445975459635283E-3</v>
      </c>
      <c r="E1216" s="33">
        <v>44158</v>
      </c>
      <c r="F1216" s="34">
        <v>44077.15</v>
      </c>
      <c r="G1216" s="34">
        <f t="shared" si="37"/>
        <v>4.4315972817203265E-3</v>
      </c>
    </row>
    <row r="1217" spans="1:7" x14ac:dyDescent="0.3">
      <c r="A1217" s="33">
        <v>44159</v>
      </c>
      <c r="B1217" s="34">
        <v>748.55</v>
      </c>
      <c r="C1217" s="34">
        <f t="shared" si="36"/>
        <v>3.2783624183768934E-3</v>
      </c>
      <c r="E1217" s="33">
        <v>44159</v>
      </c>
      <c r="F1217" s="34">
        <v>44523.02</v>
      </c>
      <c r="G1217" s="34">
        <f t="shared" si="37"/>
        <v>1.0064851205708882E-2</v>
      </c>
    </row>
    <row r="1218" spans="1:7" x14ac:dyDescent="0.3">
      <c r="A1218" s="33">
        <v>44160</v>
      </c>
      <c r="B1218" s="34">
        <v>731.35</v>
      </c>
      <c r="C1218" s="34">
        <f t="shared" si="36"/>
        <v>-2.3245860562748258E-2</v>
      </c>
      <c r="E1218" s="33">
        <v>44160</v>
      </c>
      <c r="F1218" s="34">
        <v>43828.1</v>
      </c>
      <c r="G1218" s="34">
        <f t="shared" si="37"/>
        <v>-1.5731194600738317E-2</v>
      </c>
    </row>
    <row r="1219" spans="1:7" x14ac:dyDescent="0.3">
      <c r="A1219" s="33">
        <v>44161</v>
      </c>
      <c r="B1219" s="34">
        <v>738.05</v>
      </c>
      <c r="C1219" s="34">
        <f t="shared" si="36"/>
        <v>9.1194316499082825E-3</v>
      </c>
      <c r="E1219" s="33">
        <v>44161</v>
      </c>
      <c r="F1219" s="34">
        <v>44259.74</v>
      </c>
      <c r="G1219" s="34">
        <f t="shared" si="37"/>
        <v>9.800296039997821E-3</v>
      </c>
    </row>
    <row r="1220" spans="1:7" x14ac:dyDescent="0.3">
      <c r="A1220" s="33">
        <v>44162</v>
      </c>
      <c r="B1220" s="34">
        <v>744.65</v>
      </c>
      <c r="C1220" s="34">
        <f t="shared" si="36"/>
        <v>8.902736348870767E-3</v>
      </c>
      <c r="E1220" s="33">
        <v>44162</v>
      </c>
      <c r="F1220" s="34">
        <v>44149.72</v>
      </c>
      <c r="G1220" s="34">
        <f t="shared" si="37"/>
        <v>-2.488875212974508E-3</v>
      </c>
    </row>
    <row r="1221" spans="1:7" x14ac:dyDescent="0.3">
      <c r="A1221" s="33">
        <v>44166</v>
      </c>
      <c r="B1221" s="34">
        <v>755.55</v>
      </c>
      <c r="C1221" s="34">
        <f t="shared" si="36"/>
        <v>1.4531651527892618E-2</v>
      </c>
      <c r="E1221" s="33">
        <v>44166</v>
      </c>
      <c r="F1221" s="34">
        <v>44655.44</v>
      </c>
      <c r="G1221" s="34">
        <f t="shared" si="37"/>
        <v>1.1389551393199497E-2</v>
      </c>
    </row>
    <row r="1222" spans="1:7" x14ac:dyDescent="0.3">
      <c r="A1222" s="33">
        <v>44167</v>
      </c>
      <c r="B1222" s="34">
        <v>758.15</v>
      </c>
      <c r="C1222" s="34">
        <f t="shared" si="36"/>
        <v>3.4352943871791618E-3</v>
      </c>
      <c r="E1222" s="33">
        <v>44167</v>
      </c>
      <c r="F1222" s="34">
        <v>44618.04</v>
      </c>
      <c r="G1222" s="34">
        <f t="shared" si="37"/>
        <v>-8.378748579759255E-4</v>
      </c>
    </row>
    <row r="1223" spans="1:7" x14ac:dyDescent="0.3">
      <c r="A1223" s="33">
        <v>44168</v>
      </c>
      <c r="B1223" s="34">
        <v>762</v>
      </c>
      <c r="C1223" s="34">
        <f t="shared" ref="C1223:C1286" si="38">LN(B1223/B1222)</f>
        <v>5.065300439697982E-3</v>
      </c>
      <c r="E1223" s="33">
        <v>44168</v>
      </c>
      <c r="F1223" s="34">
        <v>44632.65</v>
      </c>
      <c r="G1223" s="34">
        <f t="shared" ref="G1223:G1286" si="39">LN(F1223/F1222)</f>
        <v>3.2739242980650286E-4</v>
      </c>
    </row>
    <row r="1224" spans="1:7" x14ac:dyDescent="0.3">
      <c r="A1224" s="33">
        <v>44169</v>
      </c>
      <c r="B1224" s="34">
        <v>766.6</v>
      </c>
      <c r="C1224" s="34">
        <f t="shared" si="38"/>
        <v>6.0185972598084886E-3</v>
      </c>
      <c r="E1224" s="33">
        <v>44169</v>
      </c>
      <c r="F1224" s="34">
        <v>45079.55</v>
      </c>
      <c r="G1224" s="34">
        <f t="shared" si="39"/>
        <v>9.9630528889481963E-3</v>
      </c>
    </row>
    <row r="1225" spans="1:7" x14ac:dyDescent="0.3">
      <c r="A1225" s="33">
        <v>44172</v>
      </c>
      <c r="B1225" s="34">
        <v>772.45</v>
      </c>
      <c r="C1225" s="34">
        <f t="shared" si="38"/>
        <v>7.6021288116039452E-3</v>
      </c>
      <c r="E1225" s="33">
        <v>44172</v>
      </c>
      <c r="F1225" s="34">
        <v>45426.97</v>
      </c>
      <c r="G1225" s="34">
        <f t="shared" si="39"/>
        <v>7.6772746632036157E-3</v>
      </c>
    </row>
    <row r="1226" spans="1:7" x14ac:dyDescent="0.3">
      <c r="A1226" s="33">
        <v>44173</v>
      </c>
      <c r="B1226" s="34">
        <v>765.9</v>
      </c>
      <c r="C1226" s="34">
        <f t="shared" si="38"/>
        <v>-8.5156688425109851E-3</v>
      </c>
      <c r="E1226" s="33">
        <v>44173</v>
      </c>
      <c r="F1226" s="34">
        <v>45608.51</v>
      </c>
      <c r="G1226" s="34">
        <f t="shared" si="39"/>
        <v>3.9883403843030719E-3</v>
      </c>
    </row>
    <row r="1227" spans="1:7" x14ac:dyDescent="0.3">
      <c r="A1227" s="33">
        <v>44174</v>
      </c>
      <c r="B1227" s="34">
        <v>762.25</v>
      </c>
      <c r="C1227" s="34">
        <f t="shared" si="38"/>
        <v>-4.77702704718359E-3</v>
      </c>
      <c r="E1227" s="33">
        <v>44174</v>
      </c>
      <c r="F1227" s="34">
        <v>46103.5</v>
      </c>
      <c r="G1227" s="34">
        <f t="shared" si="39"/>
        <v>1.0794547114085994E-2</v>
      </c>
    </row>
    <row r="1228" spans="1:7" x14ac:dyDescent="0.3">
      <c r="A1228" s="33">
        <v>44175</v>
      </c>
      <c r="B1228" s="34">
        <v>762.9</v>
      </c>
      <c r="C1228" s="34">
        <f t="shared" si="38"/>
        <v>8.5237522781941931E-4</v>
      </c>
      <c r="E1228" s="33">
        <v>44175</v>
      </c>
      <c r="F1228" s="34">
        <v>45959.88</v>
      </c>
      <c r="G1228" s="34">
        <f t="shared" si="39"/>
        <v>-3.1200270184854081E-3</v>
      </c>
    </row>
    <row r="1229" spans="1:7" x14ac:dyDescent="0.3">
      <c r="A1229" s="33">
        <v>44176</v>
      </c>
      <c r="B1229" s="34">
        <v>755.9</v>
      </c>
      <c r="C1229" s="34">
        <f t="shared" si="38"/>
        <v>-9.2178687980526766E-3</v>
      </c>
      <c r="E1229" s="33">
        <v>44176</v>
      </c>
      <c r="F1229" s="34">
        <v>46099.01</v>
      </c>
      <c r="G1229" s="34">
        <f t="shared" si="39"/>
        <v>3.0226327066919189E-3</v>
      </c>
    </row>
    <row r="1230" spans="1:7" x14ac:dyDescent="0.3">
      <c r="A1230" s="33">
        <v>44179</v>
      </c>
      <c r="B1230" s="34">
        <v>789.25</v>
      </c>
      <c r="C1230" s="34">
        <f t="shared" si="38"/>
        <v>4.3174035139970098E-2</v>
      </c>
      <c r="E1230" s="33">
        <v>44179</v>
      </c>
      <c r="F1230" s="34">
        <v>46253.46</v>
      </c>
      <c r="G1230" s="34">
        <f t="shared" si="39"/>
        <v>3.3447972532752229E-3</v>
      </c>
    </row>
    <row r="1231" spans="1:7" x14ac:dyDescent="0.3">
      <c r="A1231" s="33">
        <v>44180</v>
      </c>
      <c r="B1231" s="34">
        <v>781.7</v>
      </c>
      <c r="C1231" s="34">
        <f t="shared" si="38"/>
        <v>-9.6120922118162373E-3</v>
      </c>
      <c r="E1231" s="33">
        <v>44180</v>
      </c>
      <c r="F1231" s="34">
        <v>46263.17</v>
      </c>
      <c r="G1231" s="34">
        <f t="shared" si="39"/>
        <v>2.0990820862485851E-4</v>
      </c>
    </row>
    <row r="1232" spans="1:7" x14ac:dyDescent="0.3">
      <c r="A1232" s="33">
        <v>44181</v>
      </c>
      <c r="B1232" s="34">
        <v>786.65</v>
      </c>
      <c r="C1232" s="34">
        <f t="shared" si="38"/>
        <v>6.3123874601475416E-3</v>
      </c>
      <c r="E1232" s="33">
        <v>44181</v>
      </c>
      <c r="F1232" s="34">
        <v>46666.46</v>
      </c>
      <c r="G1232" s="34">
        <f t="shared" si="39"/>
        <v>8.6795251802792572E-3</v>
      </c>
    </row>
    <row r="1233" spans="1:7" x14ac:dyDescent="0.3">
      <c r="A1233" s="33">
        <v>44182</v>
      </c>
      <c r="B1233" s="34">
        <v>783.2</v>
      </c>
      <c r="C1233" s="34">
        <f t="shared" si="38"/>
        <v>-4.3953314701315757E-3</v>
      </c>
      <c r="E1233" s="33">
        <v>44182</v>
      </c>
      <c r="F1233" s="34">
        <v>46890.34</v>
      </c>
      <c r="G1233" s="34">
        <f t="shared" si="39"/>
        <v>4.7859787282557992E-3</v>
      </c>
    </row>
    <row r="1234" spans="1:7" x14ac:dyDescent="0.3">
      <c r="A1234" s="33">
        <v>44183</v>
      </c>
      <c r="B1234" s="34">
        <v>793.9</v>
      </c>
      <c r="C1234" s="34">
        <f t="shared" si="38"/>
        <v>1.3569417514766952E-2</v>
      </c>
      <c r="E1234" s="33">
        <v>44183</v>
      </c>
      <c r="F1234" s="34">
        <v>46960.69</v>
      </c>
      <c r="G1234" s="34">
        <f t="shared" si="39"/>
        <v>1.4991846797270001E-3</v>
      </c>
    </row>
    <row r="1235" spans="1:7" x14ac:dyDescent="0.3">
      <c r="A1235" s="33">
        <v>44186</v>
      </c>
      <c r="B1235" s="34">
        <v>778.05</v>
      </c>
      <c r="C1235" s="34">
        <f t="shared" si="38"/>
        <v>-2.0166719265548826E-2</v>
      </c>
      <c r="E1235" s="33">
        <v>44186</v>
      </c>
      <c r="F1235" s="34">
        <v>45553.96</v>
      </c>
      <c r="G1235" s="34">
        <f t="shared" si="39"/>
        <v>-3.041331140942052E-2</v>
      </c>
    </row>
    <row r="1236" spans="1:7" x14ac:dyDescent="0.3">
      <c r="A1236" s="33">
        <v>44187</v>
      </c>
      <c r="B1236" s="34">
        <v>795.35</v>
      </c>
      <c r="C1236" s="34">
        <f t="shared" si="38"/>
        <v>2.1991479878850771E-2</v>
      </c>
      <c r="E1236" s="33">
        <v>44187</v>
      </c>
      <c r="F1236" s="34">
        <v>46006.69</v>
      </c>
      <c r="G1236" s="34">
        <f t="shared" si="39"/>
        <v>9.8892633385691056E-3</v>
      </c>
    </row>
    <row r="1237" spans="1:7" x14ac:dyDescent="0.3">
      <c r="A1237" s="33">
        <v>44188</v>
      </c>
      <c r="B1237" s="34">
        <v>824.25</v>
      </c>
      <c r="C1237" s="34">
        <f t="shared" si="38"/>
        <v>3.5691612607470995E-2</v>
      </c>
      <c r="E1237" s="33">
        <v>44188</v>
      </c>
      <c r="F1237" s="34">
        <v>46444.18</v>
      </c>
      <c r="G1237" s="34">
        <f t="shared" si="39"/>
        <v>9.4643406953320297E-3</v>
      </c>
    </row>
    <row r="1238" spans="1:7" x14ac:dyDescent="0.3">
      <c r="A1238" s="33">
        <v>44189</v>
      </c>
      <c r="B1238" s="34">
        <v>833.45</v>
      </c>
      <c r="C1238" s="34">
        <f t="shared" si="38"/>
        <v>1.1099830437256684E-2</v>
      </c>
      <c r="E1238" s="33">
        <v>44189</v>
      </c>
      <c r="F1238" s="34">
        <v>46973.54</v>
      </c>
      <c r="G1238" s="34">
        <f t="shared" si="39"/>
        <v>1.133330306220692E-2</v>
      </c>
    </row>
    <row r="1239" spans="1:7" x14ac:dyDescent="0.3">
      <c r="A1239" s="33">
        <v>44193</v>
      </c>
      <c r="B1239" s="34">
        <v>830.05</v>
      </c>
      <c r="C1239" s="34">
        <f t="shared" si="38"/>
        <v>-4.0877724490120939E-3</v>
      </c>
      <c r="E1239" s="33">
        <v>44193</v>
      </c>
      <c r="F1239" s="34">
        <v>47353.75</v>
      </c>
      <c r="G1239" s="34">
        <f t="shared" si="39"/>
        <v>8.0615495071847017E-3</v>
      </c>
    </row>
    <row r="1240" spans="1:7" x14ac:dyDescent="0.3">
      <c r="A1240" s="33">
        <v>44194</v>
      </c>
      <c r="B1240" s="34">
        <v>827.65</v>
      </c>
      <c r="C1240" s="34">
        <f t="shared" si="38"/>
        <v>-2.8955802339105116E-3</v>
      </c>
      <c r="E1240" s="33">
        <v>44194</v>
      </c>
      <c r="F1240" s="34">
        <v>47613.08</v>
      </c>
      <c r="G1240" s="34">
        <f t="shared" si="39"/>
        <v>5.4614994436921506E-3</v>
      </c>
    </row>
    <row r="1241" spans="1:7" x14ac:dyDescent="0.3">
      <c r="A1241" s="33">
        <v>44195</v>
      </c>
      <c r="B1241" s="34">
        <v>823.65</v>
      </c>
      <c r="C1241" s="34">
        <f t="shared" si="38"/>
        <v>-4.8446773131831482E-3</v>
      </c>
      <c r="E1241" s="33">
        <v>44195</v>
      </c>
      <c r="F1241" s="34">
        <v>47746.22</v>
      </c>
      <c r="G1241" s="34">
        <f t="shared" si="39"/>
        <v>2.7923880840669663E-3</v>
      </c>
    </row>
    <row r="1242" spans="1:7" x14ac:dyDescent="0.3">
      <c r="A1242" s="33">
        <v>44196</v>
      </c>
      <c r="B1242" s="34">
        <v>819.85</v>
      </c>
      <c r="C1242" s="34">
        <f t="shared" si="38"/>
        <v>-4.6242856971139027E-3</v>
      </c>
      <c r="E1242" s="33">
        <v>44196</v>
      </c>
      <c r="F1242" s="34">
        <v>47751.33</v>
      </c>
      <c r="G1242" s="34">
        <f t="shared" si="39"/>
        <v>1.0701845240794921E-4</v>
      </c>
    </row>
    <row r="1243" spans="1:7" x14ac:dyDescent="0.3">
      <c r="A1243" s="33">
        <v>44197</v>
      </c>
      <c r="B1243" s="34">
        <v>826.45</v>
      </c>
      <c r="C1243" s="34">
        <f t="shared" si="38"/>
        <v>8.0180226674849246E-3</v>
      </c>
      <c r="E1243" s="33">
        <v>44197</v>
      </c>
      <c r="F1243" s="34">
        <v>47868.98</v>
      </c>
      <c r="G1243" s="34">
        <f t="shared" si="39"/>
        <v>2.46077552704662E-3</v>
      </c>
    </row>
    <row r="1244" spans="1:7" x14ac:dyDescent="0.3">
      <c r="A1244" s="33">
        <v>44200</v>
      </c>
      <c r="B1244" s="34">
        <v>832.25</v>
      </c>
      <c r="C1244" s="34">
        <f t="shared" si="38"/>
        <v>6.9934570917718885E-3</v>
      </c>
      <c r="E1244" s="33">
        <v>44200</v>
      </c>
      <c r="F1244" s="34">
        <v>48176.800000000003</v>
      </c>
      <c r="G1244" s="34">
        <f t="shared" si="39"/>
        <v>6.4098819112863538E-3</v>
      </c>
    </row>
    <row r="1245" spans="1:7" x14ac:dyDescent="0.3">
      <c r="A1245" s="33">
        <v>44201</v>
      </c>
      <c r="B1245" s="34">
        <v>827.2</v>
      </c>
      <c r="C1245" s="34">
        <f t="shared" si="38"/>
        <v>-6.0863727009696353E-3</v>
      </c>
      <c r="E1245" s="33">
        <v>44201</v>
      </c>
      <c r="F1245" s="34">
        <v>48437.78</v>
      </c>
      <c r="G1245" s="34">
        <f t="shared" si="39"/>
        <v>5.4025103617045848E-3</v>
      </c>
    </row>
    <row r="1246" spans="1:7" x14ac:dyDescent="0.3">
      <c r="A1246" s="33">
        <v>44202</v>
      </c>
      <c r="B1246" s="34">
        <v>825</v>
      </c>
      <c r="C1246" s="34">
        <f t="shared" si="38"/>
        <v>-2.6631174194837732E-3</v>
      </c>
      <c r="E1246" s="33">
        <v>44202</v>
      </c>
      <c r="F1246" s="34">
        <v>48174.06</v>
      </c>
      <c r="G1246" s="34">
        <f t="shared" si="39"/>
        <v>-5.4593858270763724E-3</v>
      </c>
    </row>
    <row r="1247" spans="1:7" x14ac:dyDescent="0.3">
      <c r="A1247" s="33">
        <v>44203</v>
      </c>
      <c r="B1247" s="34">
        <v>826.35</v>
      </c>
      <c r="C1247" s="34">
        <f t="shared" si="38"/>
        <v>1.6350262521542672E-3</v>
      </c>
      <c r="E1247" s="33">
        <v>44203</v>
      </c>
      <c r="F1247" s="34">
        <v>48093.32</v>
      </c>
      <c r="G1247" s="34">
        <f t="shared" si="39"/>
        <v>-1.6774117864551438E-3</v>
      </c>
    </row>
    <row r="1248" spans="1:7" x14ac:dyDescent="0.3">
      <c r="A1248" s="33">
        <v>44204</v>
      </c>
      <c r="B1248" s="34">
        <v>838.35</v>
      </c>
      <c r="C1248" s="34">
        <f t="shared" si="38"/>
        <v>1.4417261796981645E-2</v>
      </c>
      <c r="E1248" s="33">
        <v>44204</v>
      </c>
      <c r="F1248" s="34">
        <v>48782.51</v>
      </c>
      <c r="G1248" s="34">
        <f t="shared" si="39"/>
        <v>1.4228556850052339E-2</v>
      </c>
    </row>
    <row r="1249" spans="1:7" x14ac:dyDescent="0.3">
      <c r="A1249" s="33">
        <v>44207</v>
      </c>
      <c r="B1249" s="34">
        <v>856.55</v>
      </c>
      <c r="C1249" s="34">
        <f t="shared" si="38"/>
        <v>2.1477018792650605E-2</v>
      </c>
      <c r="E1249" s="33">
        <v>44207</v>
      </c>
      <c r="F1249" s="34">
        <v>49269.32</v>
      </c>
      <c r="G1249" s="34">
        <f t="shared" si="39"/>
        <v>9.9297279801621816E-3</v>
      </c>
    </row>
    <row r="1250" spans="1:7" x14ac:dyDescent="0.3">
      <c r="A1250" s="33">
        <v>44208</v>
      </c>
      <c r="B1250" s="34">
        <v>843.15</v>
      </c>
      <c r="C1250" s="34">
        <f t="shared" si="38"/>
        <v>-1.576781506027377E-2</v>
      </c>
      <c r="E1250" s="33">
        <v>44208</v>
      </c>
      <c r="F1250" s="34">
        <v>49517.11</v>
      </c>
      <c r="G1250" s="34">
        <f t="shared" si="39"/>
        <v>5.0166914561312094E-3</v>
      </c>
    </row>
    <row r="1251" spans="1:7" x14ac:dyDescent="0.3">
      <c r="A1251" s="33">
        <v>44209</v>
      </c>
      <c r="B1251" s="34">
        <v>841.4</v>
      </c>
      <c r="C1251" s="34">
        <f t="shared" si="38"/>
        <v>-2.0777069597732118E-3</v>
      </c>
      <c r="E1251" s="33">
        <v>44209</v>
      </c>
      <c r="F1251" s="34">
        <v>49492.32</v>
      </c>
      <c r="G1251" s="34">
        <f t="shared" si="39"/>
        <v>-5.0076039258137198E-4</v>
      </c>
    </row>
    <row r="1252" spans="1:7" x14ac:dyDescent="0.3">
      <c r="A1252" s="33">
        <v>44210</v>
      </c>
      <c r="B1252" s="34">
        <v>840.5</v>
      </c>
      <c r="C1252" s="34">
        <f t="shared" si="38"/>
        <v>-1.0702183077501469E-3</v>
      </c>
      <c r="E1252" s="33">
        <v>44210</v>
      </c>
      <c r="F1252" s="34">
        <v>49584.160000000003</v>
      </c>
      <c r="G1252" s="34">
        <f t="shared" si="39"/>
        <v>1.8539218653046649E-3</v>
      </c>
    </row>
    <row r="1253" spans="1:7" x14ac:dyDescent="0.3">
      <c r="A1253" s="33">
        <v>44211</v>
      </c>
      <c r="B1253" s="34">
        <v>823.55</v>
      </c>
      <c r="C1253" s="34">
        <f t="shared" si="38"/>
        <v>-2.0372688619985542E-2</v>
      </c>
      <c r="E1253" s="33">
        <v>44211</v>
      </c>
      <c r="F1253" s="34">
        <v>49034.67</v>
      </c>
      <c r="G1253" s="34">
        <f t="shared" si="39"/>
        <v>-1.1143828952734134E-2</v>
      </c>
    </row>
    <row r="1254" spans="1:7" x14ac:dyDescent="0.3">
      <c r="A1254" s="33">
        <v>44214</v>
      </c>
      <c r="B1254" s="34">
        <v>801.3</v>
      </c>
      <c r="C1254" s="34">
        <f t="shared" si="38"/>
        <v>-2.7388855444659962E-2</v>
      </c>
      <c r="E1254" s="33">
        <v>44214</v>
      </c>
      <c r="F1254" s="34">
        <v>48564.27</v>
      </c>
      <c r="G1254" s="34">
        <f t="shared" si="39"/>
        <v>-9.6395235947159229E-3</v>
      </c>
    </row>
    <row r="1255" spans="1:7" x14ac:dyDescent="0.3">
      <c r="A1255" s="33">
        <v>44215</v>
      </c>
      <c r="B1255" s="34">
        <v>822.35</v>
      </c>
      <c r="C1255" s="34">
        <f t="shared" si="38"/>
        <v>2.5930686403253234E-2</v>
      </c>
      <c r="E1255" s="33">
        <v>44215</v>
      </c>
      <c r="F1255" s="34">
        <v>49398.29</v>
      </c>
      <c r="G1255" s="34">
        <f t="shared" si="39"/>
        <v>1.7027732870028803E-2</v>
      </c>
    </row>
    <row r="1256" spans="1:7" x14ac:dyDescent="0.3">
      <c r="A1256" s="33">
        <v>44216</v>
      </c>
      <c r="B1256" s="34">
        <v>832.6</v>
      </c>
      <c r="C1256" s="34">
        <f t="shared" si="38"/>
        <v>1.23872395735971E-2</v>
      </c>
      <c r="E1256" s="33">
        <v>44216</v>
      </c>
      <c r="F1256" s="34">
        <v>49792.12</v>
      </c>
      <c r="G1256" s="34">
        <f t="shared" si="39"/>
        <v>7.9409303685940274E-3</v>
      </c>
    </row>
    <row r="1257" spans="1:7" x14ac:dyDescent="0.3">
      <c r="A1257" s="33">
        <v>44217</v>
      </c>
      <c r="B1257" s="34">
        <v>813</v>
      </c>
      <c r="C1257" s="34">
        <f t="shared" si="38"/>
        <v>-2.3822225213064468E-2</v>
      </c>
      <c r="E1257" s="33">
        <v>44217</v>
      </c>
      <c r="F1257" s="34">
        <v>49624.76</v>
      </c>
      <c r="G1257" s="34">
        <f t="shared" si="39"/>
        <v>-3.366835855109899E-3</v>
      </c>
    </row>
    <row r="1258" spans="1:7" x14ac:dyDescent="0.3">
      <c r="A1258" s="33">
        <v>44218</v>
      </c>
      <c r="B1258" s="34">
        <v>808.05</v>
      </c>
      <c r="C1258" s="34">
        <f t="shared" si="38"/>
        <v>-6.1071717531582231E-3</v>
      </c>
      <c r="E1258" s="33">
        <v>44218</v>
      </c>
      <c r="F1258" s="34">
        <v>48878.54</v>
      </c>
      <c r="G1258" s="34">
        <f t="shared" si="39"/>
        <v>-1.515145737347208E-2</v>
      </c>
    </row>
    <row r="1259" spans="1:7" x14ac:dyDescent="0.3">
      <c r="A1259" s="33">
        <v>44221</v>
      </c>
      <c r="B1259" s="34">
        <v>837.1</v>
      </c>
      <c r="C1259" s="34">
        <f t="shared" si="38"/>
        <v>3.531959987135843E-2</v>
      </c>
      <c r="E1259" s="33">
        <v>44221</v>
      </c>
      <c r="F1259" s="34">
        <v>48347.59</v>
      </c>
      <c r="G1259" s="34">
        <f t="shared" si="39"/>
        <v>-1.0922069574216877E-2</v>
      </c>
    </row>
    <row r="1260" spans="1:7" x14ac:dyDescent="0.3">
      <c r="A1260" s="33">
        <v>44223</v>
      </c>
      <c r="B1260" s="34">
        <v>842.1</v>
      </c>
      <c r="C1260" s="34">
        <f t="shared" si="38"/>
        <v>5.9552343699357402E-3</v>
      </c>
      <c r="E1260" s="33">
        <v>44223</v>
      </c>
      <c r="F1260" s="34">
        <v>47409.93</v>
      </c>
      <c r="G1260" s="34">
        <f t="shared" si="39"/>
        <v>-1.9584675344748361E-2</v>
      </c>
    </row>
    <row r="1261" spans="1:7" x14ac:dyDescent="0.3">
      <c r="A1261" s="33">
        <v>44224</v>
      </c>
      <c r="B1261" s="34">
        <v>841.55</v>
      </c>
      <c r="C1261" s="34">
        <f t="shared" si="38"/>
        <v>-6.5334246377134425E-4</v>
      </c>
      <c r="E1261" s="33">
        <v>44224</v>
      </c>
      <c r="F1261" s="34">
        <v>46874.36</v>
      </c>
      <c r="G1261" s="34">
        <f t="shared" si="39"/>
        <v>-1.1360869567148102E-2</v>
      </c>
    </row>
    <row r="1262" spans="1:7" x14ac:dyDescent="0.3">
      <c r="A1262" s="33">
        <v>44225</v>
      </c>
      <c r="B1262" s="34">
        <v>825.6</v>
      </c>
      <c r="C1262" s="34">
        <f t="shared" si="38"/>
        <v>-1.913503484487682E-2</v>
      </c>
      <c r="E1262" s="33">
        <v>44225</v>
      </c>
      <c r="F1262" s="34">
        <v>46285.77</v>
      </c>
      <c r="G1262" s="34">
        <f t="shared" si="39"/>
        <v>-1.2636260424038752E-2</v>
      </c>
    </row>
    <row r="1263" spans="1:7" x14ac:dyDescent="0.3">
      <c r="A1263" s="33">
        <v>44228</v>
      </c>
      <c r="B1263" s="34">
        <v>805.55</v>
      </c>
      <c r="C1263" s="34">
        <f t="shared" si="38"/>
        <v>-2.45851207903027E-2</v>
      </c>
      <c r="E1263" s="33">
        <v>44228</v>
      </c>
      <c r="F1263" s="34">
        <v>48600.61</v>
      </c>
      <c r="G1263" s="34">
        <f t="shared" si="39"/>
        <v>4.8801511828013282E-2</v>
      </c>
    </row>
    <row r="1264" spans="1:7" x14ac:dyDescent="0.3">
      <c r="A1264" s="33">
        <v>44229</v>
      </c>
      <c r="B1264" s="34">
        <v>821.95</v>
      </c>
      <c r="C1264" s="34">
        <f t="shared" si="38"/>
        <v>2.0154292018523999E-2</v>
      </c>
      <c r="E1264" s="33">
        <v>44229</v>
      </c>
      <c r="F1264" s="34">
        <v>49797.72</v>
      </c>
      <c r="G1264" s="34">
        <f t="shared" si="39"/>
        <v>2.4333117581988854E-2</v>
      </c>
    </row>
    <row r="1265" spans="1:7" x14ac:dyDescent="0.3">
      <c r="A1265" s="33">
        <v>44230</v>
      </c>
      <c r="B1265" s="34">
        <v>849.1</v>
      </c>
      <c r="C1265" s="34">
        <f t="shared" si="38"/>
        <v>3.2497399049798245E-2</v>
      </c>
      <c r="E1265" s="33">
        <v>44230</v>
      </c>
      <c r="F1265" s="34">
        <v>50255.75</v>
      </c>
      <c r="G1265" s="34">
        <f t="shared" si="39"/>
        <v>9.1557684035158127E-3</v>
      </c>
    </row>
    <row r="1266" spans="1:7" x14ac:dyDescent="0.3">
      <c r="A1266" s="33">
        <v>44231</v>
      </c>
      <c r="B1266" s="34">
        <v>834.45</v>
      </c>
      <c r="C1266" s="34">
        <f t="shared" si="38"/>
        <v>-1.7404139815905842E-2</v>
      </c>
      <c r="E1266" s="33">
        <v>44231</v>
      </c>
      <c r="F1266" s="34">
        <v>50614.29</v>
      </c>
      <c r="G1266" s="34">
        <f t="shared" si="39"/>
        <v>7.1089792366011897E-3</v>
      </c>
    </row>
    <row r="1267" spans="1:7" x14ac:dyDescent="0.3">
      <c r="A1267" s="33">
        <v>44232</v>
      </c>
      <c r="B1267" s="34">
        <v>847.6</v>
      </c>
      <c r="C1267" s="34">
        <f t="shared" si="38"/>
        <v>1.563600120473202E-2</v>
      </c>
      <c r="E1267" s="33">
        <v>44232</v>
      </c>
      <c r="F1267" s="34">
        <v>50731.63</v>
      </c>
      <c r="G1267" s="34">
        <f t="shared" si="39"/>
        <v>2.315634461318427E-3</v>
      </c>
    </row>
    <row r="1268" spans="1:7" x14ac:dyDescent="0.3">
      <c r="A1268" s="33">
        <v>44235</v>
      </c>
      <c r="B1268" s="34">
        <v>847.55</v>
      </c>
      <c r="C1268" s="34">
        <f t="shared" si="38"/>
        <v>-5.8991829648801711E-5</v>
      </c>
      <c r="E1268" s="33">
        <v>44235</v>
      </c>
      <c r="F1268" s="34">
        <v>51348.77</v>
      </c>
      <c r="G1268" s="34">
        <f t="shared" si="39"/>
        <v>1.2091400874322453E-2</v>
      </c>
    </row>
    <row r="1269" spans="1:7" x14ac:dyDescent="0.3">
      <c r="A1269" s="33">
        <v>44236</v>
      </c>
      <c r="B1269" s="34">
        <v>842.5</v>
      </c>
      <c r="C1269" s="34">
        <f t="shared" si="38"/>
        <v>-5.97617233797845E-3</v>
      </c>
      <c r="E1269" s="33">
        <v>44236</v>
      </c>
      <c r="F1269" s="34">
        <v>51329.08</v>
      </c>
      <c r="G1269" s="34">
        <f t="shared" si="39"/>
        <v>-3.8352965593558657E-4</v>
      </c>
    </row>
    <row r="1270" spans="1:7" x14ac:dyDescent="0.3">
      <c r="A1270" s="33">
        <v>44237</v>
      </c>
      <c r="B1270" s="34">
        <v>863.55</v>
      </c>
      <c r="C1270" s="34">
        <f t="shared" si="38"/>
        <v>2.4678137563411487E-2</v>
      </c>
      <c r="E1270" s="33">
        <v>44237</v>
      </c>
      <c r="F1270" s="34">
        <v>51309.39</v>
      </c>
      <c r="G1270" s="34">
        <f t="shared" si="39"/>
        <v>-3.8367680737148656E-4</v>
      </c>
    </row>
    <row r="1271" spans="1:7" x14ac:dyDescent="0.3">
      <c r="A1271" s="33">
        <v>44238</v>
      </c>
      <c r="B1271" s="34">
        <v>859.8</v>
      </c>
      <c r="C1271" s="34">
        <f t="shared" si="38"/>
        <v>-4.3519957277471395E-3</v>
      </c>
      <c r="E1271" s="33">
        <v>44238</v>
      </c>
      <c r="F1271" s="34">
        <v>51531.519999999997</v>
      </c>
      <c r="G1271" s="34">
        <f t="shared" si="39"/>
        <v>4.3198829228124234E-3</v>
      </c>
    </row>
    <row r="1272" spans="1:7" x14ac:dyDescent="0.3">
      <c r="A1272" s="33">
        <v>44239</v>
      </c>
      <c r="B1272" s="34">
        <v>849.3</v>
      </c>
      <c r="C1272" s="34">
        <f t="shared" si="38"/>
        <v>-1.2287323276217552E-2</v>
      </c>
      <c r="E1272" s="33">
        <v>44239</v>
      </c>
      <c r="F1272" s="34">
        <v>51544.3</v>
      </c>
      <c r="G1272" s="34">
        <f t="shared" si="39"/>
        <v>2.4797280420364265E-4</v>
      </c>
    </row>
    <row r="1273" spans="1:7" x14ac:dyDescent="0.3">
      <c r="A1273" s="33">
        <v>44242</v>
      </c>
      <c r="B1273" s="34">
        <v>844.45</v>
      </c>
      <c r="C1273" s="34">
        <f t="shared" si="38"/>
        <v>-5.7269529220332367E-3</v>
      </c>
      <c r="E1273" s="33">
        <v>44242</v>
      </c>
      <c r="F1273" s="34">
        <v>52154.13</v>
      </c>
      <c r="G1273" s="34">
        <f t="shared" si="39"/>
        <v>1.1761740852460538E-2</v>
      </c>
    </row>
    <row r="1274" spans="1:7" x14ac:dyDescent="0.3">
      <c r="A1274" s="33">
        <v>44243</v>
      </c>
      <c r="B1274" s="34">
        <v>848.25</v>
      </c>
      <c r="C1274" s="34">
        <f t="shared" si="38"/>
        <v>4.4898758004091608E-3</v>
      </c>
      <c r="E1274" s="33">
        <v>44243</v>
      </c>
      <c r="F1274" s="34">
        <v>52104.17</v>
      </c>
      <c r="G1274" s="34">
        <f t="shared" si="39"/>
        <v>-9.5838899778832528E-4</v>
      </c>
    </row>
    <row r="1275" spans="1:7" x14ac:dyDescent="0.3">
      <c r="A1275" s="33">
        <v>44244</v>
      </c>
      <c r="B1275" s="34">
        <v>835.8</v>
      </c>
      <c r="C1275" s="34">
        <f t="shared" si="38"/>
        <v>-1.4786053650524555E-2</v>
      </c>
      <c r="E1275" s="33">
        <v>44244</v>
      </c>
      <c r="F1275" s="34">
        <v>51703.83</v>
      </c>
      <c r="G1275" s="34">
        <f t="shared" si="39"/>
        <v>-7.7131239357211426E-3</v>
      </c>
    </row>
    <row r="1276" spans="1:7" x14ac:dyDescent="0.3">
      <c r="A1276" s="33">
        <v>44245</v>
      </c>
      <c r="B1276" s="34">
        <v>824.9</v>
      </c>
      <c r="C1276" s="34">
        <f t="shared" si="38"/>
        <v>-1.312718314712895E-2</v>
      </c>
      <c r="E1276" s="33">
        <v>44245</v>
      </c>
      <c r="F1276" s="34">
        <v>51324.69</v>
      </c>
      <c r="G1276" s="34">
        <f t="shared" si="39"/>
        <v>-7.3599370632072844E-3</v>
      </c>
    </row>
    <row r="1277" spans="1:7" x14ac:dyDescent="0.3">
      <c r="A1277" s="33">
        <v>44246</v>
      </c>
      <c r="B1277" s="34">
        <v>807.3</v>
      </c>
      <c r="C1277" s="34">
        <f t="shared" si="38"/>
        <v>-2.1566820465716199E-2</v>
      </c>
      <c r="E1277" s="33">
        <v>44246</v>
      </c>
      <c r="F1277" s="34">
        <v>50889.760000000002</v>
      </c>
      <c r="G1277" s="34">
        <f t="shared" si="39"/>
        <v>-8.5101984098216923E-3</v>
      </c>
    </row>
    <row r="1278" spans="1:7" x14ac:dyDescent="0.3">
      <c r="A1278" s="33">
        <v>44249</v>
      </c>
      <c r="B1278" s="34">
        <v>793.15</v>
      </c>
      <c r="C1278" s="34">
        <f t="shared" si="38"/>
        <v>-1.7682987546505571E-2</v>
      </c>
      <c r="E1278" s="33">
        <v>44249</v>
      </c>
      <c r="F1278" s="34">
        <v>49744.32</v>
      </c>
      <c r="G1278" s="34">
        <f t="shared" si="39"/>
        <v>-2.2765438303043766E-2</v>
      </c>
    </row>
    <row r="1279" spans="1:7" x14ac:dyDescent="0.3">
      <c r="A1279" s="33">
        <v>44250</v>
      </c>
      <c r="B1279" s="34">
        <v>790.9</v>
      </c>
      <c r="C1279" s="34">
        <f t="shared" si="38"/>
        <v>-2.8408213290926436E-3</v>
      </c>
      <c r="E1279" s="33">
        <v>44250</v>
      </c>
      <c r="F1279" s="34">
        <v>49751.41</v>
      </c>
      <c r="G1279" s="34">
        <f t="shared" si="39"/>
        <v>1.4251867918363227E-4</v>
      </c>
    </row>
    <row r="1280" spans="1:7" x14ac:dyDescent="0.3">
      <c r="A1280" s="33">
        <v>44251</v>
      </c>
      <c r="B1280" s="34">
        <v>789.55</v>
      </c>
      <c r="C1280" s="34">
        <f t="shared" si="38"/>
        <v>-1.7083746127193682E-3</v>
      </c>
      <c r="E1280" s="33">
        <v>44251</v>
      </c>
      <c r="F1280" s="34">
        <v>50781.69</v>
      </c>
      <c r="G1280" s="34">
        <f t="shared" si="39"/>
        <v>2.0497051630432448E-2</v>
      </c>
    </row>
    <row r="1281" spans="1:7" x14ac:dyDescent="0.3">
      <c r="A1281" s="33">
        <v>44252</v>
      </c>
      <c r="B1281" s="34">
        <v>809.1</v>
      </c>
      <c r="C1281" s="34">
        <f t="shared" si="38"/>
        <v>2.4459355901141844E-2</v>
      </c>
      <c r="E1281" s="33">
        <v>44252</v>
      </c>
      <c r="F1281" s="34">
        <v>51039.31</v>
      </c>
      <c r="G1281" s="34">
        <f t="shared" si="39"/>
        <v>5.0602635944185965E-3</v>
      </c>
    </row>
    <row r="1282" spans="1:7" x14ac:dyDescent="0.3">
      <c r="A1282" s="33">
        <v>44253</v>
      </c>
      <c r="B1282" s="34">
        <v>786.55</v>
      </c>
      <c r="C1282" s="34">
        <f t="shared" si="38"/>
        <v>-2.826622554528025E-2</v>
      </c>
      <c r="E1282" s="33">
        <v>44253</v>
      </c>
      <c r="F1282" s="34">
        <v>49099.99</v>
      </c>
      <c r="G1282" s="34">
        <f t="shared" si="39"/>
        <v>-3.8737289001910653E-2</v>
      </c>
    </row>
    <row r="1283" spans="1:7" x14ac:dyDescent="0.3">
      <c r="A1283" s="33">
        <v>44256</v>
      </c>
      <c r="B1283" s="34">
        <v>789.5</v>
      </c>
      <c r="C1283" s="34">
        <f t="shared" si="38"/>
        <v>3.7435404271831292E-3</v>
      </c>
      <c r="E1283" s="33">
        <v>44256</v>
      </c>
      <c r="F1283" s="34">
        <v>49849.84</v>
      </c>
      <c r="G1283" s="34">
        <f t="shared" si="39"/>
        <v>1.5156455639343468E-2</v>
      </c>
    </row>
    <row r="1284" spans="1:7" x14ac:dyDescent="0.3">
      <c r="A1284" s="33">
        <v>44257</v>
      </c>
      <c r="B1284" s="34">
        <v>812.1</v>
      </c>
      <c r="C1284" s="34">
        <f t="shared" si="38"/>
        <v>2.8223651592668403E-2</v>
      </c>
      <c r="E1284" s="33">
        <v>44257</v>
      </c>
      <c r="F1284" s="34">
        <v>50296.89</v>
      </c>
      <c r="G1284" s="34">
        <f t="shared" si="39"/>
        <v>8.9279593945457893E-3</v>
      </c>
    </row>
    <row r="1285" spans="1:7" x14ac:dyDescent="0.3">
      <c r="A1285" s="33">
        <v>44258</v>
      </c>
      <c r="B1285" s="34">
        <v>812.3</v>
      </c>
      <c r="C1285" s="34">
        <f t="shared" si="38"/>
        <v>2.462447685429211E-4</v>
      </c>
      <c r="E1285" s="33">
        <v>44258</v>
      </c>
      <c r="F1285" s="34">
        <v>51444.65</v>
      </c>
      <c r="G1285" s="34">
        <f t="shared" si="39"/>
        <v>2.2563226254022045E-2</v>
      </c>
    </row>
    <row r="1286" spans="1:7" x14ac:dyDescent="0.3">
      <c r="A1286" s="33">
        <v>44259</v>
      </c>
      <c r="B1286" s="34">
        <v>806.2</v>
      </c>
      <c r="C1286" s="34">
        <f t="shared" si="38"/>
        <v>-7.5378793738426104E-3</v>
      </c>
      <c r="E1286" s="33">
        <v>44259</v>
      </c>
      <c r="F1286" s="34">
        <v>50846.080000000002</v>
      </c>
      <c r="G1286" s="34">
        <f t="shared" si="39"/>
        <v>-1.1703442378214567E-2</v>
      </c>
    </row>
    <row r="1287" spans="1:7" x14ac:dyDescent="0.3">
      <c r="A1287" s="33">
        <v>44260</v>
      </c>
      <c r="B1287" s="34">
        <v>805.45</v>
      </c>
      <c r="C1287" s="34">
        <f t="shared" ref="C1287:C1350" si="40">LN(B1287/B1286)</f>
        <v>-9.3072323909077393E-4</v>
      </c>
      <c r="E1287" s="33">
        <v>44260</v>
      </c>
      <c r="F1287" s="34">
        <v>50405.32</v>
      </c>
      <c r="G1287" s="34">
        <f t="shared" ref="G1287:G1350" si="41">LN(F1287/F1286)</f>
        <v>-8.7063049818801447E-3</v>
      </c>
    </row>
    <row r="1288" spans="1:7" x14ac:dyDescent="0.3">
      <c r="A1288" s="33">
        <v>44263</v>
      </c>
      <c r="B1288" s="34">
        <v>808.2</v>
      </c>
      <c r="C1288" s="34">
        <f t="shared" si="40"/>
        <v>3.4084252003986201E-3</v>
      </c>
      <c r="E1288" s="33">
        <v>44263</v>
      </c>
      <c r="F1288" s="34">
        <v>50441.07</v>
      </c>
      <c r="G1288" s="34">
        <f t="shared" si="41"/>
        <v>7.0899913219644528E-4</v>
      </c>
    </row>
    <row r="1289" spans="1:7" x14ac:dyDescent="0.3">
      <c r="A1289" s="33">
        <v>44264</v>
      </c>
      <c r="B1289" s="34">
        <v>797.7</v>
      </c>
      <c r="C1289" s="34">
        <f t="shared" si="40"/>
        <v>-1.3076965727289509E-2</v>
      </c>
      <c r="E1289" s="33">
        <v>44264</v>
      </c>
      <c r="F1289" s="34">
        <v>51025.48</v>
      </c>
      <c r="G1289" s="34">
        <f t="shared" si="41"/>
        <v>1.151939161053853E-2</v>
      </c>
    </row>
    <row r="1290" spans="1:7" x14ac:dyDescent="0.3">
      <c r="A1290" s="33">
        <v>44265</v>
      </c>
      <c r="B1290" s="34">
        <v>812.2</v>
      </c>
      <c r="C1290" s="34">
        <f t="shared" si="40"/>
        <v>1.8014028335113626E-2</v>
      </c>
      <c r="E1290" s="33">
        <v>44265</v>
      </c>
      <c r="F1290" s="34">
        <v>51279.51</v>
      </c>
      <c r="G1290" s="34">
        <f t="shared" si="41"/>
        <v>4.9661413795287082E-3</v>
      </c>
    </row>
    <row r="1291" spans="1:7" x14ac:dyDescent="0.3">
      <c r="A1291" s="33">
        <v>44267</v>
      </c>
      <c r="B1291" s="34">
        <v>806.2</v>
      </c>
      <c r="C1291" s="34">
        <f t="shared" si="40"/>
        <v>-7.4147645691319819E-3</v>
      </c>
      <c r="E1291" s="33">
        <v>44267</v>
      </c>
      <c r="F1291" s="34">
        <v>50792.08</v>
      </c>
      <c r="G1291" s="34">
        <f t="shared" si="41"/>
        <v>-9.5508202664488073E-3</v>
      </c>
    </row>
    <row r="1292" spans="1:7" x14ac:dyDescent="0.3">
      <c r="A1292" s="33">
        <v>44270</v>
      </c>
      <c r="B1292" s="34">
        <v>805.3</v>
      </c>
      <c r="C1292" s="34">
        <f t="shared" si="40"/>
        <v>-1.1169718815662536E-3</v>
      </c>
      <c r="E1292" s="33">
        <v>44270</v>
      </c>
      <c r="F1292" s="34">
        <v>50395.08</v>
      </c>
      <c r="G1292" s="34">
        <f t="shared" si="41"/>
        <v>-7.8468856534430528E-3</v>
      </c>
    </row>
    <row r="1293" spans="1:7" x14ac:dyDescent="0.3">
      <c r="A1293" s="33">
        <v>44271</v>
      </c>
      <c r="B1293" s="34">
        <v>792.6</v>
      </c>
      <c r="C1293" s="34">
        <f t="shared" si="40"/>
        <v>-1.5896198045164546E-2</v>
      </c>
      <c r="E1293" s="33">
        <v>44271</v>
      </c>
      <c r="F1293" s="34">
        <v>50363.96</v>
      </c>
      <c r="G1293" s="34">
        <f t="shared" si="41"/>
        <v>-6.1771134360814699E-4</v>
      </c>
    </row>
    <row r="1294" spans="1:7" x14ac:dyDescent="0.3">
      <c r="A1294" s="33">
        <v>44272</v>
      </c>
      <c r="B1294" s="34">
        <v>772.85</v>
      </c>
      <c r="C1294" s="34">
        <f t="shared" si="40"/>
        <v>-2.5233700158007015E-2</v>
      </c>
      <c r="E1294" s="33">
        <v>44272</v>
      </c>
      <c r="F1294" s="34">
        <v>49801.62</v>
      </c>
      <c r="G1294" s="34">
        <f t="shared" si="41"/>
        <v>-1.1228326299050058E-2</v>
      </c>
    </row>
    <row r="1295" spans="1:7" x14ac:dyDescent="0.3">
      <c r="A1295" s="33">
        <v>44273</v>
      </c>
      <c r="B1295" s="34">
        <v>754.9</v>
      </c>
      <c r="C1295" s="34">
        <f t="shared" si="40"/>
        <v>-2.3499690452748499E-2</v>
      </c>
      <c r="E1295" s="33">
        <v>44273</v>
      </c>
      <c r="F1295" s="34">
        <v>49216.52</v>
      </c>
      <c r="G1295" s="34">
        <f t="shared" si="41"/>
        <v>-1.1818174124933046E-2</v>
      </c>
    </row>
    <row r="1296" spans="1:7" x14ac:dyDescent="0.3">
      <c r="A1296" s="33">
        <v>44274</v>
      </c>
      <c r="B1296" s="34">
        <v>760.5</v>
      </c>
      <c r="C1296" s="34">
        <f t="shared" si="40"/>
        <v>7.3908215537684934E-3</v>
      </c>
      <c r="E1296" s="33">
        <v>44274</v>
      </c>
      <c r="F1296" s="34">
        <v>49858.239999999998</v>
      </c>
      <c r="G1296" s="34">
        <f t="shared" si="41"/>
        <v>1.2954439138586923E-2</v>
      </c>
    </row>
    <row r="1297" spans="1:7" x14ac:dyDescent="0.3">
      <c r="A1297" s="33">
        <v>44277</v>
      </c>
      <c r="B1297" s="34">
        <v>772.8</v>
      </c>
      <c r="C1297" s="34">
        <f t="shared" si="40"/>
        <v>1.6044171198960688E-2</v>
      </c>
      <c r="E1297" s="33">
        <v>44277</v>
      </c>
      <c r="F1297" s="34">
        <v>49771.29</v>
      </c>
      <c r="G1297" s="34">
        <f t="shared" si="41"/>
        <v>-1.7454668726340466E-3</v>
      </c>
    </row>
    <row r="1298" spans="1:7" x14ac:dyDescent="0.3">
      <c r="A1298" s="33">
        <v>44278</v>
      </c>
      <c r="B1298" s="34">
        <v>776.3</v>
      </c>
      <c r="C1298" s="34">
        <f t="shared" si="40"/>
        <v>4.5187605133263798E-3</v>
      </c>
      <c r="E1298" s="33">
        <v>44278</v>
      </c>
      <c r="F1298" s="34">
        <v>50051.44</v>
      </c>
      <c r="G1298" s="34">
        <f t="shared" si="41"/>
        <v>5.6129648131006587E-3</v>
      </c>
    </row>
    <row r="1299" spans="1:7" x14ac:dyDescent="0.3">
      <c r="A1299" s="33">
        <v>44279</v>
      </c>
      <c r="B1299" s="34">
        <v>792.65</v>
      </c>
      <c r="C1299" s="34">
        <f t="shared" si="40"/>
        <v>2.084271887760222E-2</v>
      </c>
      <c r="E1299" s="33">
        <v>44279</v>
      </c>
      <c r="F1299" s="34">
        <v>49180.31</v>
      </c>
      <c r="G1299" s="34">
        <f t="shared" si="41"/>
        <v>-1.7557936432580839E-2</v>
      </c>
    </row>
    <row r="1300" spans="1:7" x14ac:dyDescent="0.3">
      <c r="A1300" s="33">
        <v>44280</v>
      </c>
      <c r="B1300" s="34">
        <v>787.45</v>
      </c>
      <c r="C1300" s="34">
        <f t="shared" si="40"/>
        <v>-6.5818856686470561E-3</v>
      </c>
      <c r="E1300" s="33">
        <v>44280</v>
      </c>
      <c r="F1300" s="34">
        <v>48440.12</v>
      </c>
      <c r="G1300" s="34">
        <f t="shared" si="41"/>
        <v>-1.5164944170218384E-2</v>
      </c>
    </row>
    <row r="1301" spans="1:7" x14ac:dyDescent="0.3">
      <c r="A1301" s="33">
        <v>44281</v>
      </c>
      <c r="B1301" s="34">
        <v>787.85</v>
      </c>
      <c r="C1301" s="34">
        <f t="shared" si="40"/>
        <v>5.0783978746481639E-4</v>
      </c>
      <c r="E1301" s="33">
        <v>44281</v>
      </c>
      <c r="F1301" s="34">
        <v>49008.5</v>
      </c>
      <c r="G1301" s="34">
        <f t="shared" si="41"/>
        <v>1.166535648098963E-2</v>
      </c>
    </row>
    <row r="1302" spans="1:7" x14ac:dyDescent="0.3">
      <c r="A1302" s="33">
        <v>44285</v>
      </c>
      <c r="B1302" s="34">
        <v>812.45</v>
      </c>
      <c r="C1302" s="34">
        <f t="shared" si="40"/>
        <v>3.074665744073083E-2</v>
      </c>
      <c r="E1302" s="33">
        <v>44285</v>
      </c>
      <c r="F1302" s="34">
        <v>50136.58</v>
      </c>
      <c r="G1302" s="34">
        <f t="shared" si="41"/>
        <v>2.2757128934740779E-2</v>
      </c>
    </row>
    <row r="1303" spans="1:7" x14ac:dyDescent="0.3">
      <c r="A1303" s="33">
        <v>44286</v>
      </c>
      <c r="B1303" s="34">
        <v>815.25</v>
      </c>
      <c r="C1303" s="34">
        <f t="shared" si="40"/>
        <v>3.4404408206432282E-3</v>
      </c>
      <c r="E1303" s="33">
        <v>44286</v>
      </c>
      <c r="F1303" s="34">
        <v>49509.15</v>
      </c>
      <c r="G1303" s="34">
        <f t="shared" si="41"/>
        <v>-1.2593380411931034E-2</v>
      </c>
    </row>
    <row r="1304" spans="1:7" x14ac:dyDescent="0.3">
      <c r="A1304" s="33">
        <v>44287</v>
      </c>
      <c r="B1304" s="34">
        <v>818.3</v>
      </c>
      <c r="C1304" s="34">
        <f t="shared" si="40"/>
        <v>3.7342028639073739E-3</v>
      </c>
      <c r="E1304" s="33">
        <v>44287</v>
      </c>
      <c r="F1304" s="34">
        <v>50029.83</v>
      </c>
      <c r="G1304" s="34">
        <f t="shared" si="41"/>
        <v>1.0461926556000251E-2</v>
      </c>
    </row>
    <row r="1305" spans="1:7" x14ac:dyDescent="0.3">
      <c r="A1305" s="33">
        <v>44291</v>
      </c>
      <c r="B1305" s="34">
        <v>819.35</v>
      </c>
      <c r="C1305" s="34">
        <f t="shared" si="40"/>
        <v>1.282325458897062E-3</v>
      </c>
      <c r="E1305" s="33">
        <v>44291</v>
      </c>
      <c r="F1305" s="34">
        <v>49159.32</v>
      </c>
      <c r="G1305" s="34">
        <f t="shared" si="41"/>
        <v>-1.7552975315003674E-2</v>
      </c>
    </row>
    <row r="1306" spans="1:7" x14ac:dyDescent="0.3">
      <c r="A1306" s="33">
        <v>44292</v>
      </c>
      <c r="B1306" s="34">
        <v>836.2</v>
      </c>
      <c r="C1306" s="34">
        <f t="shared" si="40"/>
        <v>2.0356475930231689E-2</v>
      </c>
      <c r="E1306" s="33">
        <v>44292</v>
      </c>
      <c r="F1306" s="34">
        <v>49201.39</v>
      </c>
      <c r="G1306" s="34">
        <f t="shared" si="41"/>
        <v>8.5542291358799193E-4</v>
      </c>
    </row>
    <row r="1307" spans="1:7" x14ac:dyDescent="0.3">
      <c r="A1307" s="33">
        <v>44293</v>
      </c>
      <c r="B1307" s="34">
        <v>840.6</v>
      </c>
      <c r="C1307" s="34">
        <f t="shared" si="40"/>
        <v>5.2481036485517432E-3</v>
      </c>
      <c r="E1307" s="33">
        <v>44293</v>
      </c>
      <c r="F1307" s="34">
        <v>49661.760000000002</v>
      </c>
      <c r="G1307" s="34">
        <f t="shared" si="41"/>
        <v>9.3133453190934051E-3</v>
      </c>
    </row>
    <row r="1308" spans="1:7" x14ac:dyDescent="0.3">
      <c r="A1308" s="33">
        <v>44294</v>
      </c>
      <c r="B1308" s="34">
        <v>841.75</v>
      </c>
      <c r="C1308" s="34">
        <f t="shared" si="40"/>
        <v>1.3671354701675449E-3</v>
      </c>
      <c r="E1308" s="33">
        <v>44294</v>
      </c>
      <c r="F1308" s="34">
        <v>49746.21</v>
      </c>
      <c r="G1308" s="34">
        <f t="shared" si="41"/>
        <v>1.6990593473715941E-3</v>
      </c>
    </row>
    <row r="1309" spans="1:7" x14ac:dyDescent="0.3">
      <c r="A1309" s="33">
        <v>44295</v>
      </c>
      <c r="B1309" s="34">
        <v>882.3</v>
      </c>
      <c r="C1309" s="34">
        <f t="shared" si="40"/>
        <v>4.7049076186875149E-2</v>
      </c>
      <c r="E1309" s="33">
        <v>44295</v>
      </c>
      <c r="F1309" s="34">
        <v>49591.32</v>
      </c>
      <c r="G1309" s="34">
        <f t="shared" si="41"/>
        <v>-3.1184613815715911E-3</v>
      </c>
    </row>
    <row r="1310" spans="1:7" x14ac:dyDescent="0.3">
      <c r="A1310" s="33">
        <v>44298</v>
      </c>
      <c r="B1310" s="34">
        <v>903</v>
      </c>
      <c r="C1310" s="34">
        <f t="shared" si="40"/>
        <v>2.3190419188926351E-2</v>
      </c>
      <c r="E1310" s="33">
        <v>44298</v>
      </c>
      <c r="F1310" s="34">
        <v>47883.38</v>
      </c>
      <c r="G1310" s="34">
        <f t="shared" si="41"/>
        <v>-3.5047347068861347E-2</v>
      </c>
    </row>
    <row r="1311" spans="1:7" x14ac:dyDescent="0.3">
      <c r="A1311" s="33">
        <v>44299</v>
      </c>
      <c r="B1311" s="34">
        <v>885.2</v>
      </c>
      <c r="C1311" s="34">
        <f t="shared" si="40"/>
        <v>-1.990894524009074E-2</v>
      </c>
      <c r="E1311" s="33">
        <v>44299</v>
      </c>
      <c r="F1311" s="34">
        <v>48544.06</v>
      </c>
      <c r="G1311" s="34">
        <f t="shared" si="41"/>
        <v>1.370336780971371E-2</v>
      </c>
    </row>
    <row r="1312" spans="1:7" x14ac:dyDescent="0.3">
      <c r="A1312" s="33">
        <v>44301</v>
      </c>
      <c r="B1312" s="34">
        <v>914.2</v>
      </c>
      <c r="C1312" s="34">
        <f t="shared" si="40"/>
        <v>3.2235757720749408E-2</v>
      </c>
      <c r="E1312" s="33">
        <v>44301</v>
      </c>
      <c r="F1312" s="34">
        <v>48803.68</v>
      </c>
      <c r="G1312" s="34">
        <f t="shared" si="41"/>
        <v>5.333880694540852E-3</v>
      </c>
    </row>
    <row r="1313" spans="1:7" x14ac:dyDescent="0.3">
      <c r="A1313" s="33">
        <v>44302</v>
      </c>
      <c r="B1313" s="34">
        <v>938.7</v>
      </c>
      <c r="C1313" s="34">
        <f t="shared" si="40"/>
        <v>2.6446573445302123E-2</v>
      </c>
      <c r="E1313" s="33">
        <v>44302</v>
      </c>
      <c r="F1313" s="34">
        <v>48832.03</v>
      </c>
      <c r="G1313" s="34">
        <f t="shared" si="41"/>
        <v>5.8073016105990142E-4</v>
      </c>
    </row>
    <row r="1314" spans="1:7" x14ac:dyDescent="0.3">
      <c r="A1314" s="33">
        <v>44305</v>
      </c>
      <c r="B1314" s="34">
        <v>946.6</v>
      </c>
      <c r="C1314" s="34">
        <f t="shared" si="40"/>
        <v>8.3806781292014437E-3</v>
      </c>
      <c r="E1314" s="33">
        <v>44305</v>
      </c>
      <c r="F1314" s="34">
        <v>47949.42</v>
      </c>
      <c r="G1314" s="34">
        <f t="shared" si="41"/>
        <v>-1.8239744690021143E-2</v>
      </c>
    </row>
    <row r="1315" spans="1:7" x14ac:dyDescent="0.3">
      <c r="A1315" s="33">
        <v>44306</v>
      </c>
      <c r="B1315" s="34">
        <v>949.3</v>
      </c>
      <c r="C1315" s="34">
        <f t="shared" si="40"/>
        <v>2.8482534156051794E-3</v>
      </c>
      <c r="E1315" s="33">
        <v>44306</v>
      </c>
      <c r="F1315" s="34">
        <v>47705.8</v>
      </c>
      <c r="G1315" s="34">
        <f t="shared" si="41"/>
        <v>-5.0937215291918577E-3</v>
      </c>
    </row>
    <row r="1316" spans="1:7" x14ac:dyDescent="0.3">
      <c r="A1316" s="33">
        <v>44308</v>
      </c>
      <c r="B1316" s="34">
        <v>944.35</v>
      </c>
      <c r="C1316" s="34">
        <f t="shared" si="40"/>
        <v>-5.2280107458977038E-3</v>
      </c>
      <c r="E1316" s="33">
        <v>44308</v>
      </c>
      <c r="F1316" s="34">
        <v>48080.67</v>
      </c>
      <c r="G1316" s="34">
        <f t="shared" si="41"/>
        <v>7.8272414441772856E-3</v>
      </c>
    </row>
    <row r="1317" spans="1:7" x14ac:dyDescent="0.3">
      <c r="A1317" s="33">
        <v>44309</v>
      </c>
      <c r="B1317" s="34">
        <v>935.5</v>
      </c>
      <c r="C1317" s="34">
        <f t="shared" si="40"/>
        <v>-9.4157144277107994E-3</v>
      </c>
      <c r="E1317" s="33">
        <v>44309</v>
      </c>
      <c r="F1317" s="34">
        <v>47878.45</v>
      </c>
      <c r="G1317" s="34">
        <f t="shared" si="41"/>
        <v>-4.2147176704060976E-3</v>
      </c>
    </row>
    <row r="1318" spans="1:7" x14ac:dyDescent="0.3">
      <c r="A1318" s="33">
        <v>44312</v>
      </c>
      <c r="B1318" s="34">
        <v>900.4</v>
      </c>
      <c r="C1318" s="34">
        <f t="shared" si="40"/>
        <v>-3.8242036681567095E-2</v>
      </c>
      <c r="E1318" s="33">
        <v>44312</v>
      </c>
      <c r="F1318" s="34">
        <v>48386.51</v>
      </c>
      <c r="G1318" s="34">
        <f t="shared" si="41"/>
        <v>1.0555548297353584E-2</v>
      </c>
    </row>
    <row r="1319" spans="1:7" x14ac:dyDescent="0.3">
      <c r="A1319" s="33">
        <v>44313</v>
      </c>
      <c r="B1319" s="34">
        <v>912.25</v>
      </c>
      <c r="C1319" s="34">
        <f t="shared" si="40"/>
        <v>1.3074966283979779E-2</v>
      </c>
      <c r="E1319" s="33">
        <v>44313</v>
      </c>
      <c r="F1319" s="34">
        <v>48944.14</v>
      </c>
      <c r="G1319" s="34">
        <f t="shared" si="41"/>
        <v>1.1458591951396105E-2</v>
      </c>
    </row>
    <row r="1320" spans="1:7" x14ac:dyDescent="0.3">
      <c r="A1320" s="33">
        <v>44314</v>
      </c>
      <c r="B1320" s="34">
        <v>910.45</v>
      </c>
      <c r="C1320" s="34">
        <f t="shared" si="40"/>
        <v>-1.9750925387047036E-3</v>
      </c>
      <c r="E1320" s="33">
        <v>44314</v>
      </c>
      <c r="F1320" s="34">
        <v>49733.84</v>
      </c>
      <c r="G1320" s="34">
        <f t="shared" si="41"/>
        <v>1.6005938900861171E-2</v>
      </c>
    </row>
    <row r="1321" spans="1:7" x14ac:dyDescent="0.3">
      <c r="A1321" s="33">
        <v>44315</v>
      </c>
      <c r="B1321" s="34">
        <v>906.5</v>
      </c>
      <c r="C1321" s="34">
        <f t="shared" si="40"/>
        <v>-4.3479525829466445E-3</v>
      </c>
      <c r="E1321" s="33">
        <v>44315</v>
      </c>
      <c r="F1321" s="34">
        <v>49765.94</v>
      </c>
      <c r="G1321" s="34">
        <f t="shared" si="41"/>
        <v>6.4522757967214119E-4</v>
      </c>
    </row>
    <row r="1322" spans="1:7" x14ac:dyDescent="0.3">
      <c r="A1322" s="33">
        <v>44316</v>
      </c>
      <c r="B1322" s="34">
        <v>911.3</v>
      </c>
      <c r="C1322" s="34">
        <f t="shared" si="40"/>
        <v>5.2811213071754246E-3</v>
      </c>
      <c r="E1322" s="33">
        <v>44316</v>
      </c>
      <c r="F1322" s="34">
        <v>48782.36</v>
      </c>
      <c r="G1322" s="34">
        <f t="shared" si="41"/>
        <v>-1.996204219560806E-2</v>
      </c>
    </row>
    <row r="1323" spans="1:7" x14ac:dyDescent="0.3">
      <c r="A1323" s="33">
        <v>44319</v>
      </c>
      <c r="B1323" s="34">
        <v>909.55</v>
      </c>
      <c r="C1323" s="34">
        <f t="shared" si="40"/>
        <v>-1.9221797938560037E-3</v>
      </c>
      <c r="E1323" s="33">
        <v>44319</v>
      </c>
      <c r="F1323" s="34">
        <v>48718.52</v>
      </c>
      <c r="G1323" s="34">
        <f t="shared" si="41"/>
        <v>-1.3095268293590962E-3</v>
      </c>
    </row>
    <row r="1324" spans="1:7" x14ac:dyDescent="0.3">
      <c r="A1324" s="33">
        <v>44320</v>
      </c>
      <c r="B1324" s="34">
        <v>878.55</v>
      </c>
      <c r="C1324" s="34">
        <f t="shared" si="40"/>
        <v>-3.4677150504324204E-2</v>
      </c>
      <c r="E1324" s="33">
        <v>44320</v>
      </c>
      <c r="F1324" s="34">
        <v>48253.51</v>
      </c>
      <c r="G1324" s="34">
        <f t="shared" si="41"/>
        <v>-9.5906740188077128E-3</v>
      </c>
    </row>
    <row r="1325" spans="1:7" x14ac:dyDescent="0.3">
      <c r="A1325" s="33">
        <v>44321</v>
      </c>
      <c r="B1325" s="34">
        <v>888.7</v>
      </c>
      <c r="C1325" s="34">
        <f t="shared" si="40"/>
        <v>1.1486899540528667E-2</v>
      </c>
      <c r="E1325" s="33">
        <v>44321</v>
      </c>
      <c r="F1325" s="34">
        <v>48677.55</v>
      </c>
      <c r="G1325" s="34">
        <f t="shared" si="41"/>
        <v>8.7493669226068587E-3</v>
      </c>
    </row>
    <row r="1326" spans="1:7" x14ac:dyDescent="0.3">
      <c r="A1326" s="33">
        <v>44322</v>
      </c>
      <c r="B1326" s="34">
        <v>883.8</v>
      </c>
      <c r="C1326" s="34">
        <f t="shared" si="40"/>
        <v>-5.5289280477900686E-3</v>
      </c>
      <c r="E1326" s="33">
        <v>44322</v>
      </c>
      <c r="F1326" s="34">
        <v>48949.760000000002</v>
      </c>
      <c r="G1326" s="34">
        <f t="shared" si="41"/>
        <v>5.5765278265722052E-3</v>
      </c>
    </row>
    <row r="1327" spans="1:7" x14ac:dyDescent="0.3">
      <c r="A1327" s="33">
        <v>44323</v>
      </c>
      <c r="B1327" s="34">
        <v>882.95</v>
      </c>
      <c r="C1327" s="34">
        <f t="shared" si="40"/>
        <v>-9.6221883750618054E-4</v>
      </c>
      <c r="E1327" s="33">
        <v>44323</v>
      </c>
      <c r="F1327" s="34">
        <v>49206.47</v>
      </c>
      <c r="G1327" s="34">
        <f t="shared" si="41"/>
        <v>5.2306529151080697E-3</v>
      </c>
    </row>
    <row r="1328" spans="1:7" x14ac:dyDescent="0.3">
      <c r="A1328" s="33">
        <v>44326</v>
      </c>
      <c r="B1328" s="34">
        <v>900.25</v>
      </c>
      <c r="C1328" s="34">
        <f t="shared" si="40"/>
        <v>1.9403928669851227E-2</v>
      </c>
      <c r="E1328" s="33">
        <v>44326</v>
      </c>
      <c r="F1328" s="34">
        <v>49502.41</v>
      </c>
      <c r="G1328" s="34">
        <f t="shared" si="41"/>
        <v>5.9962363407630023E-3</v>
      </c>
    </row>
    <row r="1329" spans="1:7" x14ac:dyDescent="0.3">
      <c r="A1329" s="33">
        <v>44327</v>
      </c>
      <c r="B1329" s="34">
        <v>890.75</v>
      </c>
      <c r="C1329" s="34">
        <f t="shared" si="40"/>
        <v>-1.0608698043039235E-2</v>
      </c>
      <c r="E1329" s="33">
        <v>44327</v>
      </c>
      <c r="F1329" s="34">
        <v>49161.81</v>
      </c>
      <c r="G1329" s="34">
        <f t="shared" si="41"/>
        <v>-6.9042526864486198E-3</v>
      </c>
    </row>
    <row r="1330" spans="1:7" x14ac:dyDescent="0.3">
      <c r="A1330" s="33">
        <v>44328</v>
      </c>
      <c r="B1330" s="34">
        <v>898.7</v>
      </c>
      <c r="C1330" s="34">
        <f t="shared" si="40"/>
        <v>8.8854701783824524E-3</v>
      </c>
      <c r="E1330" s="33">
        <v>44328</v>
      </c>
      <c r="F1330" s="34">
        <v>48690.8</v>
      </c>
      <c r="G1330" s="34">
        <f t="shared" si="41"/>
        <v>-9.6270020335473515E-3</v>
      </c>
    </row>
    <row r="1331" spans="1:7" x14ac:dyDescent="0.3">
      <c r="A1331" s="33">
        <v>44330</v>
      </c>
      <c r="B1331" s="34">
        <v>904.1</v>
      </c>
      <c r="C1331" s="34">
        <f t="shared" si="40"/>
        <v>5.9906990789929801E-3</v>
      </c>
      <c r="E1331" s="33">
        <v>44330</v>
      </c>
      <c r="F1331" s="34">
        <v>48732.55</v>
      </c>
      <c r="G1331" s="34">
        <f t="shared" si="41"/>
        <v>8.5708410880503587E-4</v>
      </c>
    </row>
    <row r="1332" spans="1:7" x14ac:dyDescent="0.3">
      <c r="A1332" s="33">
        <v>44333</v>
      </c>
      <c r="B1332" s="34">
        <v>881.05</v>
      </c>
      <c r="C1332" s="34">
        <f t="shared" si="40"/>
        <v>-2.5825595728581174E-2</v>
      </c>
      <c r="E1332" s="33">
        <v>44333</v>
      </c>
      <c r="F1332" s="34">
        <v>49580.73</v>
      </c>
      <c r="G1332" s="34">
        <f t="shared" si="41"/>
        <v>1.7255065530581603E-2</v>
      </c>
    </row>
    <row r="1333" spans="1:7" x14ac:dyDescent="0.3">
      <c r="A1333" s="33">
        <v>44334</v>
      </c>
      <c r="B1333" s="34">
        <v>884.15</v>
      </c>
      <c r="C1333" s="34">
        <f t="shared" si="40"/>
        <v>3.5123534862467401E-3</v>
      </c>
      <c r="E1333" s="33">
        <v>44334</v>
      </c>
      <c r="F1333" s="34">
        <v>50193.33</v>
      </c>
      <c r="G1333" s="34">
        <f t="shared" si="41"/>
        <v>1.2279899166427492E-2</v>
      </c>
    </row>
    <row r="1334" spans="1:7" x14ac:dyDescent="0.3">
      <c r="A1334" s="33">
        <v>44335</v>
      </c>
      <c r="B1334" s="34">
        <v>904.05</v>
      </c>
      <c r="C1334" s="34">
        <f t="shared" si="40"/>
        <v>2.225793709617653E-2</v>
      </c>
      <c r="E1334" s="33">
        <v>44335</v>
      </c>
      <c r="F1334" s="34">
        <v>49902.64</v>
      </c>
      <c r="G1334" s="34">
        <f t="shared" si="41"/>
        <v>-5.808242174349402E-3</v>
      </c>
    </row>
    <row r="1335" spans="1:7" x14ac:dyDescent="0.3">
      <c r="A1335" s="33">
        <v>44336</v>
      </c>
      <c r="B1335" s="34">
        <v>924.6</v>
      </c>
      <c r="C1335" s="34">
        <f t="shared" si="40"/>
        <v>2.2476542956962269E-2</v>
      </c>
      <c r="E1335" s="33">
        <v>44336</v>
      </c>
      <c r="F1335" s="34">
        <v>49564.86</v>
      </c>
      <c r="G1335" s="34">
        <f t="shared" si="41"/>
        <v>-6.7917922625534656E-3</v>
      </c>
    </row>
    <row r="1336" spans="1:7" x14ac:dyDescent="0.3">
      <c r="A1336" s="33">
        <v>44337</v>
      </c>
      <c r="B1336" s="34">
        <v>926.85</v>
      </c>
      <c r="C1336" s="34">
        <f t="shared" si="40"/>
        <v>2.4305286209730906E-3</v>
      </c>
      <c r="E1336" s="33">
        <v>44337</v>
      </c>
      <c r="F1336" s="34">
        <v>50540.480000000003</v>
      </c>
      <c r="G1336" s="34">
        <f t="shared" si="41"/>
        <v>1.9492484435648178E-2</v>
      </c>
    </row>
    <row r="1337" spans="1:7" x14ac:dyDescent="0.3">
      <c r="A1337" s="33">
        <v>44340</v>
      </c>
      <c r="B1337" s="34">
        <v>930.7</v>
      </c>
      <c r="C1337" s="34">
        <f t="shared" si="40"/>
        <v>4.1452510165666725E-3</v>
      </c>
      <c r="E1337" s="33">
        <v>44340</v>
      </c>
      <c r="F1337" s="34">
        <v>50651.9</v>
      </c>
      <c r="G1337" s="34">
        <f t="shared" si="41"/>
        <v>2.2021429879795569E-3</v>
      </c>
    </row>
    <row r="1338" spans="1:7" x14ac:dyDescent="0.3">
      <c r="A1338" s="33">
        <v>44341</v>
      </c>
      <c r="B1338" s="34">
        <v>935.85</v>
      </c>
      <c r="C1338" s="34">
        <f t="shared" si="40"/>
        <v>5.5182160332401227E-3</v>
      </c>
      <c r="E1338" s="33">
        <v>44341</v>
      </c>
      <c r="F1338" s="34">
        <v>50637.53</v>
      </c>
      <c r="G1338" s="34">
        <f t="shared" si="41"/>
        <v>-2.8374135576466529E-4</v>
      </c>
    </row>
    <row r="1339" spans="1:7" x14ac:dyDescent="0.3">
      <c r="A1339" s="33">
        <v>44342</v>
      </c>
      <c r="B1339" s="34">
        <v>945.1</v>
      </c>
      <c r="C1339" s="34">
        <f t="shared" si="40"/>
        <v>9.8355347761053639E-3</v>
      </c>
      <c r="E1339" s="33">
        <v>44342</v>
      </c>
      <c r="F1339" s="34">
        <v>51017.52</v>
      </c>
      <c r="G1339" s="34">
        <f t="shared" si="41"/>
        <v>7.4761021684292507E-3</v>
      </c>
    </row>
    <row r="1340" spans="1:7" x14ac:dyDescent="0.3">
      <c r="A1340" s="33">
        <v>44343</v>
      </c>
      <c r="B1340" s="34">
        <v>942.5</v>
      </c>
      <c r="C1340" s="34">
        <f t="shared" si="40"/>
        <v>-2.7548226788446199E-3</v>
      </c>
      <c r="E1340" s="33">
        <v>44343</v>
      </c>
      <c r="F1340" s="34">
        <v>51115.22</v>
      </c>
      <c r="G1340" s="34">
        <f t="shared" si="41"/>
        <v>1.9131970766893488E-3</v>
      </c>
    </row>
    <row r="1341" spans="1:7" x14ac:dyDescent="0.3">
      <c r="A1341" s="33">
        <v>44344</v>
      </c>
      <c r="B1341" s="34">
        <v>934.5</v>
      </c>
      <c r="C1341" s="34">
        <f t="shared" si="40"/>
        <v>-8.5242924265483463E-3</v>
      </c>
      <c r="E1341" s="33">
        <v>44344</v>
      </c>
      <c r="F1341" s="34">
        <v>51422.879999999997</v>
      </c>
      <c r="G1341" s="34">
        <f t="shared" si="41"/>
        <v>6.0009093841068223E-3</v>
      </c>
    </row>
    <row r="1342" spans="1:7" x14ac:dyDescent="0.3">
      <c r="A1342" s="33">
        <v>44347</v>
      </c>
      <c r="B1342" s="34">
        <v>949.15</v>
      </c>
      <c r="C1342" s="34">
        <f t="shared" si="40"/>
        <v>1.5555220340933262E-2</v>
      </c>
      <c r="E1342" s="33">
        <v>44347</v>
      </c>
      <c r="F1342" s="34">
        <v>51937.440000000002</v>
      </c>
      <c r="G1342" s="34">
        <f t="shared" si="41"/>
        <v>9.9567077761743127E-3</v>
      </c>
    </row>
    <row r="1343" spans="1:7" x14ac:dyDescent="0.3">
      <c r="A1343" s="33">
        <v>44348</v>
      </c>
      <c r="B1343" s="34">
        <v>946.4</v>
      </c>
      <c r="C1343" s="34">
        <f t="shared" si="40"/>
        <v>-2.9015345723739047E-3</v>
      </c>
      <c r="E1343" s="33">
        <v>44348</v>
      </c>
      <c r="F1343" s="34">
        <v>51934.879999999997</v>
      </c>
      <c r="G1343" s="34">
        <f t="shared" si="41"/>
        <v>-4.9291283770728784E-5</v>
      </c>
    </row>
    <row r="1344" spans="1:7" x14ac:dyDescent="0.3">
      <c r="A1344" s="33">
        <v>44349</v>
      </c>
      <c r="B1344" s="34">
        <v>954.55</v>
      </c>
      <c r="C1344" s="34">
        <f t="shared" si="40"/>
        <v>8.5747125764912332E-3</v>
      </c>
      <c r="E1344" s="33">
        <v>44349</v>
      </c>
      <c r="F1344" s="34">
        <v>51849.48</v>
      </c>
      <c r="G1344" s="34">
        <f t="shared" si="41"/>
        <v>-1.6457204009301637E-3</v>
      </c>
    </row>
    <row r="1345" spans="1:7" x14ac:dyDescent="0.3">
      <c r="A1345" s="33">
        <v>44350</v>
      </c>
      <c r="B1345" s="34">
        <v>948.5</v>
      </c>
      <c r="C1345" s="34">
        <f t="shared" si="40"/>
        <v>-6.3582358655992948E-3</v>
      </c>
      <c r="E1345" s="33">
        <v>44350</v>
      </c>
      <c r="F1345" s="34">
        <v>52232.43</v>
      </c>
      <c r="G1345" s="34">
        <f t="shared" si="41"/>
        <v>7.3586606559525262E-3</v>
      </c>
    </row>
    <row r="1346" spans="1:7" x14ac:dyDescent="0.3">
      <c r="A1346" s="33">
        <v>44351</v>
      </c>
      <c r="B1346" s="34">
        <v>946.55</v>
      </c>
      <c r="C1346" s="34">
        <f t="shared" si="40"/>
        <v>-2.0579939191499464E-3</v>
      </c>
      <c r="E1346" s="33">
        <v>44351</v>
      </c>
      <c r="F1346" s="34">
        <v>52100.05</v>
      </c>
      <c r="G1346" s="34">
        <f t="shared" si="41"/>
        <v>-2.5376578998351496E-3</v>
      </c>
    </row>
    <row r="1347" spans="1:7" x14ac:dyDescent="0.3">
      <c r="A1347" s="33">
        <v>44354</v>
      </c>
      <c r="B1347" s="34">
        <v>940.5</v>
      </c>
      <c r="C1347" s="34">
        <f t="shared" si="40"/>
        <v>-6.4121467148338385E-3</v>
      </c>
      <c r="E1347" s="33">
        <v>44354</v>
      </c>
      <c r="F1347" s="34">
        <v>52328.51</v>
      </c>
      <c r="G1347" s="34">
        <f t="shared" si="41"/>
        <v>4.3754383758333485E-3</v>
      </c>
    </row>
    <row r="1348" spans="1:7" x14ac:dyDescent="0.3">
      <c r="A1348" s="33">
        <v>44355</v>
      </c>
      <c r="B1348" s="34">
        <v>953.35</v>
      </c>
      <c r="C1348" s="34">
        <f t="shared" si="40"/>
        <v>1.3570448769368583E-2</v>
      </c>
      <c r="E1348" s="33">
        <v>44355</v>
      </c>
      <c r="F1348" s="34">
        <v>52275.57</v>
      </c>
      <c r="G1348" s="34">
        <f t="shared" si="41"/>
        <v>-1.0121976985973543E-3</v>
      </c>
    </row>
    <row r="1349" spans="1:7" x14ac:dyDescent="0.3">
      <c r="A1349" s="33">
        <v>44356</v>
      </c>
      <c r="B1349" s="34">
        <v>958.5</v>
      </c>
      <c r="C1349" s="34">
        <f t="shared" si="40"/>
        <v>5.3874649752454684E-3</v>
      </c>
      <c r="E1349" s="33">
        <v>44356</v>
      </c>
      <c r="F1349" s="34">
        <v>51941.64</v>
      </c>
      <c r="G1349" s="34">
        <f t="shared" si="41"/>
        <v>-6.408368498760619E-3</v>
      </c>
    </row>
    <row r="1350" spans="1:7" x14ac:dyDescent="0.3">
      <c r="A1350" s="33">
        <v>44357</v>
      </c>
      <c r="B1350" s="34">
        <v>974.4</v>
      </c>
      <c r="C1350" s="34">
        <f t="shared" si="40"/>
        <v>1.645233446993332E-2</v>
      </c>
      <c r="E1350" s="33">
        <v>44357</v>
      </c>
      <c r="F1350" s="34">
        <v>52300.47</v>
      </c>
      <c r="G1350" s="34">
        <f t="shared" si="41"/>
        <v>6.8845770159421038E-3</v>
      </c>
    </row>
    <row r="1351" spans="1:7" x14ac:dyDescent="0.3">
      <c r="A1351" s="33">
        <v>44358</v>
      </c>
      <c r="B1351" s="34">
        <v>967.75</v>
      </c>
      <c r="C1351" s="34">
        <f t="shared" ref="C1351:C1414" si="42">LN(B1351/B1350)</f>
        <v>-6.8481074978750519E-3</v>
      </c>
      <c r="E1351" s="33">
        <v>44358</v>
      </c>
      <c r="F1351" s="34">
        <v>52474.76</v>
      </c>
      <c r="G1351" s="34">
        <f t="shared" ref="G1351:G1414" si="43">LN(F1351/F1350)</f>
        <v>3.3269344435818342E-3</v>
      </c>
    </row>
    <row r="1352" spans="1:7" x14ac:dyDescent="0.3">
      <c r="A1352" s="33">
        <v>44361</v>
      </c>
      <c r="B1352" s="34">
        <v>976.2</v>
      </c>
      <c r="C1352" s="34">
        <f t="shared" si="42"/>
        <v>8.6936939952897835E-3</v>
      </c>
      <c r="E1352" s="33">
        <v>44361</v>
      </c>
      <c r="F1352" s="34">
        <v>52551.53</v>
      </c>
      <c r="G1352" s="34">
        <f t="shared" si="43"/>
        <v>1.4619199378136166E-3</v>
      </c>
    </row>
    <row r="1353" spans="1:7" x14ac:dyDescent="0.3">
      <c r="A1353" s="33">
        <v>44362</v>
      </c>
      <c r="B1353" s="34">
        <v>969.6</v>
      </c>
      <c r="C1353" s="34">
        <f t="shared" si="42"/>
        <v>-6.7838681379971842E-3</v>
      </c>
      <c r="E1353" s="33">
        <v>44362</v>
      </c>
      <c r="F1353" s="34">
        <v>52773.05</v>
      </c>
      <c r="G1353" s="34">
        <f t="shared" si="43"/>
        <v>4.2064317110479593E-3</v>
      </c>
    </row>
    <row r="1354" spans="1:7" x14ac:dyDescent="0.3">
      <c r="A1354" s="33">
        <v>44363</v>
      </c>
      <c r="B1354" s="34">
        <v>956.6</v>
      </c>
      <c r="C1354" s="34">
        <f t="shared" si="42"/>
        <v>-1.3498284068853519E-2</v>
      </c>
      <c r="E1354" s="33">
        <v>44363</v>
      </c>
      <c r="F1354" s="34">
        <v>52501.98</v>
      </c>
      <c r="G1354" s="34">
        <f t="shared" si="43"/>
        <v>-5.1497605664932843E-3</v>
      </c>
    </row>
    <row r="1355" spans="1:7" x14ac:dyDescent="0.3">
      <c r="A1355" s="33">
        <v>44364</v>
      </c>
      <c r="B1355" s="34">
        <v>950.9</v>
      </c>
      <c r="C1355" s="34">
        <f t="shared" si="42"/>
        <v>-5.9764267007979578E-3</v>
      </c>
      <c r="E1355" s="33">
        <v>44364</v>
      </c>
      <c r="F1355" s="34">
        <v>52323.33</v>
      </c>
      <c r="G1355" s="34">
        <f t="shared" si="43"/>
        <v>-3.4085312595634643E-3</v>
      </c>
    </row>
    <row r="1356" spans="1:7" x14ac:dyDescent="0.3">
      <c r="A1356" s="33">
        <v>44365</v>
      </c>
      <c r="B1356" s="34">
        <v>960.25</v>
      </c>
      <c r="C1356" s="34">
        <f t="shared" si="42"/>
        <v>9.7847626806156756E-3</v>
      </c>
      <c r="E1356" s="33">
        <v>44365</v>
      </c>
      <c r="F1356" s="34">
        <v>52344.45</v>
      </c>
      <c r="G1356" s="34">
        <f t="shared" si="43"/>
        <v>4.0356259178589253E-4</v>
      </c>
    </row>
    <row r="1357" spans="1:7" x14ac:dyDescent="0.3">
      <c r="A1357" s="33">
        <v>44368</v>
      </c>
      <c r="B1357" s="34">
        <v>960</v>
      </c>
      <c r="C1357" s="34">
        <f t="shared" si="42"/>
        <v>-2.6038276413221532E-4</v>
      </c>
      <c r="E1357" s="33">
        <v>44368</v>
      </c>
      <c r="F1357" s="34">
        <v>52574.46</v>
      </c>
      <c r="G1357" s="34">
        <f t="shared" si="43"/>
        <v>4.3845359902974978E-3</v>
      </c>
    </row>
    <row r="1358" spans="1:7" x14ac:dyDescent="0.3">
      <c r="A1358" s="33">
        <v>44369</v>
      </c>
      <c r="B1358" s="34">
        <v>955.65</v>
      </c>
      <c r="C1358" s="34">
        <f t="shared" si="42"/>
        <v>-4.5415472312750208E-3</v>
      </c>
      <c r="E1358" s="33">
        <v>44369</v>
      </c>
      <c r="F1358" s="34">
        <v>52588.71</v>
      </c>
      <c r="G1358" s="34">
        <f t="shared" si="43"/>
        <v>2.7100742754749939E-4</v>
      </c>
    </row>
    <row r="1359" spans="1:7" x14ac:dyDescent="0.3">
      <c r="A1359" s="33">
        <v>44370</v>
      </c>
      <c r="B1359" s="34">
        <v>957.8</v>
      </c>
      <c r="C1359" s="34">
        <f t="shared" si="42"/>
        <v>2.2472506779020393E-3</v>
      </c>
      <c r="E1359" s="33">
        <v>44370</v>
      </c>
      <c r="F1359" s="34">
        <v>52306.080000000002</v>
      </c>
      <c r="G1359" s="34">
        <f t="shared" si="43"/>
        <v>-5.3888412180447482E-3</v>
      </c>
    </row>
    <row r="1360" spans="1:7" x14ac:dyDescent="0.3">
      <c r="A1360" s="33">
        <v>44371</v>
      </c>
      <c r="B1360" s="34">
        <v>950.5</v>
      </c>
      <c r="C1360" s="34">
        <f t="shared" si="42"/>
        <v>-7.6508259800250967E-3</v>
      </c>
      <c r="E1360" s="33">
        <v>44371</v>
      </c>
      <c r="F1360" s="34">
        <v>52699</v>
      </c>
      <c r="G1360" s="34">
        <f t="shared" si="43"/>
        <v>7.4838633310652849E-3</v>
      </c>
    </row>
    <row r="1361" spans="1:7" x14ac:dyDescent="0.3">
      <c r="A1361" s="33">
        <v>44372</v>
      </c>
      <c r="B1361" s="34">
        <v>956.55</v>
      </c>
      <c r="C1361" s="34">
        <f t="shared" si="42"/>
        <v>6.3448995009065283E-3</v>
      </c>
      <c r="E1361" s="33">
        <v>44372</v>
      </c>
      <c r="F1361" s="34">
        <v>52925.04</v>
      </c>
      <c r="G1361" s="34">
        <f t="shared" si="43"/>
        <v>4.280092771919224E-3</v>
      </c>
    </row>
    <row r="1362" spans="1:7" x14ac:dyDescent="0.3">
      <c r="A1362" s="33">
        <v>44375</v>
      </c>
      <c r="B1362" s="34">
        <v>962.65</v>
      </c>
      <c r="C1362" s="34">
        <f t="shared" si="42"/>
        <v>6.3568367459542899E-3</v>
      </c>
      <c r="E1362" s="33">
        <v>44375</v>
      </c>
      <c r="F1362" s="34">
        <v>52735.59</v>
      </c>
      <c r="G1362" s="34">
        <f t="shared" si="43"/>
        <v>-3.5860131255920683E-3</v>
      </c>
    </row>
    <row r="1363" spans="1:7" x14ac:dyDescent="0.3">
      <c r="A1363" s="33">
        <v>44376</v>
      </c>
      <c r="B1363" s="34">
        <v>979.05</v>
      </c>
      <c r="C1363" s="34">
        <f t="shared" si="42"/>
        <v>1.6892815573991526E-2</v>
      </c>
      <c r="E1363" s="33">
        <v>44376</v>
      </c>
      <c r="F1363" s="34">
        <v>52549.66</v>
      </c>
      <c r="G1363" s="34">
        <f t="shared" si="43"/>
        <v>-3.5319324080563155E-3</v>
      </c>
    </row>
    <row r="1364" spans="1:7" x14ac:dyDescent="0.3">
      <c r="A1364" s="33">
        <v>44377</v>
      </c>
      <c r="B1364" s="34">
        <v>971.95</v>
      </c>
      <c r="C1364" s="34">
        <f t="shared" si="42"/>
        <v>-7.2783509412141416E-3</v>
      </c>
      <c r="E1364" s="33">
        <v>44377</v>
      </c>
      <c r="F1364" s="34">
        <v>52482.71</v>
      </c>
      <c r="G1364" s="34">
        <f t="shared" si="43"/>
        <v>-1.2748452513722519E-3</v>
      </c>
    </row>
    <row r="1365" spans="1:7" x14ac:dyDescent="0.3">
      <c r="A1365" s="33">
        <v>44378</v>
      </c>
      <c r="B1365" s="34">
        <v>978.25</v>
      </c>
      <c r="C1365" s="34">
        <f t="shared" si="42"/>
        <v>6.4608982823999303E-3</v>
      </c>
      <c r="E1365" s="33">
        <v>44378</v>
      </c>
      <c r="F1365" s="34">
        <v>52318.6</v>
      </c>
      <c r="G1365" s="34">
        <f t="shared" si="43"/>
        <v>-3.1318336409682825E-3</v>
      </c>
    </row>
    <row r="1366" spans="1:7" x14ac:dyDescent="0.3">
      <c r="A1366" s="33">
        <v>44379</v>
      </c>
      <c r="B1366" s="34">
        <v>979.1</v>
      </c>
      <c r="C1366" s="34">
        <f t="shared" si="42"/>
        <v>8.6852126950384754E-4</v>
      </c>
      <c r="E1366" s="33">
        <v>44379</v>
      </c>
      <c r="F1366" s="34">
        <v>52484.67</v>
      </c>
      <c r="G1366" s="34">
        <f t="shared" si="43"/>
        <v>3.1691785761324828E-3</v>
      </c>
    </row>
    <row r="1367" spans="1:7" x14ac:dyDescent="0.3">
      <c r="A1367" s="33">
        <v>44382</v>
      </c>
      <c r="B1367" s="34">
        <v>974.8</v>
      </c>
      <c r="C1367" s="34">
        <f t="shared" si="42"/>
        <v>-4.4014606089746097E-3</v>
      </c>
      <c r="E1367" s="33">
        <v>44382</v>
      </c>
      <c r="F1367" s="34">
        <v>52880</v>
      </c>
      <c r="G1367" s="34">
        <f t="shared" si="43"/>
        <v>7.5040685861537245E-3</v>
      </c>
    </row>
    <row r="1368" spans="1:7" x14ac:dyDescent="0.3">
      <c r="A1368" s="33">
        <v>44383</v>
      </c>
      <c r="B1368" s="34">
        <v>968.8</v>
      </c>
      <c r="C1368" s="34">
        <f t="shared" si="42"/>
        <v>-6.17412951216863E-3</v>
      </c>
      <c r="E1368" s="33">
        <v>44383</v>
      </c>
      <c r="F1368" s="34">
        <v>52861.18</v>
      </c>
      <c r="G1368" s="34">
        <f t="shared" si="43"/>
        <v>-3.5596349877549095E-4</v>
      </c>
    </row>
    <row r="1369" spans="1:7" x14ac:dyDescent="0.3">
      <c r="A1369" s="33">
        <v>44384</v>
      </c>
      <c r="B1369" s="34">
        <v>965.6</v>
      </c>
      <c r="C1369" s="34">
        <f t="shared" si="42"/>
        <v>-3.3085224555607327E-3</v>
      </c>
      <c r="E1369" s="33">
        <v>44384</v>
      </c>
      <c r="F1369" s="34">
        <v>53054.76</v>
      </c>
      <c r="G1369" s="34">
        <f t="shared" si="43"/>
        <v>3.655355663089672E-3</v>
      </c>
    </row>
    <row r="1370" spans="1:7" x14ac:dyDescent="0.3">
      <c r="A1370" s="33">
        <v>44385</v>
      </c>
      <c r="B1370" s="34">
        <v>950.7</v>
      </c>
      <c r="C1370" s="34">
        <f t="shared" si="42"/>
        <v>-1.5551114418336976E-2</v>
      </c>
      <c r="E1370" s="33">
        <v>44385</v>
      </c>
      <c r="F1370" s="34">
        <v>52568.94</v>
      </c>
      <c r="G1370" s="34">
        <f t="shared" si="43"/>
        <v>-9.1991366710782955E-3</v>
      </c>
    </row>
    <row r="1371" spans="1:7" x14ac:dyDescent="0.3">
      <c r="A1371" s="33">
        <v>44386</v>
      </c>
      <c r="B1371" s="34">
        <v>959.65</v>
      </c>
      <c r="C1371" s="34">
        <f t="shared" si="42"/>
        <v>9.3700792869021738E-3</v>
      </c>
      <c r="E1371" s="33">
        <v>44386</v>
      </c>
      <c r="F1371" s="34">
        <v>52386.19</v>
      </c>
      <c r="G1371" s="34">
        <f t="shared" si="43"/>
        <v>-3.4824440632947587E-3</v>
      </c>
    </row>
    <row r="1372" spans="1:7" x14ac:dyDescent="0.3">
      <c r="A1372" s="33">
        <v>44389</v>
      </c>
      <c r="B1372" s="34">
        <v>959.55</v>
      </c>
      <c r="C1372" s="34">
        <f t="shared" si="42"/>
        <v>-1.0421008763081921E-4</v>
      </c>
      <c r="E1372" s="33">
        <v>44389</v>
      </c>
      <c r="F1372" s="34">
        <v>52372.69</v>
      </c>
      <c r="G1372" s="34">
        <f t="shared" si="43"/>
        <v>-2.5773471565812935E-4</v>
      </c>
    </row>
    <row r="1373" spans="1:7" x14ac:dyDescent="0.3">
      <c r="A1373" s="33">
        <v>44390</v>
      </c>
      <c r="B1373" s="34">
        <v>965.8</v>
      </c>
      <c r="C1373" s="34">
        <f t="shared" si="42"/>
        <v>6.4923488751851693E-3</v>
      </c>
      <c r="E1373" s="33">
        <v>44390</v>
      </c>
      <c r="F1373" s="34">
        <v>52769.73</v>
      </c>
      <c r="G1373" s="34">
        <f t="shared" si="43"/>
        <v>7.5524586032823847E-3</v>
      </c>
    </row>
    <row r="1374" spans="1:7" x14ac:dyDescent="0.3">
      <c r="A1374" s="33">
        <v>44391</v>
      </c>
      <c r="B1374" s="34">
        <v>977</v>
      </c>
      <c r="C1374" s="34">
        <f t="shared" si="42"/>
        <v>1.152987860334131E-2</v>
      </c>
      <c r="E1374" s="33">
        <v>44391</v>
      </c>
      <c r="F1374" s="34">
        <v>52904.05</v>
      </c>
      <c r="G1374" s="34">
        <f t="shared" si="43"/>
        <v>2.5421646190386658E-3</v>
      </c>
    </row>
    <row r="1375" spans="1:7" x14ac:dyDescent="0.3">
      <c r="A1375" s="33">
        <v>44392</v>
      </c>
      <c r="B1375" s="34">
        <v>973.35</v>
      </c>
      <c r="C1375" s="34">
        <f t="shared" si="42"/>
        <v>-3.7429223074955218E-3</v>
      </c>
      <c r="E1375" s="33">
        <v>44392</v>
      </c>
      <c r="F1375" s="34">
        <v>53158.85</v>
      </c>
      <c r="G1375" s="34">
        <f t="shared" si="43"/>
        <v>4.8047053243954821E-3</v>
      </c>
    </row>
    <row r="1376" spans="1:7" x14ac:dyDescent="0.3">
      <c r="A1376" s="33">
        <v>44393</v>
      </c>
      <c r="B1376" s="34">
        <v>977.2</v>
      </c>
      <c r="C1376" s="34">
        <f t="shared" si="42"/>
        <v>3.9476096482983346E-3</v>
      </c>
      <c r="E1376" s="33">
        <v>44393</v>
      </c>
      <c r="F1376" s="34">
        <v>53140.06</v>
      </c>
      <c r="G1376" s="34">
        <f t="shared" si="43"/>
        <v>-3.5353138043854989E-4</v>
      </c>
    </row>
    <row r="1377" spans="1:7" x14ac:dyDescent="0.3">
      <c r="A1377" s="33">
        <v>44396</v>
      </c>
      <c r="B1377" s="34">
        <v>973.65</v>
      </c>
      <c r="C1377" s="34">
        <f t="shared" si="42"/>
        <v>-3.6394432359981507E-3</v>
      </c>
      <c r="E1377" s="33">
        <v>44396</v>
      </c>
      <c r="F1377" s="34">
        <v>52553.4</v>
      </c>
      <c r="G1377" s="34">
        <f t="shared" si="43"/>
        <v>-1.1101273908562598E-2</v>
      </c>
    </row>
    <row r="1378" spans="1:7" x14ac:dyDescent="0.3">
      <c r="A1378" s="33">
        <v>44397</v>
      </c>
      <c r="B1378" s="34">
        <v>955.2</v>
      </c>
      <c r="C1378" s="34">
        <f t="shared" si="42"/>
        <v>-1.9131153509249533E-2</v>
      </c>
      <c r="E1378" s="33">
        <v>44397</v>
      </c>
      <c r="F1378" s="34">
        <v>52198.51</v>
      </c>
      <c r="G1378" s="34">
        <f t="shared" si="43"/>
        <v>-6.7758450955284783E-3</v>
      </c>
    </row>
    <row r="1379" spans="1:7" x14ac:dyDescent="0.3">
      <c r="A1379" s="33">
        <v>44399</v>
      </c>
      <c r="B1379" s="34">
        <v>949.6</v>
      </c>
      <c r="C1379" s="34">
        <f t="shared" si="42"/>
        <v>-5.8798993428794029E-3</v>
      </c>
      <c r="E1379" s="33">
        <v>44399</v>
      </c>
      <c r="F1379" s="34">
        <v>52837.21</v>
      </c>
      <c r="G1379" s="34">
        <f t="shared" si="43"/>
        <v>1.2161726931803774E-2</v>
      </c>
    </row>
    <row r="1380" spans="1:7" x14ac:dyDescent="0.3">
      <c r="A1380" s="33">
        <v>44400</v>
      </c>
      <c r="B1380" s="34">
        <v>948</v>
      </c>
      <c r="C1380" s="34">
        <f t="shared" si="42"/>
        <v>-1.6863410404364776E-3</v>
      </c>
      <c r="E1380" s="33">
        <v>44400</v>
      </c>
      <c r="F1380" s="34">
        <v>52975.8</v>
      </c>
      <c r="G1380" s="34">
        <f t="shared" si="43"/>
        <v>2.6195281515862872E-3</v>
      </c>
    </row>
    <row r="1381" spans="1:7" x14ac:dyDescent="0.3">
      <c r="A1381" s="33">
        <v>44403</v>
      </c>
      <c r="B1381" s="34">
        <v>950.65</v>
      </c>
      <c r="C1381" s="34">
        <f t="shared" si="42"/>
        <v>2.7914589005733296E-3</v>
      </c>
      <c r="E1381" s="33">
        <v>44403</v>
      </c>
      <c r="F1381" s="34">
        <v>52852.27</v>
      </c>
      <c r="G1381" s="34">
        <f t="shared" si="43"/>
        <v>-2.3345423592080628E-3</v>
      </c>
    </row>
    <row r="1382" spans="1:7" x14ac:dyDescent="0.3">
      <c r="A1382" s="33">
        <v>44404</v>
      </c>
      <c r="B1382" s="34">
        <v>913.2</v>
      </c>
      <c r="C1382" s="34">
        <f t="shared" si="42"/>
        <v>-4.0191046499954523E-2</v>
      </c>
      <c r="E1382" s="33">
        <v>44404</v>
      </c>
      <c r="F1382" s="34">
        <v>52578.76</v>
      </c>
      <c r="G1382" s="34">
        <f t="shared" si="43"/>
        <v>-5.1884272318830594E-3</v>
      </c>
    </row>
    <row r="1383" spans="1:7" x14ac:dyDescent="0.3">
      <c r="A1383" s="33">
        <v>44405</v>
      </c>
      <c r="B1383" s="34">
        <v>890.05</v>
      </c>
      <c r="C1383" s="34">
        <f t="shared" si="42"/>
        <v>-2.5677273732198608E-2</v>
      </c>
      <c r="E1383" s="33">
        <v>44405</v>
      </c>
      <c r="F1383" s="34">
        <v>52443.71</v>
      </c>
      <c r="G1383" s="34">
        <f t="shared" si="43"/>
        <v>-2.5718319982124152E-3</v>
      </c>
    </row>
    <row r="1384" spans="1:7" x14ac:dyDescent="0.3">
      <c r="A1384" s="33">
        <v>44406</v>
      </c>
      <c r="B1384" s="34">
        <v>882.3</v>
      </c>
      <c r="C1384" s="34">
        <f t="shared" si="42"/>
        <v>-8.745506695382951E-3</v>
      </c>
      <c r="E1384" s="33">
        <v>44406</v>
      </c>
      <c r="F1384" s="34">
        <v>52653.07</v>
      </c>
      <c r="G1384" s="34">
        <f t="shared" si="43"/>
        <v>3.9841425577017506E-3</v>
      </c>
    </row>
    <row r="1385" spans="1:7" x14ac:dyDescent="0.3">
      <c r="A1385" s="33">
        <v>44407</v>
      </c>
      <c r="B1385" s="34">
        <v>920.3</v>
      </c>
      <c r="C1385" s="34">
        <f t="shared" si="42"/>
        <v>4.2167569616752068E-2</v>
      </c>
      <c r="E1385" s="33">
        <v>44407</v>
      </c>
      <c r="F1385" s="34">
        <v>52586.84</v>
      </c>
      <c r="G1385" s="34">
        <f t="shared" si="43"/>
        <v>-1.2586481448613727E-3</v>
      </c>
    </row>
    <row r="1386" spans="1:7" x14ac:dyDescent="0.3">
      <c r="A1386" s="33">
        <v>44410</v>
      </c>
      <c r="B1386" s="34">
        <v>921.8</v>
      </c>
      <c r="C1386" s="34">
        <f t="shared" si="42"/>
        <v>1.6285764415968022E-3</v>
      </c>
      <c r="E1386" s="33">
        <v>44410</v>
      </c>
      <c r="F1386" s="34">
        <v>52950.63</v>
      </c>
      <c r="G1386" s="34">
        <f t="shared" si="43"/>
        <v>6.8940716668038221E-3</v>
      </c>
    </row>
    <row r="1387" spans="1:7" x14ac:dyDescent="0.3">
      <c r="A1387" s="33">
        <v>44411</v>
      </c>
      <c r="B1387" s="34">
        <v>927.25</v>
      </c>
      <c r="C1387" s="34">
        <f t="shared" si="42"/>
        <v>5.8949360832922324E-3</v>
      </c>
      <c r="E1387" s="33">
        <v>44411</v>
      </c>
      <c r="F1387" s="34">
        <v>53823.360000000001</v>
      </c>
      <c r="G1387" s="34">
        <f t="shared" si="43"/>
        <v>1.6347603679736318E-2</v>
      </c>
    </row>
    <row r="1388" spans="1:7" x14ac:dyDescent="0.3">
      <c r="A1388" s="33">
        <v>44412</v>
      </c>
      <c r="B1388" s="34">
        <v>939.6</v>
      </c>
      <c r="C1388" s="34">
        <f t="shared" si="42"/>
        <v>1.3231036415057575E-2</v>
      </c>
      <c r="E1388" s="33">
        <v>44412</v>
      </c>
      <c r="F1388" s="34">
        <v>54369.77</v>
      </c>
      <c r="G1388" s="34">
        <f t="shared" si="43"/>
        <v>1.010072720146522E-2</v>
      </c>
    </row>
    <row r="1389" spans="1:7" x14ac:dyDescent="0.3">
      <c r="A1389" s="33">
        <v>44413</v>
      </c>
      <c r="B1389" s="34">
        <v>945.2</v>
      </c>
      <c r="C1389" s="34">
        <f t="shared" si="42"/>
        <v>5.9422925279949725E-3</v>
      </c>
      <c r="E1389" s="33">
        <v>44413</v>
      </c>
      <c r="F1389" s="34">
        <v>54492.84</v>
      </c>
      <c r="G1389" s="34">
        <f t="shared" si="43"/>
        <v>2.2610160169739741E-3</v>
      </c>
    </row>
    <row r="1390" spans="1:7" x14ac:dyDescent="0.3">
      <c r="A1390" s="33">
        <v>44414</v>
      </c>
      <c r="B1390" s="34">
        <v>911</v>
      </c>
      <c r="C1390" s="34">
        <f t="shared" si="42"/>
        <v>-3.6853648052794473E-2</v>
      </c>
      <c r="E1390" s="33">
        <v>44414</v>
      </c>
      <c r="F1390" s="34">
        <v>54277.72</v>
      </c>
      <c r="G1390" s="34">
        <f t="shared" si="43"/>
        <v>-3.9554872288675488E-3</v>
      </c>
    </row>
    <row r="1391" spans="1:7" x14ac:dyDescent="0.3">
      <c r="A1391" s="33">
        <v>44417</v>
      </c>
      <c r="B1391" s="34">
        <v>918.45</v>
      </c>
      <c r="C1391" s="34">
        <f t="shared" si="42"/>
        <v>8.1445693321148867E-3</v>
      </c>
      <c r="E1391" s="33">
        <v>44417</v>
      </c>
      <c r="F1391" s="34">
        <v>54402.85</v>
      </c>
      <c r="G1391" s="34">
        <f t="shared" si="43"/>
        <v>2.3027125325465829E-3</v>
      </c>
    </row>
    <row r="1392" spans="1:7" x14ac:dyDescent="0.3">
      <c r="A1392" s="33">
        <v>44418</v>
      </c>
      <c r="B1392" s="34">
        <v>912.4</v>
      </c>
      <c r="C1392" s="34">
        <f t="shared" si="42"/>
        <v>-6.6089761818403248E-3</v>
      </c>
      <c r="E1392" s="33">
        <v>44418</v>
      </c>
      <c r="F1392" s="34">
        <v>54554.66</v>
      </c>
      <c r="G1392" s="34">
        <f t="shared" si="43"/>
        <v>2.786592649464154E-3</v>
      </c>
    </row>
    <row r="1393" spans="1:7" x14ac:dyDescent="0.3">
      <c r="A1393" s="33">
        <v>44419</v>
      </c>
      <c r="B1393" s="34">
        <v>910.25</v>
      </c>
      <c r="C1393" s="34">
        <f t="shared" si="42"/>
        <v>-2.3592033546901109E-3</v>
      </c>
      <c r="E1393" s="33">
        <v>44419</v>
      </c>
      <c r="F1393" s="34">
        <v>54525.93</v>
      </c>
      <c r="G1393" s="34">
        <f t="shared" si="43"/>
        <v>-5.2676650656809272E-4</v>
      </c>
    </row>
    <row r="1394" spans="1:7" x14ac:dyDescent="0.3">
      <c r="A1394" s="33">
        <v>44420</v>
      </c>
      <c r="B1394" s="34">
        <v>905.05</v>
      </c>
      <c r="C1394" s="34">
        <f t="shared" si="42"/>
        <v>-5.7290962629809082E-3</v>
      </c>
      <c r="E1394" s="33">
        <v>44420</v>
      </c>
      <c r="F1394" s="34">
        <v>54843.98</v>
      </c>
      <c r="G1394" s="34">
        <f t="shared" si="43"/>
        <v>5.816058485257217E-3</v>
      </c>
    </row>
    <row r="1395" spans="1:7" x14ac:dyDescent="0.3">
      <c r="A1395" s="33">
        <v>44421</v>
      </c>
      <c r="B1395" s="34">
        <v>894.4</v>
      </c>
      <c r="C1395" s="34">
        <f t="shared" si="42"/>
        <v>-1.1837088391727169E-2</v>
      </c>
      <c r="E1395" s="33">
        <v>44421</v>
      </c>
      <c r="F1395" s="34">
        <v>55437.29</v>
      </c>
      <c r="G1395" s="34">
        <f t="shared" si="43"/>
        <v>1.0760045189378332E-2</v>
      </c>
    </row>
    <row r="1396" spans="1:7" x14ac:dyDescent="0.3">
      <c r="A1396" s="33">
        <v>44424</v>
      </c>
      <c r="B1396" s="34">
        <v>888.5</v>
      </c>
      <c r="C1396" s="34">
        <f t="shared" si="42"/>
        <v>-6.6184548061286839E-3</v>
      </c>
      <c r="E1396" s="33">
        <v>44424</v>
      </c>
      <c r="F1396" s="34">
        <v>55582.58</v>
      </c>
      <c r="G1396" s="34">
        <f t="shared" si="43"/>
        <v>2.6173707993712757E-3</v>
      </c>
    </row>
    <row r="1397" spans="1:7" x14ac:dyDescent="0.3">
      <c r="A1397" s="33">
        <v>44425</v>
      </c>
      <c r="B1397" s="34">
        <v>904.45</v>
      </c>
      <c r="C1397" s="34">
        <f t="shared" si="42"/>
        <v>1.7792376552938062E-2</v>
      </c>
      <c r="E1397" s="33">
        <v>44425</v>
      </c>
      <c r="F1397" s="34">
        <v>55792.27</v>
      </c>
      <c r="G1397" s="34">
        <f t="shared" si="43"/>
        <v>3.7654865126948117E-3</v>
      </c>
    </row>
    <row r="1398" spans="1:7" x14ac:dyDescent="0.3">
      <c r="A1398" s="33">
        <v>44426</v>
      </c>
      <c r="B1398" s="34">
        <v>908.6</v>
      </c>
      <c r="C1398" s="34">
        <f t="shared" si="42"/>
        <v>4.5779291776589966E-3</v>
      </c>
      <c r="E1398" s="33">
        <v>44426</v>
      </c>
      <c r="F1398" s="34">
        <v>55629.49</v>
      </c>
      <c r="G1398" s="34">
        <f t="shared" si="43"/>
        <v>-2.9218729951675862E-3</v>
      </c>
    </row>
    <row r="1399" spans="1:7" x14ac:dyDescent="0.3">
      <c r="A1399" s="33">
        <v>44428</v>
      </c>
      <c r="B1399" s="34">
        <v>890.45</v>
      </c>
      <c r="C1399" s="34">
        <f t="shared" si="42"/>
        <v>-2.0178000403288175E-2</v>
      </c>
      <c r="E1399" s="33">
        <v>44428</v>
      </c>
      <c r="F1399" s="34">
        <v>55329.32</v>
      </c>
      <c r="G1399" s="34">
        <f t="shared" si="43"/>
        <v>-5.410489392401319E-3</v>
      </c>
    </row>
    <row r="1400" spans="1:7" x14ac:dyDescent="0.3">
      <c r="A1400" s="33">
        <v>44431</v>
      </c>
      <c r="B1400" s="34">
        <v>898</v>
      </c>
      <c r="C1400" s="34">
        <f t="shared" si="42"/>
        <v>8.4431153801849384E-3</v>
      </c>
      <c r="E1400" s="33">
        <v>44431</v>
      </c>
      <c r="F1400" s="34">
        <v>55555.79</v>
      </c>
      <c r="G1400" s="34">
        <f t="shared" si="43"/>
        <v>4.0847741395528808E-3</v>
      </c>
    </row>
    <row r="1401" spans="1:7" x14ac:dyDescent="0.3">
      <c r="A1401" s="33">
        <v>44432</v>
      </c>
      <c r="B1401" s="34">
        <v>917.4</v>
      </c>
      <c r="C1401" s="34">
        <f t="shared" si="42"/>
        <v>2.1373513860871902E-2</v>
      </c>
      <c r="E1401" s="33">
        <v>44432</v>
      </c>
      <c r="F1401" s="34">
        <v>55958.98</v>
      </c>
      <c r="G1401" s="34">
        <f t="shared" si="43"/>
        <v>7.2311812488748536E-3</v>
      </c>
    </row>
    <row r="1402" spans="1:7" x14ac:dyDescent="0.3">
      <c r="A1402" s="33">
        <v>44433</v>
      </c>
      <c r="B1402" s="34">
        <v>913</v>
      </c>
      <c r="C1402" s="34">
        <f t="shared" si="42"/>
        <v>-4.8077015681031203E-3</v>
      </c>
      <c r="E1402" s="33">
        <v>44433</v>
      </c>
      <c r="F1402" s="34">
        <v>55944.21</v>
      </c>
      <c r="G1402" s="34">
        <f t="shared" si="43"/>
        <v>-2.6397817766903508E-4</v>
      </c>
    </row>
    <row r="1403" spans="1:7" x14ac:dyDescent="0.3">
      <c r="A1403" s="33">
        <v>44434</v>
      </c>
      <c r="B1403" s="34">
        <v>911.2</v>
      </c>
      <c r="C1403" s="34">
        <f t="shared" si="42"/>
        <v>-1.9734684619960329E-3</v>
      </c>
      <c r="E1403" s="33">
        <v>44434</v>
      </c>
      <c r="F1403" s="34">
        <v>55949.1</v>
      </c>
      <c r="G1403" s="34">
        <f t="shared" si="43"/>
        <v>8.7404689397624889E-5</v>
      </c>
    </row>
    <row r="1404" spans="1:7" x14ac:dyDescent="0.3">
      <c r="A1404" s="33">
        <v>44435</v>
      </c>
      <c r="B1404" s="34">
        <v>923.2</v>
      </c>
      <c r="C1404" s="34">
        <f t="shared" si="42"/>
        <v>1.3083483620862679E-2</v>
      </c>
      <c r="E1404" s="33">
        <v>44435</v>
      </c>
      <c r="F1404" s="34">
        <v>56124.72</v>
      </c>
      <c r="G1404" s="34">
        <f t="shared" si="43"/>
        <v>3.1340083481596762E-3</v>
      </c>
    </row>
    <row r="1405" spans="1:7" x14ac:dyDescent="0.3">
      <c r="A1405" s="33">
        <v>44438</v>
      </c>
      <c r="B1405" s="34">
        <v>935.05</v>
      </c>
      <c r="C1405" s="34">
        <f t="shared" si="42"/>
        <v>1.2754108040893867E-2</v>
      </c>
      <c r="E1405" s="33">
        <v>44438</v>
      </c>
      <c r="F1405" s="34">
        <v>56889.760000000002</v>
      </c>
      <c r="G1405" s="34">
        <f t="shared" si="43"/>
        <v>1.3539002900221838E-2</v>
      </c>
    </row>
    <row r="1406" spans="1:7" x14ac:dyDescent="0.3">
      <c r="A1406" s="33">
        <v>44439</v>
      </c>
      <c r="B1406" s="34">
        <v>947.2</v>
      </c>
      <c r="C1406" s="34">
        <f t="shared" si="42"/>
        <v>1.2910260335012252E-2</v>
      </c>
      <c r="E1406" s="33">
        <v>44439</v>
      </c>
      <c r="F1406" s="34">
        <v>57552.39</v>
      </c>
      <c r="G1406" s="34">
        <f t="shared" si="43"/>
        <v>1.1580303324654869E-2</v>
      </c>
    </row>
    <row r="1407" spans="1:7" x14ac:dyDescent="0.3">
      <c r="A1407" s="33">
        <v>44440</v>
      </c>
      <c r="B1407" s="34">
        <v>923.85</v>
      </c>
      <c r="C1407" s="34">
        <f t="shared" si="42"/>
        <v>-2.4960543328579259E-2</v>
      </c>
      <c r="E1407" s="33">
        <v>44440</v>
      </c>
      <c r="F1407" s="34">
        <v>57338.21</v>
      </c>
      <c r="G1407" s="34">
        <f t="shared" si="43"/>
        <v>-3.7284207430684606E-3</v>
      </c>
    </row>
    <row r="1408" spans="1:7" x14ac:dyDescent="0.3">
      <c r="A1408" s="33">
        <v>44441</v>
      </c>
      <c r="B1408" s="34">
        <v>954.8</v>
      </c>
      <c r="C1408" s="34">
        <f t="shared" si="42"/>
        <v>3.2952173663513031E-2</v>
      </c>
      <c r="E1408" s="33">
        <v>44441</v>
      </c>
      <c r="F1408" s="34">
        <v>57852.54</v>
      </c>
      <c r="G1408" s="34">
        <f t="shared" si="43"/>
        <v>8.9301166633194064E-3</v>
      </c>
    </row>
    <row r="1409" spans="1:7" x14ac:dyDescent="0.3">
      <c r="A1409" s="33">
        <v>44442</v>
      </c>
      <c r="B1409" s="34">
        <v>940.85</v>
      </c>
      <c r="C1409" s="34">
        <f t="shared" si="42"/>
        <v>-1.4718172474021421E-2</v>
      </c>
      <c r="E1409" s="33">
        <v>44442</v>
      </c>
      <c r="F1409" s="34">
        <v>58129.95</v>
      </c>
      <c r="G1409" s="34">
        <f t="shared" si="43"/>
        <v>4.7836622408668067E-3</v>
      </c>
    </row>
    <row r="1410" spans="1:7" x14ac:dyDescent="0.3">
      <c r="A1410" s="33">
        <v>44445</v>
      </c>
      <c r="B1410" s="34">
        <v>950.3</v>
      </c>
      <c r="C1410" s="34">
        <f t="shared" si="42"/>
        <v>9.9940022266159206E-3</v>
      </c>
      <c r="E1410" s="33">
        <v>44445</v>
      </c>
      <c r="F1410" s="34">
        <v>58296.91</v>
      </c>
      <c r="G1410" s="34">
        <f t="shared" si="43"/>
        <v>2.8680686647141996E-3</v>
      </c>
    </row>
    <row r="1411" spans="1:7" x14ac:dyDescent="0.3">
      <c r="A1411" s="33">
        <v>44446</v>
      </c>
      <c r="B1411" s="34">
        <v>950.5</v>
      </c>
      <c r="C1411" s="34">
        <f t="shared" si="42"/>
        <v>2.1043771121433683E-4</v>
      </c>
      <c r="E1411" s="33">
        <v>44446</v>
      </c>
      <c r="F1411" s="34">
        <v>58279.48</v>
      </c>
      <c r="G1411" s="34">
        <f t="shared" si="43"/>
        <v>-2.9903139271825668E-4</v>
      </c>
    </row>
    <row r="1412" spans="1:7" x14ac:dyDescent="0.3">
      <c r="A1412" s="33">
        <v>44447</v>
      </c>
      <c r="B1412" s="34">
        <v>952.05</v>
      </c>
      <c r="C1412" s="34">
        <f t="shared" si="42"/>
        <v>1.6293924921048249E-3</v>
      </c>
      <c r="E1412" s="33">
        <v>44447</v>
      </c>
      <c r="F1412" s="34">
        <v>58250.26</v>
      </c>
      <c r="G1412" s="34">
        <f t="shared" si="43"/>
        <v>-5.0150288866028536E-4</v>
      </c>
    </row>
    <row r="1413" spans="1:7" x14ac:dyDescent="0.3">
      <c r="A1413" s="33">
        <v>44448</v>
      </c>
      <c r="B1413" s="34">
        <v>949.55</v>
      </c>
      <c r="C1413" s="34">
        <f t="shared" si="42"/>
        <v>-2.6293662603347188E-3</v>
      </c>
      <c r="E1413" s="33">
        <v>44448</v>
      </c>
      <c r="F1413" s="34">
        <v>58305.07</v>
      </c>
      <c r="G1413" s="34">
        <f t="shared" si="43"/>
        <v>9.4049759955406123E-4</v>
      </c>
    </row>
    <row r="1414" spans="1:7" x14ac:dyDescent="0.3">
      <c r="A1414" s="33">
        <v>44452</v>
      </c>
      <c r="B1414" s="34">
        <v>950.2</v>
      </c>
      <c r="C1414" s="34">
        <f t="shared" si="42"/>
        <v>6.8430059256692076E-4</v>
      </c>
      <c r="E1414" s="33">
        <v>44452</v>
      </c>
      <c r="F1414" s="34">
        <v>58177.760000000002</v>
      </c>
      <c r="G1414" s="34">
        <f t="shared" si="43"/>
        <v>-2.1859024320132112E-3</v>
      </c>
    </row>
    <row r="1415" spans="1:7" x14ac:dyDescent="0.3">
      <c r="A1415" s="33">
        <v>44453</v>
      </c>
      <c r="B1415" s="34">
        <v>952.75</v>
      </c>
      <c r="C1415" s="34">
        <f t="shared" ref="C1415:C1478" si="44">LN(B1415/B1414)</f>
        <v>2.6800510011484955E-3</v>
      </c>
      <c r="E1415" s="33">
        <v>44453</v>
      </c>
      <c r="F1415" s="34">
        <v>58247.09</v>
      </c>
      <c r="G1415" s="34">
        <f t="shared" ref="G1415:G1478" si="45">LN(F1415/F1414)</f>
        <v>1.190982993665641E-3</v>
      </c>
    </row>
    <row r="1416" spans="1:7" x14ac:dyDescent="0.3">
      <c r="A1416" s="33">
        <v>44454</v>
      </c>
      <c r="B1416" s="34">
        <v>953.75</v>
      </c>
      <c r="C1416" s="34">
        <f t="shared" si="44"/>
        <v>1.0490428446970745E-3</v>
      </c>
      <c r="E1416" s="33">
        <v>44454</v>
      </c>
      <c r="F1416" s="34">
        <v>58723.199999999997</v>
      </c>
      <c r="G1416" s="34">
        <f t="shared" si="45"/>
        <v>8.1407446178501583E-3</v>
      </c>
    </row>
    <row r="1417" spans="1:7" x14ac:dyDescent="0.3">
      <c r="A1417" s="33">
        <v>44455</v>
      </c>
      <c r="B1417" s="34">
        <v>954</v>
      </c>
      <c r="C1417" s="34">
        <f t="shared" si="44"/>
        <v>2.6208884961972549E-4</v>
      </c>
      <c r="E1417" s="33">
        <v>44455</v>
      </c>
      <c r="F1417" s="34">
        <v>59141.16</v>
      </c>
      <c r="G1417" s="34">
        <f t="shared" si="45"/>
        <v>7.09224997188078E-3</v>
      </c>
    </row>
    <row r="1418" spans="1:7" x14ac:dyDescent="0.3">
      <c r="A1418" s="33">
        <v>44456</v>
      </c>
      <c r="B1418" s="34">
        <v>954.15</v>
      </c>
      <c r="C1418" s="34">
        <f t="shared" si="44"/>
        <v>1.5722034463648806E-4</v>
      </c>
      <c r="E1418" s="33">
        <v>44456</v>
      </c>
      <c r="F1418" s="34">
        <v>59015.89</v>
      </c>
      <c r="G1418" s="34">
        <f t="shared" si="45"/>
        <v>-2.1203990271500099E-3</v>
      </c>
    </row>
    <row r="1419" spans="1:7" x14ac:dyDescent="0.3">
      <c r="A1419" s="33">
        <v>44459</v>
      </c>
      <c r="B1419" s="34">
        <v>939.05</v>
      </c>
      <c r="C1419" s="34">
        <f t="shared" si="44"/>
        <v>-1.5952165865976517E-2</v>
      </c>
      <c r="E1419" s="33">
        <v>44459</v>
      </c>
      <c r="F1419" s="34">
        <v>58490.93</v>
      </c>
      <c r="G1419" s="34">
        <f t="shared" si="45"/>
        <v>-8.9350301965483662E-3</v>
      </c>
    </row>
    <row r="1420" spans="1:7" x14ac:dyDescent="0.3">
      <c r="A1420" s="33">
        <v>44460</v>
      </c>
      <c r="B1420" s="34">
        <v>956.05</v>
      </c>
      <c r="C1420" s="34">
        <f t="shared" si="44"/>
        <v>1.7941487012021966E-2</v>
      </c>
      <c r="E1420" s="33">
        <v>44460</v>
      </c>
      <c r="F1420" s="34">
        <v>59005.27</v>
      </c>
      <c r="G1420" s="34">
        <f t="shared" si="45"/>
        <v>8.7550624682416252E-3</v>
      </c>
    </row>
    <row r="1421" spans="1:7" x14ac:dyDescent="0.3">
      <c r="A1421" s="33">
        <v>44461</v>
      </c>
      <c r="B1421" s="34">
        <v>964.65</v>
      </c>
      <c r="C1421" s="34">
        <f t="shared" si="44"/>
        <v>8.9551283100133185E-3</v>
      </c>
      <c r="E1421" s="33">
        <v>44461</v>
      </c>
      <c r="F1421" s="34">
        <v>58927.33</v>
      </c>
      <c r="G1421" s="34">
        <f t="shared" si="45"/>
        <v>-1.3217721197919421E-3</v>
      </c>
    </row>
    <row r="1422" spans="1:7" x14ac:dyDescent="0.3">
      <c r="A1422" s="33">
        <v>44462</v>
      </c>
      <c r="B1422" s="34">
        <v>968.05</v>
      </c>
      <c r="C1422" s="34">
        <f t="shared" si="44"/>
        <v>3.5183975861923177E-3</v>
      </c>
      <c r="E1422" s="33">
        <v>44462</v>
      </c>
      <c r="F1422" s="34">
        <v>59885.36</v>
      </c>
      <c r="G1422" s="34">
        <f t="shared" si="45"/>
        <v>1.6127078072634585E-2</v>
      </c>
    </row>
    <row r="1423" spans="1:7" x14ac:dyDescent="0.3">
      <c r="A1423" s="33">
        <v>44463</v>
      </c>
      <c r="B1423" s="34">
        <v>967</v>
      </c>
      <c r="C1423" s="34">
        <f t="shared" si="44"/>
        <v>-1.0852433818798535E-3</v>
      </c>
      <c r="E1423" s="33">
        <v>44463</v>
      </c>
      <c r="F1423" s="34">
        <v>60048.47</v>
      </c>
      <c r="G1423" s="34">
        <f t="shared" si="45"/>
        <v>2.7200015302247089E-3</v>
      </c>
    </row>
    <row r="1424" spans="1:7" x14ac:dyDescent="0.3">
      <c r="A1424" s="33">
        <v>44466</v>
      </c>
      <c r="B1424" s="34">
        <v>962.35</v>
      </c>
      <c r="C1424" s="34">
        <f t="shared" si="44"/>
        <v>-4.820285592161507E-3</v>
      </c>
      <c r="E1424" s="33">
        <v>44466</v>
      </c>
      <c r="F1424" s="34">
        <v>60077.88</v>
      </c>
      <c r="G1424" s="34">
        <f t="shared" si="45"/>
        <v>4.8965111464052214E-4</v>
      </c>
    </row>
    <row r="1425" spans="1:7" x14ac:dyDescent="0.3">
      <c r="A1425" s="33">
        <v>44467</v>
      </c>
      <c r="B1425" s="34">
        <v>973.05</v>
      </c>
      <c r="C1425" s="34">
        <f t="shared" si="44"/>
        <v>1.1057258466041074E-2</v>
      </c>
      <c r="E1425" s="33">
        <v>44467</v>
      </c>
      <c r="F1425" s="34">
        <v>59667.6</v>
      </c>
      <c r="G1425" s="34">
        <f t="shared" si="45"/>
        <v>-6.8525610399463952E-3</v>
      </c>
    </row>
    <row r="1426" spans="1:7" x14ac:dyDescent="0.3">
      <c r="A1426" s="33">
        <v>44468</v>
      </c>
      <c r="B1426" s="34">
        <v>987.9</v>
      </c>
      <c r="C1426" s="34">
        <f t="shared" si="44"/>
        <v>1.5146009723254113E-2</v>
      </c>
      <c r="E1426" s="33">
        <v>44468</v>
      </c>
      <c r="F1426" s="34">
        <v>59413.27</v>
      </c>
      <c r="G1426" s="34">
        <f t="shared" si="45"/>
        <v>-4.2715574166185639E-3</v>
      </c>
    </row>
    <row r="1427" spans="1:7" x14ac:dyDescent="0.3">
      <c r="A1427" s="33">
        <v>44469</v>
      </c>
      <c r="B1427" s="34">
        <v>984.1</v>
      </c>
      <c r="C1427" s="34">
        <f t="shared" si="44"/>
        <v>-3.8539601454884559E-3</v>
      </c>
      <c r="E1427" s="33">
        <v>44469</v>
      </c>
      <c r="F1427" s="34">
        <v>59126.36</v>
      </c>
      <c r="G1427" s="34">
        <f t="shared" si="45"/>
        <v>-4.8407534300678855E-3</v>
      </c>
    </row>
    <row r="1428" spans="1:7" x14ac:dyDescent="0.3">
      <c r="A1428" s="33">
        <v>44470</v>
      </c>
      <c r="B1428" s="34">
        <v>986.8</v>
      </c>
      <c r="C1428" s="34">
        <f t="shared" si="44"/>
        <v>2.7398667502616537E-3</v>
      </c>
      <c r="E1428" s="33">
        <v>44470</v>
      </c>
      <c r="F1428" s="34">
        <v>58765.58</v>
      </c>
      <c r="G1428" s="34">
        <f t="shared" si="45"/>
        <v>-6.120539305134844E-3</v>
      </c>
    </row>
    <row r="1429" spans="1:7" x14ac:dyDescent="0.3">
      <c r="A1429" s="33">
        <v>44473</v>
      </c>
      <c r="B1429" s="34">
        <v>958.05</v>
      </c>
      <c r="C1429" s="34">
        <f t="shared" si="44"/>
        <v>-2.9567415979493743E-2</v>
      </c>
      <c r="E1429" s="33">
        <v>44473</v>
      </c>
      <c r="F1429" s="34">
        <v>59299.32</v>
      </c>
      <c r="G1429" s="34">
        <f t="shared" si="45"/>
        <v>9.0415294649919299E-3</v>
      </c>
    </row>
    <row r="1430" spans="1:7" x14ac:dyDescent="0.3">
      <c r="A1430" s="33">
        <v>44474</v>
      </c>
      <c r="B1430" s="34">
        <v>934.7</v>
      </c>
      <c r="C1430" s="34">
        <f t="shared" si="44"/>
        <v>-2.4674346487170071E-2</v>
      </c>
      <c r="E1430" s="33">
        <v>44474</v>
      </c>
      <c r="F1430" s="34">
        <v>59744.88</v>
      </c>
      <c r="G1430" s="34">
        <f t="shared" si="45"/>
        <v>7.4856579418464209E-3</v>
      </c>
    </row>
    <row r="1431" spans="1:7" x14ac:dyDescent="0.3">
      <c r="A1431" s="33">
        <v>44475</v>
      </c>
      <c r="B1431" s="34">
        <v>914.2</v>
      </c>
      <c r="C1431" s="34">
        <f t="shared" si="44"/>
        <v>-2.2176256290893717E-2</v>
      </c>
      <c r="E1431" s="33">
        <v>44475</v>
      </c>
      <c r="F1431" s="34">
        <v>59189.73</v>
      </c>
      <c r="G1431" s="34">
        <f t="shared" si="45"/>
        <v>-9.3354496525393793E-3</v>
      </c>
    </row>
    <row r="1432" spans="1:7" x14ac:dyDescent="0.3">
      <c r="A1432" s="33">
        <v>44476</v>
      </c>
      <c r="B1432" s="34">
        <v>916.05</v>
      </c>
      <c r="C1432" s="34">
        <f t="shared" si="44"/>
        <v>2.0215824396093859E-3</v>
      </c>
      <c r="E1432" s="33">
        <v>44476</v>
      </c>
      <c r="F1432" s="34">
        <v>59677.83</v>
      </c>
      <c r="G1432" s="34">
        <f t="shared" si="45"/>
        <v>8.2125475337492589E-3</v>
      </c>
    </row>
    <row r="1433" spans="1:7" x14ac:dyDescent="0.3">
      <c r="A1433" s="33">
        <v>44477</v>
      </c>
      <c r="B1433" s="34">
        <v>917.15</v>
      </c>
      <c r="C1433" s="34">
        <f t="shared" si="44"/>
        <v>1.2000874231062157E-3</v>
      </c>
      <c r="E1433" s="33">
        <v>44477</v>
      </c>
      <c r="F1433" s="34">
        <v>60059.06</v>
      </c>
      <c r="G1433" s="34">
        <f t="shared" si="45"/>
        <v>6.3678167724239175E-3</v>
      </c>
    </row>
    <row r="1434" spans="1:7" x14ac:dyDescent="0.3">
      <c r="A1434" s="33">
        <v>44480</v>
      </c>
      <c r="B1434" s="34">
        <v>913.55</v>
      </c>
      <c r="C1434" s="34">
        <f t="shared" si="44"/>
        <v>-3.9329269026853369E-3</v>
      </c>
      <c r="E1434" s="33">
        <v>44480</v>
      </c>
      <c r="F1434" s="34">
        <v>60135.78</v>
      </c>
      <c r="G1434" s="34">
        <f t="shared" si="45"/>
        <v>1.2765940770696352E-3</v>
      </c>
    </row>
    <row r="1435" spans="1:7" x14ac:dyDescent="0.3">
      <c r="A1435" s="33">
        <v>44481</v>
      </c>
      <c r="B1435" s="34">
        <v>916</v>
      </c>
      <c r="C1435" s="34">
        <f t="shared" si="44"/>
        <v>2.6782558164559801E-3</v>
      </c>
      <c r="E1435" s="33">
        <v>44481</v>
      </c>
      <c r="F1435" s="34">
        <v>60284.31</v>
      </c>
      <c r="G1435" s="34">
        <f t="shared" si="45"/>
        <v>2.4668653764058769E-3</v>
      </c>
    </row>
    <row r="1436" spans="1:7" x14ac:dyDescent="0.3">
      <c r="A1436" s="33">
        <v>44482</v>
      </c>
      <c r="B1436" s="34">
        <v>913.7</v>
      </c>
      <c r="C1436" s="34">
        <f t="shared" si="44"/>
        <v>-2.5140746695552921E-3</v>
      </c>
      <c r="E1436" s="33">
        <v>44482</v>
      </c>
      <c r="F1436" s="34">
        <v>60737.05</v>
      </c>
      <c r="G1436" s="34">
        <f t="shared" si="45"/>
        <v>7.4820199021658623E-3</v>
      </c>
    </row>
    <row r="1437" spans="1:7" x14ac:dyDescent="0.3">
      <c r="A1437" s="33">
        <v>44483</v>
      </c>
      <c r="B1437" s="34">
        <v>911.5</v>
      </c>
      <c r="C1437" s="34">
        <f t="shared" si="44"/>
        <v>-2.4106958858571789E-3</v>
      </c>
      <c r="E1437" s="33">
        <v>44483</v>
      </c>
      <c r="F1437" s="34">
        <v>61305.95</v>
      </c>
      <c r="G1437" s="34">
        <f t="shared" si="45"/>
        <v>9.3230110806343282E-3</v>
      </c>
    </row>
    <row r="1438" spans="1:7" x14ac:dyDescent="0.3">
      <c r="A1438" s="33">
        <v>44487</v>
      </c>
      <c r="B1438" s="34">
        <v>903.8</v>
      </c>
      <c r="C1438" s="34">
        <f t="shared" si="44"/>
        <v>-8.4834971415384611E-3</v>
      </c>
      <c r="E1438" s="33">
        <v>44487</v>
      </c>
      <c r="F1438" s="34">
        <v>61765.59</v>
      </c>
      <c r="G1438" s="34">
        <f t="shared" si="45"/>
        <v>7.4695114252882238E-3</v>
      </c>
    </row>
    <row r="1439" spans="1:7" x14ac:dyDescent="0.3">
      <c r="A1439" s="33">
        <v>44488</v>
      </c>
      <c r="B1439" s="34">
        <v>906.2</v>
      </c>
      <c r="C1439" s="34">
        <f t="shared" si="44"/>
        <v>2.6519352558586947E-3</v>
      </c>
      <c r="E1439" s="33">
        <v>44488</v>
      </c>
      <c r="F1439" s="34">
        <v>61716.05</v>
      </c>
      <c r="G1439" s="34">
        <f t="shared" si="45"/>
        <v>-8.0238653548675106E-4</v>
      </c>
    </row>
    <row r="1440" spans="1:7" x14ac:dyDescent="0.3">
      <c r="A1440" s="33">
        <v>44489</v>
      </c>
      <c r="B1440" s="34">
        <v>905.15</v>
      </c>
      <c r="C1440" s="34">
        <f t="shared" si="44"/>
        <v>-1.1593564110850042E-3</v>
      </c>
      <c r="E1440" s="33">
        <v>44489</v>
      </c>
      <c r="F1440" s="34">
        <v>61259.96</v>
      </c>
      <c r="G1440" s="34">
        <f t="shared" si="45"/>
        <v>-7.4175782933356988E-3</v>
      </c>
    </row>
    <row r="1441" spans="1:7" x14ac:dyDescent="0.3">
      <c r="A1441" s="33">
        <v>44490</v>
      </c>
      <c r="B1441" s="34">
        <v>911.4</v>
      </c>
      <c r="C1441" s="34">
        <f t="shared" si="44"/>
        <v>6.8812030078294305E-3</v>
      </c>
      <c r="E1441" s="33">
        <v>44490</v>
      </c>
      <c r="F1441" s="34">
        <v>60923.5</v>
      </c>
      <c r="G1441" s="34">
        <f t="shared" si="45"/>
        <v>-5.5074696765752759E-3</v>
      </c>
    </row>
    <row r="1442" spans="1:7" x14ac:dyDescent="0.3">
      <c r="A1442" s="33">
        <v>44491</v>
      </c>
      <c r="B1442" s="34">
        <v>896</v>
      </c>
      <c r="C1442" s="34">
        <f t="shared" si="44"/>
        <v>-1.7041465854851702E-2</v>
      </c>
      <c r="E1442" s="33">
        <v>44491</v>
      </c>
      <c r="F1442" s="34">
        <v>60821.62</v>
      </c>
      <c r="G1442" s="34">
        <f t="shared" si="45"/>
        <v>-1.6736609037254348E-3</v>
      </c>
    </row>
    <row r="1443" spans="1:7" x14ac:dyDescent="0.3">
      <c r="A1443" s="33">
        <v>44494</v>
      </c>
      <c r="B1443" s="34">
        <v>901.9</v>
      </c>
      <c r="C1443" s="34">
        <f t="shared" si="44"/>
        <v>6.5632361967318869E-3</v>
      </c>
      <c r="E1443" s="33">
        <v>44494</v>
      </c>
      <c r="F1443" s="34">
        <v>60967.05</v>
      </c>
      <c r="G1443" s="34">
        <f t="shared" si="45"/>
        <v>2.3882364282942809E-3</v>
      </c>
    </row>
    <row r="1444" spans="1:7" x14ac:dyDescent="0.3">
      <c r="A1444" s="33">
        <v>44495</v>
      </c>
      <c r="B1444" s="34">
        <v>907.3</v>
      </c>
      <c r="C1444" s="34">
        <f t="shared" si="44"/>
        <v>5.969507003920683E-3</v>
      </c>
      <c r="E1444" s="33">
        <v>44495</v>
      </c>
      <c r="F1444" s="34">
        <v>61350.26</v>
      </c>
      <c r="G1444" s="34">
        <f t="shared" si="45"/>
        <v>6.2658548289605551E-3</v>
      </c>
    </row>
    <row r="1445" spans="1:7" x14ac:dyDescent="0.3">
      <c r="A1445" s="33">
        <v>44496</v>
      </c>
      <c r="B1445" s="34">
        <v>922.55</v>
      </c>
      <c r="C1445" s="34">
        <f t="shared" si="44"/>
        <v>1.6668418812308183E-2</v>
      </c>
      <c r="E1445" s="33">
        <v>44496</v>
      </c>
      <c r="F1445" s="34">
        <v>61143.33</v>
      </c>
      <c r="G1445" s="34">
        <f t="shared" si="45"/>
        <v>-3.3786289853115175E-3</v>
      </c>
    </row>
    <row r="1446" spans="1:7" x14ac:dyDescent="0.3">
      <c r="A1446" s="33">
        <v>44497</v>
      </c>
      <c r="B1446" s="34">
        <v>891.8</v>
      </c>
      <c r="C1446" s="34">
        <f t="shared" si="44"/>
        <v>-3.3899682794515135E-2</v>
      </c>
      <c r="E1446" s="33">
        <v>44497</v>
      </c>
      <c r="F1446" s="34">
        <v>59984.7</v>
      </c>
      <c r="G1446" s="34">
        <f t="shared" si="45"/>
        <v>-1.9131250437366378E-2</v>
      </c>
    </row>
    <row r="1447" spans="1:7" x14ac:dyDescent="0.3">
      <c r="A1447" s="33">
        <v>44498</v>
      </c>
      <c r="B1447" s="34">
        <v>906.5</v>
      </c>
      <c r="C1447" s="34">
        <f t="shared" si="44"/>
        <v>1.6349138001529411E-2</v>
      </c>
      <c r="E1447" s="33">
        <v>44498</v>
      </c>
      <c r="F1447" s="34">
        <v>59306.93</v>
      </c>
      <c r="G1447" s="34">
        <f t="shared" si="45"/>
        <v>-1.1363367121980555E-2</v>
      </c>
    </row>
    <row r="1448" spans="1:7" x14ac:dyDescent="0.3">
      <c r="A1448" s="33">
        <v>44501</v>
      </c>
      <c r="B1448" s="34">
        <v>909.15</v>
      </c>
      <c r="C1448" s="34">
        <f t="shared" si="44"/>
        <v>2.9190668704980132E-3</v>
      </c>
      <c r="E1448" s="33">
        <v>44501</v>
      </c>
      <c r="F1448" s="34">
        <v>60138.46</v>
      </c>
      <c r="G1448" s="34">
        <f t="shared" si="45"/>
        <v>1.3923407733235206E-2</v>
      </c>
    </row>
    <row r="1449" spans="1:7" x14ac:dyDescent="0.3">
      <c r="A1449" s="33">
        <v>44502</v>
      </c>
      <c r="B1449" s="34">
        <v>903.35</v>
      </c>
      <c r="C1449" s="34">
        <f t="shared" si="44"/>
        <v>-6.4000218454675108E-3</v>
      </c>
      <c r="E1449" s="33">
        <v>44502</v>
      </c>
      <c r="F1449" s="34">
        <v>60029.06</v>
      </c>
      <c r="G1449" s="34">
        <f t="shared" si="45"/>
        <v>-1.8207920114242748E-3</v>
      </c>
    </row>
    <row r="1450" spans="1:7" x14ac:dyDescent="0.3">
      <c r="A1450" s="33">
        <v>44503</v>
      </c>
      <c r="B1450" s="34">
        <v>912.65</v>
      </c>
      <c r="C1450" s="34">
        <f t="shared" si="44"/>
        <v>1.0242380288856916E-2</v>
      </c>
      <c r="E1450" s="33">
        <v>44503</v>
      </c>
      <c r="F1450" s="34">
        <v>59771.92</v>
      </c>
      <c r="G1450" s="34">
        <f t="shared" si="45"/>
        <v>-4.2927928449785794E-3</v>
      </c>
    </row>
    <row r="1451" spans="1:7" x14ac:dyDescent="0.3">
      <c r="A1451" s="33">
        <v>44504</v>
      </c>
      <c r="B1451" s="34">
        <v>910.7</v>
      </c>
      <c r="C1451" s="34">
        <f t="shared" si="44"/>
        <v>-2.1389209350202382E-3</v>
      </c>
      <c r="E1451" s="33">
        <v>44504</v>
      </c>
      <c r="F1451" s="34">
        <v>60067.62</v>
      </c>
      <c r="G1451" s="34">
        <f t="shared" si="45"/>
        <v>4.9349421754187476E-3</v>
      </c>
    </row>
    <row r="1452" spans="1:7" x14ac:dyDescent="0.3">
      <c r="A1452" s="33">
        <v>44508</v>
      </c>
      <c r="B1452" s="34">
        <v>913.5</v>
      </c>
      <c r="C1452" s="34">
        <f t="shared" si="44"/>
        <v>3.0698412442884985E-3</v>
      </c>
      <c r="E1452" s="33">
        <v>44508</v>
      </c>
      <c r="F1452" s="34">
        <v>60545.61</v>
      </c>
      <c r="G1452" s="34">
        <f t="shared" si="45"/>
        <v>7.9260376719469811E-3</v>
      </c>
    </row>
    <row r="1453" spans="1:7" x14ac:dyDescent="0.3">
      <c r="A1453" s="33">
        <v>44509</v>
      </c>
      <c r="B1453" s="34">
        <v>914.05</v>
      </c>
      <c r="C1453" s="34">
        <f t="shared" si="44"/>
        <v>6.0189873503272763E-4</v>
      </c>
      <c r="E1453" s="33">
        <v>44509</v>
      </c>
      <c r="F1453" s="34">
        <v>60433.45</v>
      </c>
      <c r="G1453" s="34">
        <f t="shared" si="45"/>
        <v>-1.8542057135272727E-3</v>
      </c>
    </row>
    <row r="1454" spans="1:7" x14ac:dyDescent="0.3">
      <c r="A1454" s="33">
        <v>44510</v>
      </c>
      <c r="B1454" s="34">
        <v>912.3</v>
      </c>
      <c r="C1454" s="34">
        <f t="shared" si="44"/>
        <v>-1.9163912016655262E-3</v>
      </c>
      <c r="E1454" s="33">
        <v>44510</v>
      </c>
      <c r="F1454" s="34">
        <v>60352.82</v>
      </c>
      <c r="G1454" s="34">
        <f t="shared" si="45"/>
        <v>-1.3350857175505665E-3</v>
      </c>
    </row>
    <row r="1455" spans="1:7" x14ac:dyDescent="0.3">
      <c r="A1455" s="33">
        <v>44511</v>
      </c>
      <c r="B1455" s="34">
        <v>904.95</v>
      </c>
      <c r="C1455" s="34">
        <f t="shared" si="44"/>
        <v>-8.0891897965480984E-3</v>
      </c>
      <c r="E1455" s="33">
        <v>44511</v>
      </c>
      <c r="F1455" s="34">
        <v>59919.69</v>
      </c>
      <c r="G1455" s="34">
        <f t="shared" si="45"/>
        <v>-7.2025082443840137E-3</v>
      </c>
    </row>
    <row r="1456" spans="1:7" x14ac:dyDescent="0.3">
      <c r="A1456" s="33">
        <v>44512</v>
      </c>
      <c r="B1456" s="34">
        <v>915.9</v>
      </c>
      <c r="C1456" s="34">
        <f t="shared" si="44"/>
        <v>1.2027494854061245E-2</v>
      </c>
      <c r="E1456" s="33">
        <v>44512</v>
      </c>
      <c r="F1456" s="34">
        <v>60686.69</v>
      </c>
      <c r="G1456" s="34">
        <f t="shared" si="45"/>
        <v>1.2719233266761099E-2</v>
      </c>
    </row>
    <row r="1457" spans="1:7" x14ac:dyDescent="0.3">
      <c r="A1457" s="33">
        <v>44515</v>
      </c>
      <c r="B1457" s="34">
        <v>938.05</v>
      </c>
      <c r="C1457" s="34">
        <f t="shared" si="44"/>
        <v>2.3896064080678001E-2</v>
      </c>
      <c r="E1457" s="33">
        <v>44515</v>
      </c>
      <c r="F1457" s="34">
        <v>60718.71</v>
      </c>
      <c r="G1457" s="34">
        <f t="shared" si="45"/>
        <v>5.2748890481708801E-4</v>
      </c>
    </row>
    <row r="1458" spans="1:7" x14ac:dyDescent="0.3">
      <c r="A1458" s="33">
        <v>44516</v>
      </c>
      <c r="B1458" s="34">
        <v>921.05</v>
      </c>
      <c r="C1458" s="34">
        <f t="shared" si="44"/>
        <v>-1.8288928891393781E-2</v>
      </c>
      <c r="E1458" s="33">
        <v>44516</v>
      </c>
      <c r="F1458" s="34">
        <v>60322.37</v>
      </c>
      <c r="G1458" s="34">
        <f t="shared" si="45"/>
        <v>-6.5488744236269414E-3</v>
      </c>
    </row>
    <row r="1459" spans="1:7" x14ac:dyDescent="0.3">
      <c r="A1459" s="33">
        <v>44517</v>
      </c>
      <c r="B1459" s="34">
        <v>905.05</v>
      </c>
      <c r="C1459" s="34">
        <f t="shared" si="44"/>
        <v>-1.7524132805664283E-2</v>
      </c>
      <c r="E1459" s="33">
        <v>44517</v>
      </c>
      <c r="F1459" s="34">
        <v>60008.33</v>
      </c>
      <c r="G1459" s="34">
        <f t="shared" si="45"/>
        <v>-5.2196274598008364E-3</v>
      </c>
    </row>
    <row r="1460" spans="1:7" x14ac:dyDescent="0.3">
      <c r="A1460" s="33">
        <v>44518</v>
      </c>
      <c r="B1460" s="34">
        <v>892.3</v>
      </c>
      <c r="C1460" s="34">
        <f t="shared" si="44"/>
        <v>-1.4187791886456176E-2</v>
      </c>
      <c r="E1460" s="33">
        <v>44518</v>
      </c>
      <c r="F1460" s="34">
        <v>59636.01</v>
      </c>
      <c r="G1460" s="34">
        <f t="shared" si="45"/>
        <v>-6.223799668890779E-3</v>
      </c>
    </row>
    <row r="1461" spans="1:7" x14ac:dyDescent="0.3">
      <c r="A1461" s="33">
        <v>44522</v>
      </c>
      <c r="B1461" s="34">
        <v>894.85</v>
      </c>
      <c r="C1461" s="34">
        <f t="shared" si="44"/>
        <v>2.8537075573116218E-3</v>
      </c>
      <c r="E1461" s="33">
        <v>44522</v>
      </c>
      <c r="F1461" s="34">
        <v>58465.89</v>
      </c>
      <c r="G1461" s="34">
        <f t="shared" si="45"/>
        <v>-1.9816078990810022E-2</v>
      </c>
    </row>
    <row r="1462" spans="1:7" x14ac:dyDescent="0.3">
      <c r="A1462" s="33">
        <v>44523</v>
      </c>
      <c r="B1462" s="34">
        <v>909.15</v>
      </c>
      <c r="C1462" s="34">
        <f t="shared" si="44"/>
        <v>1.5853990601986293E-2</v>
      </c>
      <c r="E1462" s="33">
        <v>44523</v>
      </c>
      <c r="F1462" s="34">
        <v>58664.33</v>
      </c>
      <c r="G1462" s="34">
        <f t="shared" si="45"/>
        <v>3.3883687720922461E-3</v>
      </c>
    </row>
    <row r="1463" spans="1:7" x14ac:dyDescent="0.3">
      <c r="A1463" s="33">
        <v>44524</v>
      </c>
      <c r="B1463" s="34">
        <v>893.5</v>
      </c>
      <c r="C1463" s="34">
        <f t="shared" si="44"/>
        <v>-1.7363762465920939E-2</v>
      </c>
      <c r="E1463" s="33">
        <v>44524</v>
      </c>
      <c r="F1463" s="34">
        <v>58340.99</v>
      </c>
      <c r="G1463" s="34">
        <f t="shared" si="45"/>
        <v>-5.5269422465737891E-3</v>
      </c>
    </row>
    <row r="1464" spans="1:7" x14ac:dyDescent="0.3">
      <c r="A1464" s="33">
        <v>44525</v>
      </c>
      <c r="B1464" s="34">
        <v>899.95</v>
      </c>
      <c r="C1464" s="34">
        <f t="shared" si="44"/>
        <v>7.192871626005513E-3</v>
      </c>
      <c r="E1464" s="33">
        <v>44525</v>
      </c>
      <c r="F1464" s="34">
        <v>58795.09</v>
      </c>
      <c r="G1464" s="34">
        <f t="shared" si="45"/>
        <v>7.7534142318211327E-3</v>
      </c>
    </row>
    <row r="1465" spans="1:7" x14ac:dyDescent="0.3">
      <c r="A1465" s="33">
        <v>44526</v>
      </c>
      <c r="B1465" s="34">
        <v>966.15</v>
      </c>
      <c r="C1465" s="34">
        <f t="shared" si="44"/>
        <v>7.0979895435521245E-2</v>
      </c>
      <c r="E1465" s="33">
        <v>44526</v>
      </c>
      <c r="F1465" s="34">
        <v>57107.15</v>
      </c>
      <c r="G1465" s="34">
        <f t="shared" si="45"/>
        <v>-2.9129020279701188E-2</v>
      </c>
    </row>
    <row r="1466" spans="1:7" x14ac:dyDescent="0.3">
      <c r="A1466" s="33">
        <v>44529</v>
      </c>
      <c r="B1466" s="34">
        <v>964.2</v>
      </c>
      <c r="C1466" s="34">
        <f t="shared" si="44"/>
        <v>-2.0203596894874964E-3</v>
      </c>
      <c r="E1466" s="33">
        <v>44529</v>
      </c>
      <c r="F1466" s="34">
        <v>57260.58</v>
      </c>
      <c r="G1466" s="34">
        <f t="shared" si="45"/>
        <v>2.6831011168203622E-3</v>
      </c>
    </row>
    <row r="1467" spans="1:7" x14ac:dyDescent="0.3">
      <c r="A1467" s="33">
        <v>44530</v>
      </c>
      <c r="B1467" s="34">
        <v>971.3</v>
      </c>
      <c r="C1467" s="34">
        <f t="shared" si="44"/>
        <v>7.3366384367629352E-3</v>
      </c>
      <c r="E1467" s="33">
        <v>44530</v>
      </c>
      <c r="F1467" s="34">
        <v>57064.87</v>
      </c>
      <c r="G1467" s="34">
        <f t="shared" si="45"/>
        <v>-3.4237379546848221E-3</v>
      </c>
    </row>
    <row r="1468" spans="1:7" x14ac:dyDescent="0.3">
      <c r="A1468" s="33">
        <v>44531</v>
      </c>
      <c r="B1468" s="34">
        <v>927.8</v>
      </c>
      <c r="C1468" s="34">
        <f t="shared" si="44"/>
        <v>-4.581918809064163E-2</v>
      </c>
      <c r="E1468" s="33">
        <v>44531</v>
      </c>
      <c r="F1468" s="34">
        <v>57684.79</v>
      </c>
      <c r="G1468" s="34">
        <f t="shared" si="45"/>
        <v>1.0804843012449591E-2</v>
      </c>
    </row>
    <row r="1469" spans="1:7" x14ac:dyDescent="0.3">
      <c r="A1469" s="33">
        <v>44532</v>
      </c>
      <c r="B1469" s="34">
        <v>921.45</v>
      </c>
      <c r="C1469" s="34">
        <f t="shared" si="44"/>
        <v>-6.8676760395970735E-3</v>
      </c>
      <c r="E1469" s="33">
        <v>44532</v>
      </c>
      <c r="F1469" s="34">
        <v>58461.29</v>
      </c>
      <c r="G1469" s="34">
        <f t="shared" si="45"/>
        <v>1.3371291898307351E-2</v>
      </c>
    </row>
    <row r="1470" spans="1:7" x14ac:dyDescent="0.3">
      <c r="A1470" s="33">
        <v>44533</v>
      </c>
      <c r="B1470" s="34">
        <v>911.85</v>
      </c>
      <c r="C1470" s="34">
        <f t="shared" si="44"/>
        <v>-1.0473013415204959E-2</v>
      </c>
      <c r="E1470" s="33">
        <v>44533</v>
      </c>
      <c r="F1470" s="34">
        <v>57696.46</v>
      </c>
      <c r="G1470" s="34">
        <f t="shared" si="45"/>
        <v>-1.3169005997612138E-2</v>
      </c>
    </row>
    <row r="1471" spans="1:7" x14ac:dyDescent="0.3">
      <c r="A1471" s="33">
        <v>44536</v>
      </c>
      <c r="B1471" s="34">
        <v>895.9</v>
      </c>
      <c r="C1471" s="34">
        <f t="shared" si="44"/>
        <v>-1.7646703259308488E-2</v>
      </c>
      <c r="E1471" s="33">
        <v>44536</v>
      </c>
      <c r="F1471" s="34">
        <v>56747.14</v>
      </c>
      <c r="G1471" s="34">
        <f t="shared" si="45"/>
        <v>-1.65905611964005E-2</v>
      </c>
    </row>
    <row r="1472" spans="1:7" x14ac:dyDescent="0.3">
      <c r="A1472" s="33">
        <v>44537</v>
      </c>
      <c r="B1472" s="34">
        <v>889.5</v>
      </c>
      <c r="C1472" s="34">
        <f t="shared" si="44"/>
        <v>-7.1692924976429154E-3</v>
      </c>
      <c r="E1472" s="33">
        <v>44537</v>
      </c>
      <c r="F1472" s="34">
        <v>57633.65</v>
      </c>
      <c r="G1472" s="34">
        <f t="shared" si="45"/>
        <v>1.5501339895738743E-2</v>
      </c>
    </row>
    <row r="1473" spans="1:7" x14ac:dyDescent="0.3">
      <c r="A1473" s="33">
        <v>44538</v>
      </c>
      <c r="B1473" s="34">
        <v>897.9</v>
      </c>
      <c r="C1473" s="34">
        <f t="shared" si="44"/>
        <v>9.3991964208730745E-3</v>
      </c>
      <c r="E1473" s="33">
        <v>44538</v>
      </c>
      <c r="F1473" s="34">
        <v>58649.68</v>
      </c>
      <c r="G1473" s="34">
        <f t="shared" si="45"/>
        <v>1.7475520477583321E-2</v>
      </c>
    </row>
    <row r="1474" spans="1:7" x14ac:dyDescent="0.3">
      <c r="A1474" s="33">
        <v>44539</v>
      </c>
      <c r="B1474" s="34">
        <v>894.35</v>
      </c>
      <c r="C1474" s="34">
        <f t="shared" si="44"/>
        <v>-3.9615060875080235E-3</v>
      </c>
      <c r="E1474" s="33">
        <v>44539</v>
      </c>
      <c r="F1474" s="34">
        <v>58807.13</v>
      </c>
      <c r="G1474" s="34">
        <f t="shared" si="45"/>
        <v>2.6809870676461458E-3</v>
      </c>
    </row>
    <row r="1475" spans="1:7" x14ac:dyDescent="0.3">
      <c r="A1475" s="33">
        <v>44540</v>
      </c>
      <c r="B1475" s="34">
        <v>893.8</v>
      </c>
      <c r="C1475" s="34">
        <f t="shared" si="44"/>
        <v>-6.1516093990371498E-4</v>
      </c>
      <c r="E1475" s="33">
        <v>44540</v>
      </c>
      <c r="F1475" s="34">
        <v>58786.67</v>
      </c>
      <c r="G1475" s="34">
        <f t="shared" si="45"/>
        <v>-3.4797753293883935E-4</v>
      </c>
    </row>
    <row r="1476" spans="1:7" x14ac:dyDescent="0.3">
      <c r="A1476" s="33">
        <v>44543</v>
      </c>
      <c r="B1476" s="34">
        <v>891</v>
      </c>
      <c r="C1476" s="34">
        <f t="shared" si="44"/>
        <v>-3.137609028541744E-3</v>
      </c>
      <c r="E1476" s="33">
        <v>44543</v>
      </c>
      <c r="F1476" s="34">
        <v>58283.42</v>
      </c>
      <c r="G1476" s="34">
        <f t="shared" si="45"/>
        <v>-8.5974666948084415E-3</v>
      </c>
    </row>
    <row r="1477" spans="1:7" x14ac:dyDescent="0.3">
      <c r="A1477" s="33">
        <v>44544</v>
      </c>
      <c r="B1477" s="34">
        <v>895.4</v>
      </c>
      <c r="C1477" s="34">
        <f t="shared" si="44"/>
        <v>4.9261183360557815E-3</v>
      </c>
      <c r="E1477" s="33">
        <v>44544</v>
      </c>
      <c r="F1477" s="34">
        <v>58117.09</v>
      </c>
      <c r="G1477" s="34">
        <f t="shared" si="45"/>
        <v>-2.8578932035449697E-3</v>
      </c>
    </row>
    <row r="1478" spans="1:7" x14ac:dyDescent="0.3">
      <c r="A1478" s="33">
        <v>44545</v>
      </c>
      <c r="B1478" s="34">
        <v>895.7</v>
      </c>
      <c r="C1478" s="34">
        <f t="shared" si="44"/>
        <v>3.3498967428464619E-4</v>
      </c>
      <c r="E1478" s="33">
        <v>44545</v>
      </c>
      <c r="F1478" s="34">
        <v>57788.03</v>
      </c>
      <c r="G1478" s="34">
        <f t="shared" si="45"/>
        <v>-5.6781078195504483E-3</v>
      </c>
    </row>
    <row r="1479" spans="1:7" x14ac:dyDescent="0.3">
      <c r="A1479" s="33">
        <v>44546</v>
      </c>
      <c r="B1479" s="34">
        <v>881</v>
      </c>
      <c r="C1479" s="34">
        <f t="shared" ref="C1479:C1542" si="46">LN(B1479/B1478)</f>
        <v>-1.6547909544970187E-2</v>
      </c>
      <c r="E1479" s="33">
        <v>44546</v>
      </c>
      <c r="F1479" s="34">
        <v>57901.14</v>
      </c>
      <c r="G1479" s="34">
        <f t="shared" ref="G1479:G1542" si="47">LN(F1479/F1478)</f>
        <v>1.9554126983705828E-3</v>
      </c>
    </row>
    <row r="1480" spans="1:7" x14ac:dyDescent="0.3">
      <c r="A1480" s="33">
        <v>44547</v>
      </c>
      <c r="B1480" s="34">
        <v>859.85</v>
      </c>
      <c r="C1480" s="34">
        <f t="shared" si="46"/>
        <v>-2.4299670505970962E-2</v>
      </c>
      <c r="E1480" s="33">
        <v>44547</v>
      </c>
      <c r="F1480" s="34">
        <v>57011.74</v>
      </c>
      <c r="G1480" s="34">
        <f t="shared" si="47"/>
        <v>-1.5479861965322049E-2</v>
      </c>
    </row>
    <row r="1481" spans="1:7" x14ac:dyDescent="0.3">
      <c r="A1481" s="33">
        <v>44550</v>
      </c>
      <c r="B1481" s="34">
        <v>892.75</v>
      </c>
      <c r="C1481" s="34">
        <f t="shared" si="46"/>
        <v>3.7548631044349377E-2</v>
      </c>
      <c r="E1481" s="33">
        <v>44550</v>
      </c>
      <c r="F1481" s="34">
        <v>55822.01</v>
      </c>
      <c r="G1481" s="34">
        <f t="shared" si="47"/>
        <v>-2.1088975480019697E-2</v>
      </c>
    </row>
    <row r="1482" spans="1:7" x14ac:dyDescent="0.3">
      <c r="A1482" s="33">
        <v>44551</v>
      </c>
      <c r="B1482" s="34">
        <v>885.6</v>
      </c>
      <c r="C1482" s="34">
        <f t="shared" si="46"/>
        <v>-8.0412050801306652E-3</v>
      </c>
      <c r="E1482" s="33">
        <v>44551</v>
      </c>
      <c r="F1482" s="34">
        <v>56319.01</v>
      </c>
      <c r="G1482" s="34">
        <f t="shared" si="47"/>
        <v>8.8638975113393987E-3</v>
      </c>
    </row>
    <row r="1483" spans="1:7" x14ac:dyDescent="0.3">
      <c r="A1483" s="33">
        <v>44552</v>
      </c>
      <c r="B1483" s="34">
        <v>889.85</v>
      </c>
      <c r="C1483" s="34">
        <f t="shared" si="46"/>
        <v>4.7875278015674129E-3</v>
      </c>
      <c r="E1483" s="33">
        <v>44552</v>
      </c>
      <c r="F1483" s="34">
        <v>56930.559999999998</v>
      </c>
      <c r="G1483" s="34">
        <f t="shared" si="47"/>
        <v>1.0800145985810543E-2</v>
      </c>
    </row>
    <row r="1484" spans="1:7" x14ac:dyDescent="0.3">
      <c r="A1484" s="33">
        <v>44553</v>
      </c>
      <c r="B1484" s="34">
        <v>908.65</v>
      </c>
      <c r="C1484" s="34">
        <f t="shared" si="46"/>
        <v>2.0907072331275728E-2</v>
      </c>
      <c r="E1484" s="33">
        <v>44553</v>
      </c>
      <c r="F1484" s="34">
        <v>57315.28</v>
      </c>
      <c r="G1484" s="34">
        <f t="shared" si="47"/>
        <v>6.7349752820241599E-3</v>
      </c>
    </row>
    <row r="1485" spans="1:7" x14ac:dyDescent="0.3">
      <c r="A1485" s="33">
        <v>44554</v>
      </c>
      <c r="B1485" s="34">
        <v>907.7</v>
      </c>
      <c r="C1485" s="34">
        <f t="shared" si="46"/>
        <v>-1.0460539946886705E-3</v>
      </c>
      <c r="E1485" s="33">
        <v>44554</v>
      </c>
      <c r="F1485" s="34">
        <v>57124.31</v>
      </c>
      <c r="G1485" s="34">
        <f t="shared" si="47"/>
        <v>-3.3374844713220386E-3</v>
      </c>
    </row>
    <row r="1486" spans="1:7" x14ac:dyDescent="0.3">
      <c r="A1486" s="33">
        <v>44557</v>
      </c>
      <c r="B1486" s="34">
        <v>929.45</v>
      </c>
      <c r="C1486" s="34">
        <f t="shared" si="46"/>
        <v>2.367908582057144E-2</v>
      </c>
      <c r="E1486" s="33">
        <v>44557</v>
      </c>
      <c r="F1486" s="34">
        <v>57420.24</v>
      </c>
      <c r="G1486" s="34">
        <f t="shared" si="47"/>
        <v>5.1670840456977309E-3</v>
      </c>
    </row>
    <row r="1487" spans="1:7" x14ac:dyDescent="0.3">
      <c r="A1487" s="33">
        <v>44558</v>
      </c>
      <c r="B1487" s="34">
        <v>933.4</v>
      </c>
      <c r="C1487" s="34">
        <f t="shared" si="46"/>
        <v>4.2408201625621358E-3</v>
      </c>
      <c r="E1487" s="33">
        <v>44558</v>
      </c>
      <c r="F1487" s="34">
        <v>57897.48</v>
      </c>
      <c r="G1487" s="34">
        <f t="shared" si="47"/>
        <v>8.2770059032200548E-3</v>
      </c>
    </row>
    <row r="1488" spans="1:7" x14ac:dyDescent="0.3">
      <c r="A1488" s="33">
        <v>44559</v>
      </c>
      <c r="B1488" s="34">
        <v>935.25</v>
      </c>
      <c r="C1488" s="34">
        <f t="shared" si="46"/>
        <v>1.9800397125402588E-3</v>
      </c>
      <c r="E1488" s="33">
        <v>44559</v>
      </c>
      <c r="F1488" s="34">
        <v>57806.49</v>
      </c>
      <c r="G1488" s="34">
        <f t="shared" si="47"/>
        <v>-1.5728072037114555E-3</v>
      </c>
    </row>
    <row r="1489" spans="1:7" x14ac:dyDescent="0.3">
      <c r="A1489" s="33">
        <v>44560</v>
      </c>
      <c r="B1489" s="34">
        <v>952.2</v>
      </c>
      <c r="C1489" s="34">
        <f t="shared" si="46"/>
        <v>1.7961223532162906E-2</v>
      </c>
      <c r="E1489" s="33">
        <v>44560</v>
      </c>
      <c r="F1489" s="34">
        <v>57794.32</v>
      </c>
      <c r="G1489" s="34">
        <f t="shared" si="47"/>
        <v>-2.1055215867365641E-4</v>
      </c>
    </row>
    <row r="1490" spans="1:7" x14ac:dyDescent="0.3">
      <c r="A1490" s="33">
        <v>44561</v>
      </c>
      <c r="B1490" s="34">
        <v>944.3</v>
      </c>
      <c r="C1490" s="34">
        <f t="shared" si="46"/>
        <v>-8.3311844913950169E-3</v>
      </c>
      <c r="E1490" s="33">
        <v>44561</v>
      </c>
      <c r="F1490" s="34">
        <v>58253.82</v>
      </c>
      <c r="G1490" s="34">
        <f t="shared" si="47"/>
        <v>7.9191687413812696E-3</v>
      </c>
    </row>
    <row r="1491" spans="1:7" x14ac:dyDescent="0.3">
      <c r="A1491" s="33">
        <v>44564</v>
      </c>
      <c r="B1491" s="34">
        <v>930.4</v>
      </c>
      <c r="C1491" s="34">
        <f t="shared" si="46"/>
        <v>-1.4829311064568789E-2</v>
      </c>
      <c r="E1491" s="33">
        <v>44564</v>
      </c>
      <c r="F1491" s="34">
        <v>59183.22</v>
      </c>
      <c r="G1491" s="34">
        <f t="shared" si="47"/>
        <v>1.5828386070902721E-2</v>
      </c>
    </row>
    <row r="1492" spans="1:7" x14ac:dyDescent="0.3">
      <c r="A1492" s="33">
        <v>44565</v>
      </c>
      <c r="B1492" s="34">
        <v>923.85</v>
      </c>
      <c r="C1492" s="34">
        <f t="shared" si="46"/>
        <v>-7.0648804032926327E-3</v>
      </c>
      <c r="E1492" s="33">
        <v>44565</v>
      </c>
      <c r="F1492" s="34">
        <v>59855.93</v>
      </c>
      <c r="G1492" s="34">
        <f t="shared" si="47"/>
        <v>1.1302452366084284E-2</v>
      </c>
    </row>
    <row r="1493" spans="1:7" x14ac:dyDescent="0.3">
      <c r="A1493" s="33">
        <v>44566</v>
      </c>
      <c r="B1493" s="34">
        <v>928.25</v>
      </c>
      <c r="C1493" s="34">
        <f t="shared" si="46"/>
        <v>4.7513722560274954E-3</v>
      </c>
      <c r="E1493" s="33">
        <v>44566</v>
      </c>
      <c r="F1493" s="34">
        <v>60223.15</v>
      </c>
      <c r="G1493" s="34">
        <f t="shared" si="47"/>
        <v>6.1163217571125863E-3</v>
      </c>
    </row>
    <row r="1494" spans="1:7" x14ac:dyDescent="0.3">
      <c r="A1494" s="33">
        <v>44567</v>
      </c>
      <c r="B1494" s="34">
        <v>921.55</v>
      </c>
      <c r="C1494" s="34">
        <f t="shared" si="46"/>
        <v>-7.2440580595577939E-3</v>
      </c>
      <c r="E1494" s="33">
        <v>44567</v>
      </c>
      <c r="F1494" s="34">
        <v>59601.84</v>
      </c>
      <c r="G1494" s="34">
        <f t="shared" si="47"/>
        <v>-1.0370383810835968E-2</v>
      </c>
    </row>
    <row r="1495" spans="1:7" x14ac:dyDescent="0.3">
      <c r="A1495" s="33">
        <v>44568</v>
      </c>
      <c r="B1495" s="34">
        <v>915.15</v>
      </c>
      <c r="C1495" s="34">
        <f t="shared" si="46"/>
        <v>-6.9690487316605675E-3</v>
      </c>
      <c r="E1495" s="33">
        <v>44568</v>
      </c>
      <c r="F1495" s="34">
        <v>59744.65</v>
      </c>
      <c r="G1495" s="34">
        <f t="shared" si="47"/>
        <v>2.3932009757633012E-3</v>
      </c>
    </row>
    <row r="1496" spans="1:7" x14ac:dyDescent="0.3">
      <c r="A1496" s="33">
        <v>44571</v>
      </c>
      <c r="B1496" s="34">
        <v>916.35</v>
      </c>
      <c r="C1496" s="34">
        <f t="shared" si="46"/>
        <v>1.3104014979145844E-3</v>
      </c>
      <c r="E1496" s="33">
        <v>44571</v>
      </c>
      <c r="F1496" s="34">
        <v>60395.63</v>
      </c>
      <c r="G1496" s="34">
        <f t="shared" si="47"/>
        <v>1.0837104276188917E-2</v>
      </c>
    </row>
    <row r="1497" spans="1:7" x14ac:dyDescent="0.3">
      <c r="A1497" s="33">
        <v>44572</v>
      </c>
      <c r="B1497" s="34">
        <v>915.3</v>
      </c>
      <c r="C1497" s="34">
        <f t="shared" si="46"/>
        <v>-1.1465073731520535E-3</v>
      </c>
      <c r="E1497" s="33">
        <v>44572</v>
      </c>
      <c r="F1497" s="34">
        <v>60616.89</v>
      </c>
      <c r="G1497" s="34">
        <f t="shared" si="47"/>
        <v>3.6568157834066563E-3</v>
      </c>
    </row>
    <row r="1498" spans="1:7" x14ac:dyDescent="0.3">
      <c r="A1498" s="33">
        <v>44573</v>
      </c>
      <c r="B1498" s="34">
        <v>906.85</v>
      </c>
      <c r="C1498" s="34">
        <f t="shared" si="46"/>
        <v>-9.2748243273013467E-3</v>
      </c>
      <c r="E1498" s="33">
        <v>44573</v>
      </c>
      <c r="F1498" s="34">
        <v>61150.04</v>
      </c>
      <c r="G1498" s="34">
        <f t="shared" si="47"/>
        <v>8.7569491488189259E-3</v>
      </c>
    </row>
    <row r="1499" spans="1:7" x14ac:dyDescent="0.3">
      <c r="A1499" s="33">
        <v>44574</v>
      </c>
      <c r="B1499" s="34">
        <v>923.75</v>
      </c>
      <c r="C1499" s="34">
        <f t="shared" si="46"/>
        <v>1.8464416198979174E-2</v>
      </c>
      <c r="E1499" s="33">
        <v>44574</v>
      </c>
      <c r="F1499" s="34">
        <v>61235.3</v>
      </c>
      <c r="G1499" s="34">
        <f t="shared" si="47"/>
        <v>1.3933043580695533E-3</v>
      </c>
    </row>
    <row r="1500" spans="1:7" x14ac:dyDescent="0.3">
      <c r="A1500" s="33">
        <v>44575</v>
      </c>
      <c r="B1500" s="34">
        <v>921.4</v>
      </c>
      <c r="C1500" s="34">
        <f t="shared" si="46"/>
        <v>-2.5472197605949484E-3</v>
      </c>
      <c r="E1500" s="33">
        <v>44575</v>
      </c>
      <c r="F1500" s="34">
        <v>61223.03</v>
      </c>
      <c r="G1500" s="34">
        <f t="shared" si="47"/>
        <v>-2.0039469819760583E-4</v>
      </c>
    </row>
    <row r="1501" spans="1:7" x14ac:dyDescent="0.3">
      <c r="A1501" s="33">
        <v>44578</v>
      </c>
      <c r="B1501" s="34">
        <v>910.5</v>
      </c>
      <c r="C1501" s="34">
        <f t="shared" si="46"/>
        <v>-1.1900353334153964E-2</v>
      </c>
      <c r="E1501" s="33">
        <v>44578</v>
      </c>
      <c r="F1501" s="34">
        <v>61308.91</v>
      </c>
      <c r="G1501" s="34">
        <f t="shared" si="47"/>
        <v>1.4017571918359412E-3</v>
      </c>
    </row>
    <row r="1502" spans="1:7" x14ac:dyDescent="0.3">
      <c r="A1502" s="33">
        <v>44579</v>
      </c>
      <c r="B1502" s="34">
        <v>902.25</v>
      </c>
      <c r="C1502" s="34">
        <f t="shared" si="46"/>
        <v>-9.1022556447646497E-3</v>
      </c>
      <c r="E1502" s="33">
        <v>44579</v>
      </c>
      <c r="F1502" s="34">
        <v>60754.86</v>
      </c>
      <c r="G1502" s="34">
        <f t="shared" si="47"/>
        <v>-9.0781040930373747E-3</v>
      </c>
    </row>
    <row r="1503" spans="1:7" x14ac:dyDescent="0.3">
      <c r="A1503" s="33">
        <v>44580</v>
      </c>
      <c r="B1503" s="34">
        <v>895.45</v>
      </c>
      <c r="C1503" s="34">
        <f t="shared" si="46"/>
        <v>-7.5652583101494583E-3</v>
      </c>
      <c r="E1503" s="33">
        <v>44580</v>
      </c>
      <c r="F1503" s="34">
        <v>60098.82</v>
      </c>
      <c r="G1503" s="34">
        <f t="shared" si="47"/>
        <v>-1.0856871615842667E-2</v>
      </c>
    </row>
    <row r="1504" spans="1:7" x14ac:dyDescent="0.3">
      <c r="A1504" s="33">
        <v>44581</v>
      </c>
      <c r="B1504" s="34">
        <v>882.7</v>
      </c>
      <c r="C1504" s="34">
        <f t="shared" si="46"/>
        <v>-1.4340993186561251E-2</v>
      </c>
      <c r="E1504" s="33">
        <v>44581</v>
      </c>
      <c r="F1504" s="34">
        <v>59464.62</v>
      </c>
      <c r="G1504" s="34">
        <f t="shared" si="47"/>
        <v>-1.060869355982515E-2</v>
      </c>
    </row>
    <row r="1505" spans="1:7" x14ac:dyDescent="0.3">
      <c r="A1505" s="33">
        <v>44582</v>
      </c>
      <c r="B1505" s="34">
        <v>866.9</v>
      </c>
      <c r="C1505" s="34">
        <f t="shared" si="46"/>
        <v>-1.8061762151592518E-2</v>
      </c>
      <c r="E1505" s="33">
        <v>44582</v>
      </c>
      <c r="F1505" s="34">
        <v>59037.18</v>
      </c>
      <c r="G1505" s="34">
        <f t="shared" si="47"/>
        <v>-7.2140989213329574E-3</v>
      </c>
    </row>
    <row r="1506" spans="1:7" x14ac:dyDescent="0.3">
      <c r="A1506" s="33">
        <v>44585</v>
      </c>
      <c r="B1506" s="34">
        <v>891.7</v>
      </c>
      <c r="C1506" s="34">
        <f t="shared" si="46"/>
        <v>2.8206123266239207E-2</v>
      </c>
      <c r="E1506" s="33">
        <v>44585</v>
      </c>
      <c r="F1506" s="34">
        <v>57491.51</v>
      </c>
      <c r="G1506" s="34">
        <f t="shared" si="47"/>
        <v>-2.6530130196091344E-2</v>
      </c>
    </row>
    <row r="1507" spans="1:7" x14ac:dyDescent="0.3">
      <c r="A1507" s="33">
        <v>44586</v>
      </c>
      <c r="B1507" s="34">
        <v>904.1</v>
      </c>
      <c r="C1507" s="34">
        <f t="shared" si="46"/>
        <v>1.3810220602486926E-2</v>
      </c>
      <c r="E1507" s="33">
        <v>44586</v>
      </c>
      <c r="F1507" s="34">
        <v>57858.15</v>
      </c>
      <c r="G1507" s="34">
        <f t="shared" si="47"/>
        <v>6.3570405793896001E-3</v>
      </c>
    </row>
    <row r="1508" spans="1:7" x14ac:dyDescent="0.3">
      <c r="A1508" s="33">
        <v>44588</v>
      </c>
      <c r="B1508" s="34">
        <v>927.85</v>
      </c>
      <c r="C1508" s="34">
        <f t="shared" si="46"/>
        <v>2.5930108047027011E-2</v>
      </c>
      <c r="E1508" s="33">
        <v>44588</v>
      </c>
      <c r="F1508" s="34">
        <v>57276.94</v>
      </c>
      <c r="G1508" s="34">
        <f t="shared" si="47"/>
        <v>-1.0096225869439965E-2</v>
      </c>
    </row>
    <row r="1509" spans="1:7" x14ac:dyDescent="0.3">
      <c r="A1509" s="33">
        <v>44589</v>
      </c>
      <c r="B1509" s="34">
        <v>932.15</v>
      </c>
      <c r="C1509" s="34">
        <f t="shared" si="46"/>
        <v>4.6236641511225359E-3</v>
      </c>
      <c r="E1509" s="33">
        <v>44589</v>
      </c>
      <c r="F1509" s="34">
        <v>57200.23</v>
      </c>
      <c r="G1509" s="34">
        <f t="shared" si="47"/>
        <v>-1.3401800809971116E-3</v>
      </c>
    </row>
    <row r="1510" spans="1:7" x14ac:dyDescent="0.3">
      <c r="A1510" s="33">
        <v>44592</v>
      </c>
      <c r="B1510" s="34">
        <v>944.75</v>
      </c>
      <c r="C1510" s="34">
        <f t="shared" si="46"/>
        <v>1.3426596288127788E-2</v>
      </c>
      <c r="E1510" s="33">
        <v>44592</v>
      </c>
      <c r="F1510" s="34">
        <v>58014.17</v>
      </c>
      <c r="G1510" s="34">
        <f t="shared" si="47"/>
        <v>1.4129371695645375E-2</v>
      </c>
    </row>
    <row r="1511" spans="1:7" x14ac:dyDescent="0.3">
      <c r="A1511" s="33">
        <v>44593</v>
      </c>
      <c r="B1511" s="34">
        <v>945.2</v>
      </c>
      <c r="C1511" s="34">
        <f t="shared" si="46"/>
        <v>4.7620308315439528E-4</v>
      </c>
      <c r="E1511" s="33">
        <v>44593</v>
      </c>
      <c r="F1511" s="34">
        <v>58862.57</v>
      </c>
      <c r="G1511" s="34">
        <f t="shared" si="47"/>
        <v>1.4518113728778278E-2</v>
      </c>
    </row>
    <row r="1512" spans="1:7" x14ac:dyDescent="0.3">
      <c r="A1512" s="33">
        <v>44594</v>
      </c>
      <c r="B1512" s="34">
        <v>951.5</v>
      </c>
      <c r="C1512" s="34">
        <f t="shared" si="46"/>
        <v>6.6431414234513035E-3</v>
      </c>
      <c r="E1512" s="33">
        <v>44594</v>
      </c>
      <c r="F1512" s="34">
        <v>59558.33</v>
      </c>
      <c r="G1512" s="34">
        <f t="shared" si="47"/>
        <v>1.1750763689279601E-2</v>
      </c>
    </row>
    <row r="1513" spans="1:7" x14ac:dyDescent="0.3">
      <c r="A1513" s="33">
        <v>44595</v>
      </c>
      <c r="B1513" s="34">
        <v>952.3</v>
      </c>
      <c r="C1513" s="34">
        <f t="shared" si="46"/>
        <v>8.4042446379610524E-4</v>
      </c>
      <c r="E1513" s="33">
        <v>44595</v>
      </c>
      <c r="F1513" s="34">
        <v>58788.02</v>
      </c>
      <c r="G1513" s="34">
        <f t="shared" si="47"/>
        <v>-1.3018075820528234E-2</v>
      </c>
    </row>
    <row r="1514" spans="1:7" x14ac:dyDescent="0.3">
      <c r="A1514" s="33">
        <v>44596</v>
      </c>
      <c r="B1514" s="34">
        <v>945.9</v>
      </c>
      <c r="C1514" s="34">
        <f t="shared" si="46"/>
        <v>-6.7432559808754487E-3</v>
      </c>
      <c r="E1514" s="33">
        <v>44596</v>
      </c>
      <c r="F1514" s="34">
        <v>58644.82</v>
      </c>
      <c r="G1514" s="34">
        <f t="shared" si="47"/>
        <v>-2.4388419964783315E-3</v>
      </c>
    </row>
    <row r="1515" spans="1:7" x14ac:dyDescent="0.3">
      <c r="A1515" s="33">
        <v>44599</v>
      </c>
      <c r="B1515" s="34">
        <v>933.55</v>
      </c>
      <c r="C1515" s="34">
        <f t="shared" si="46"/>
        <v>-1.3142331807780093E-2</v>
      </c>
      <c r="E1515" s="33">
        <v>44599</v>
      </c>
      <c r="F1515" s="34">
        <v>57621.19</v>
      </c>
      <c r="G1515" s="34">
        <f t="shared" si="47"/>
        <v>-1.7608868659066919E-2</v>
      </c>
    </row>
    <row r="1516" spans="1:7" x14ac:dyDescent="0.3">
      <c r="A1516" s="33">
        <v>44600</v>
      </c>
      <c r="B1516" s="34">
        <v>948.6</v>
      </c>
      <c r="C1516" s="34">
        <f t="shared" si="46"/>
        <v>1.5992690032136606E-2</v>
      </c>
      <c r="E1516" s="33">
        <v>44600</v>
      </c>
      <c r="F1516" s="34">
        <v>57808.58</v>
      </c>
      <c r="G1516" s="34">
        <f t="shared" si="47"/>
        <v>3.2468255740290912E-3</v>
      </c>
    </row>
    <row r="1517" spans="1:7" x14ac:dyDescent="0.3">
      <c r="A1517" s="33">
        <v>44601</v>
      </c>
      <c r="B1517" s="34">
        <v>967.9</v>
      </c>
      <c r="C1517" s="34">
        <f t="shared" si="46"/>
        <v>2.0141562711561568E-2</v>
      </c>
      <c r="E1517" s="33">
        <v>44601</v>
      </c>
      <c r="F1517" s="34">
        <v>58465.97</v>
      </c>
      <c r="G1517" s="34">
        <f t="shared" si="47"/>
        <v>1.130766800919657E-2</v>
      </c>
    </row>
    <row r="1518" spans="1:7" x14ac:dyDescent="0.3">
      <c r="A1518" s="33">
        <v>44602</v>
      </c>
      <c r="B1518" s="34">
        <v>974.65</v>
      </c>
      <c r="C1518" s="34">
        <f t="shared" si="46"/>
        <v>6.9496560371110089E-3</v>
      </c>
      <c r="E1518" s="33">
        <v>44602</v>
      </c>
      <c r="F1518" s="34">
        <v>58926.03</v>
      </c>
      <c r="G1518" s="34">
        <f t="shared" si="47"/>
        <v>7.8380529391427374E-3</v>
      </c>
    </row>
    <row r="1519" spans="1:7" x14ac:dyDescent="0.3">
      <c r="A1519" s="33">
        <v>44603</v>
      </c>
      <c r="B1519" s="34">
        <v>958.05</v>
      </c>
      <c r="C1519" s="34">
        <f t="shared" si="46"/>
        <v>-1.7178463516446221E-2</v>
      </c>
      <c r="E1519" s="33">
        <v>44603</v>
      </c>
      <c r="F1519" s="34">
        <v>58152.92</v>
      </c>
      <c r="G1519" s="34">
        <f t="shared" si="47"/>
        <v>-1.320683585143612E-2</v>
      </c>
    </row>
    <row r="1520" spans="1:7" x14ac:dyDescent="0.3">
      <c r="A1520" s="33">
        <v>44606</v>
      </c>
      <c r="B1520" s="34">
        <v>955.25</v>
      </c>
      <c r="C1520" s="34">
        <f t="shared" si="46"/>
        <v>-2.9268823486984833E-3</v>
      </c>
      <c r="E1520" s="33">
        <v>44606</v>
      </c>
      <c r="F1520" s="34">
        <v>56405.84</v>
      </c>
      <c r="G1520" s="34">
        <f t="shared" si="47"/>
        <v>-3.0503393422474722E-2</v>
      </c>
    </row>
    <row r="1521" spans="1:7" x14ac:dyDescent="0.3">
      <c r="A1521" s="33">
        <v>44607</v>
      </c>
      <c r="B1521" s="34">
        <v>921.75</v>
      </c>
      <c r="C1521" s="34">
        <f t="shared" si="46"/>
        <v>-3.5699049212755476E-2</v>
      </c>
      <c r="E1521" s="33">
        <v>44607</v>
      </c>
      <c r="F1521" s="34">
        <v>58142.05</v>
      </c>
      <c r="G1521" s="34">
        <f t="shared" si="47"/>
        <v>3.0316454984266248E-2</v>
      </c>
    </row>
    <row r="1522" spans="1:7" x14ac:dyDescent="0.3">
      <c r="A1522" s="33">
        <v>44608</v>
      </c>
      <c r="B1522" s="34">
        <v>932.55</v>
      </c>
      <c r="C1522" s="34">
        <f t="shared" si="46"/>
        <v>1.1648732269202374E-2</v>
      </c>
      <c r="E1522" s="33">
        <v>44608</v>
      </c>
      <c r="F1522" s="34">
        <v>57996.68</v>
      </c>
      <c r="G1522" s="34">
        <f t="shared" si="47"/>
        <v>-2.5033866982841838E-3</v>
      </c>
    </row>
    <row r="1523" spans="1:7" x14ac:dyDescent="0.3">
      <c r="A1523" s="33">
        <v>44609</v>
      </c>
      <c r="B1523" s="34">
        <v>927.85</v>
      </c>
      <c r="C1523" s="34">
        <f t="shared" si="46"/>
        <v>-5.0526875931083117E-3</v>
      </c>
      <c r="E1523" s="33">
        <v>44609</v>
      </c>
      <c r="F1523" s="34">
        <v>57892.01</v>
      </c>
      <c r="G1523" s="34">
        <f t="shared" si="47"/>
        <v>-1.806389017977039E-3</v>
      </c>
    </row>
    <row r="1524" spans="1:7" x14ac:dyDescent="0.3">
      <c r="A1524" s="33">
        <v>44610</v>
      </c>
      <c r="B1524" s="34">
        <v>908.35</v>
      </c>
      <c r="C1524" s="34">
        <f t="shared" si="46"/>
        <v>-2.1240314905593829E-2</v>
      </c>
      <c r="E1524" s="33">
        <v>44610</v>
      </c>
      <c r="F1524" s="34">
        <v>57832.97</v>
      </c>
      <c r="G1524" s="34">
        <f t="shared" si="47"/>
        <v>-1.0203502324612063E-3</v>
      </c>
    </row>
    <row r="1525" spans="1:7" x14ac:dyDescent="0.3">
      <c r="A1525" s="33">
        <v>44613</v>
      </c>
      <c r="B1525" s="34">
        <v>905.95</v>
      </c>
      <c r="C1525" s="34">
        <f t="shared" si="46"/>
        <v>-2.6456500026375055E-3</v>
      </c>
      <c r="E1525" s="33">
        <v>44613</v>
      </c>
      <c r="F1525" s="34">
        <v>57683.59</v>
      </c>
      <c r="G1525" s="34">
        <f t="shared" si="47"/>
        <v>-2.5862972939303831E-3</v>
      </c>
    </row>
    <row r="1526" spans="1:7" x14ac:dyDescent="0.3">
      <c r="A1526" s="33">
        <v>44614</v>
      </c>
      <c r="B1526" s="34">
        <v>913.1</v>
      </c>
      <c r="C1526" s="34">
        <f t="shared" si="46"/>
        <v>7.8612867401778534E-3</v>
      </c>
      <c r="E1526" s="33">
        <v>44614</v>
      </c>
      <c r="F1526" s="34">
        <v>57300.68</v>
      </c>
      <c r="G1526" s="34">
        <f t="shared" si="47"/>
        <v>-6.6602399693659019E-3</v>
      </c>
    </row>
    <row r="1527" spans="1:7" x14ac:dyDescent="0.3">
      <c r="A1527" s="33">
        <v>44615</v>
      </c>
      <c r="B1527" s="34">
        <v>915.75</v>
      </c>
      <c r="C1527" s="34">
        <f t="shared" si="46"/>
        <v>2.8979980366293893E-3</v>
      </c>
      <c r="E1527" s="33">
        <v>44615</v>
      </c>
      <c r="F1527" s="34">
        <v>57232.06</v>
      </c>
      <c r="G1527" s="34">
        <f t="shared" si="47"/>
        <v>-1.1982601343606138E-3</v>
      </c>
    </row>
    <row r="1528" spans="1:7" x14ac:dyDescent="0.3">
      <c r="A1528" s="33">
        <v>44616</v>
      </c>
      <c r="B1528" s="34">
        <v>894.8</v>
      </c>
      <c r="C1528" s="34">
        <f t="shared" si="46"/>
        <v>-2.3143172042949224E-2</v>
      </c>
      <c r="E1528" s="33">
        <v>44616</v>
      </c>
      <c r="F1528" s="34">
        <v>54529.91</v>
      </c>
      <c r="G1528" s="34">
        <f t="shared" si="47"/>
        <v>-4.8364872411687895E-2</v>
      </c>
    </row>
    <row r="1529" spans="1:7" x14ac:dyDescent="0.3">
      <c r="A1529" s="33">
        <v>44617</v>
      </c>
      <c r="B1529" s="34">
        <v>921.6</v>
      </c>
      <c r="C1529" s="34">
        <f t="shared" si="46"/>
        <v>2.9511060325652375E-2</v>
      </c>
      <c r="E1529" s="33">
        <v>44617</v>
      </c>
      <c r="F1529" s="34">
        <v>55858.52</v>
      </c>
      <c r="G1529" s="34">
        <f t="shared" si="47"/>
        <v>2.4072706888611545E-2</v>
      </c>
    </row>
    <row r="1530" spans="1:7" x14ac:dyDescent="0.3">
      <c r="A1530" s="33">
        <v>44620</v>
      </c>
      <c r="B1530" s="34">
        <v>925.05</v>
      </c>
      <c r="C1530" s="34">
        <f t="shared" si="46"/>
        <v>3.7365001639846447E-3</v>
      </c>
      <c r="E1530" s="33">
        <v>44620</v>
      </c>
      <c r="F1530" s="34">
        <v>56247.28</v>
      </c>
      <c r="G1530" s="34">
        <f t="shared" si="47"/>
        <v>6.9356190022191525E-3</v>
      </c>
    </row>
    <row r="1531" spans="1:7" x14ac:dyDescent="0.3">
      <c r="A1531" s="33">
        <v>44622</v>
      </c>
      <c r="B1531" s="34">
        <v>923.6</v>
      </c>
      <c r="C1531" s="34">
        <f t="shared" si="46"/>
        <v>-1.5687126252711466E-3</v>
      </c>
      <c r="E1531" s="33">
        <v>44622</v>
      </c>
      <c r="F1531" s="34">
        <v>55468.9</v>
      </c>
      <c r="G1531" s="34">
        <f t="shared" si="47"/>
        <v>-1.3935181028321031E-2</v>
      </c>
    </row>
    <row r="1532" spans="1:7" x14ac:dyDescent="0.3">
      <c r="A1532" s="33">
        <v>44623</v>
      </c>
      <c r="B1532" s="34">
        <v>934.45</v>
      </c>
      <c r="C1532" s="34">
        <f t="shared" si="46"/>
        <v>1.1679043435971289E-2</v>
      </c>
      <c r="E1532" s="33">
        <v>44623</v>
      </c>
      <c r="F1532" s="34">
        <v>55102.68</v>
      </c>
      <c r="G1532" s="34">
        <f t="shared" si="47"/>
        <v>-6.6241495169710148E-3</v>
      </c>
    </row>
    <row r="1533" spans="1:7" x14ac:dyDescent="0.3">
      <c r="A1533" s="33">
        <v>44624</v>
      </c>
      <c r="B1533" s="34">
        <v>932</v>
      </c>
      <c r="C1533" s="34">
        <f t="shared" si="46"/>
        <v>-2.6253062307204007E-3</v>
      </c>
      <c r="E1533" s="33">
        <v>44624</v>
      </c>
      <c r="F1533" s="34">
        <v>54333.81</v>
      </c>
      <c r="G1533" s="34">
        <f t="shared" si="47"/>
        <v>-1.405166870820943E-2</v>
      </c>
    </row>
    <row r="1534" spans="1:7" x14ac:dyDescent="0.3">
      <c r="A1534" s="33">
        <v>44627</v>
      </c>
      <c r="B1534" s="34">
        <v>940.5</v>
      </c>
      <c r="C1534" s="34">
        <f t="shared" si="46"/>
        <v>9.078834055493994E-3</v>
      </c>
      <c r="E1534" s="33">
        <v>44627</v>
      </c>
      <c r="F1534" s="34">
        <v>52842.75</v>
      </c>
      <c r="G1534" s="34">
        <f t="shared" si="47"/>
        <v>-2.7826162900285736E-2</v>
      </c>
    </row>
    <row r="1535" spans="1:7" x14ac:dyDescent="0.3">
      <c r="A1535" s="33">
        <v>44628</v>
      </c>
      <c r="B1535" s="34">
        <v>968.35</v>
      </c>
      <c r="C1535" s="34">
        <f t="shared" si="46"/>
        <v>2.9181943432655847E-2</v>
      </c>
      <c r="E1535" s="33">
        <v>44628</v>
      </c>
      <c r="F1535" s="34">
        <v>53424.09</v>
      </c>
      <c r="G1535" s="34">
        <f t="shared" si="47"/>
        <v>1.0941245629979045E-2</v>
      </c>
    </row>
    <row r="1536" spans="1:7" x14ac:dyDescent="0.3">
      <c r="A1536" s="33">
        <v>44629</v>
      </c>
      <c r="B1536" s="34">
        <v>981.3</v>
      </c>
      <c r="C1536" s="34">
        <f t="shared" si="46"/>
        <v>1.3284631038706933E-2</v>
      </c>
      <c r="E1536" s="33">
        <v>44629</v>
      </c>
      <c r="F1536" s="34">
        <v>54647.33</v>
      </c>
      <c r="G1536" s="34">
        <f t="shared" si="47"/>
        <v>2.2638589234392728E-2</v>
      </c>
    </row>
    <row r="1537" spans="1:7" x14ac:dyDescent="0.3">
      <c r="A1537" s="33">
        <v>44630</v>
      </c>
      <c r="B1537" s="34">
        <v>986.8</v>
      </c>
      <c r="C1537" s="34">
        <f t="shared" si="46"/>
        <v>5.5891614427536996E-3</v>
      </c>
      <c r="E1537" s="33">
        <v>44630</v>
      </c>
      <c r="F1537" s="34">
        <v>55464.39</v>
      </c>
      <c r="G1537" s="34">
        <f t="shared" si="47"/>
        <v>1.4840836133133917E-2</v>
      </c>
    </row>
    <row r="1538" spans="1:7" x14ac:dyDescent="0.3">
      <c r="A1538" s="33">
        <v>44631</v>
      </c>
      <c r="B1538" s="34">
        <v>1044.4000000000001</v>
      </c>
      <c r="C1538" s="34">
        <f t="shared" si="46"/>
        <v>5.6730452169772259E-2</v>
      </c>
      <c r="E1538" s="33">
        <v>44631</v>
      </c>
      <c r="F1538" s="34">
        <v>55550.3</v>
      </c>
      <c r="G1538" s="34">
        <f t="shared" si="47"/>
        <v>1.5477234075852921E-3</v>
      </c>
    </row>
    <row r="1539" spans="1:7" x14ac:dyDescent="0.3">
      <c r="A1539" s="33">
        <v>44634</v>
      </c>
      <c r="B1539" s="34">
        <v>1048.4000000000001</v>
      </c>
      <c r="C1539" s="34">
        <f t="shared" si="46"/>
        <v>3.8226346242775924E-3</v>
      </c>
      <c r="E1539" s="33">
        <v>44634</v>
      </c>
      <c r="F1539" s="34">
        <v>56486.02</v>
      </c>
      <c r="G1539" s="34">
        <f t="shared" si="47"/>
        <v>1.6704257296215753E-2</v>
      </c>
    </row>
    <row r="1540" spans="1:7" x14ac:dyDescent="0.3">
      <c r="A1540" s="33">
        <v>44635</v>
      </c>
      <c r="B1540" s="34">
        <v>1069.75</v>
      </c>
      <c r="C1540" s="34">
        <f t="shared" si="46"/>
        <v>2.0159783847674796E-2</v>
      </c>
      <c r="E1540" s="33">
        <v>44635</v>
      </c>
      <c r="F1540" s="34">
        <v>55776.85</v>
      </c>
      <c r="G1540" s="34">
        <f t="shared" si="47"/>
        <v>-1.2634265156289163E-2</v>
      </c>
    </row>
    <row r="1541" spans="1:7" x14ac:dyDescent="0.3">
      <c r="A1541" s="33">
        <v>44636</v>
      </c>
      <c r="B1541" s="34">
        <v>1055.8</v>
      </c>
      <c r="C1541" s="34">
        <f t="shared" si="46"/>
        <v>-1.3126202907410428E-2</v>
      </c>
      <c r="E1541" s="33">
        <v>44636</v>
      </c>
      <c r="F1541" s="34">
        <v>56816.65</v>
      </c>
      <c r="G1541" s="34">
        <f t="shared" si="47"/>
        <v>1.8470507823567E-2</v>
      </c>
    </row>
    <row r="1542" spans="1:7" x14ac:dyDescent="0.3">
      <c r="A1542" s="33">
        <v>44637</v>
      </c>
      <c r="B1542" s="34">
        <v>1048.4000000000001</v>
      </c>
      <c r="C1542" s="34">
        <f t="shared" si="46"/>
        <v>-7.0335809402643995E-3</v>
      </c>
      <c r="E1542" s="33">
        <v>44637</v>
      </c>
      <c r="F1542" s="34">
        <v>57863.93</v>
      </c>
      <c r="G1542" s="34">
        <f t="shared" si="47"/>
        <v>1.8264803238476818E-2</v>
      </c>
    </row>
    <row r="1543" spans="1:7" x14ac:dyDescent="0.3">
      <c r="A1543" s="33">
        <v>44641</v>
      </c>
      <c r="B1543" s="34">
        <v>1049.95</v>
      </c>
      <c r="C1543" s="34">
        <f t="shared" ref="C1543:C1606" si="48">LN(B1543/B1542)</f>
        <v>1.4773515208757813E-3</v>
      </c>
      <c r="E1543" s="33">
        <v>44641</v>
      </c>
      <c r="F1543" s="34">
        <v>57292.49</v>
      </c>
      <c r="G1543" s="34">
        <f t="shared" ref="G1543:G1606" si="49">LN(F1543/F1542)</f>
        <v>-9.9246692545240968E-3</v>
      </c>
    </row>
    <row r="1544" spans="1:7" x14ac:dyDescent="0.3">
      <c r="A1544" s="33">
        <v>44642</v>
      </c>
      <c r="B1544" s="34">
        <v>1032.3499999999999</v>
      </c>
      <c r="C1544" s="34">
        <f t="shared" si="48"/>
        <v>-1.690478713923891E-2</v>
      </c>
      <c r="E1544" s="33">
        <v>44642</v>
      </c>
      <c r="F1544" s="34">
        <v>57989.3</v>
      </c>
      <c r="G1544" s="34">
        <f t="shared" si="49"/>
        <v>1.2088960210204971E-2</v>
      </c>
    </row>
    <row r="1545" spans="1:7" x14ac:dyDescent="0.3">
      <c r="A1545" s="33">
        <v>44643</v>
      </c>
      <c r="B1545" s="34">
        <v>1014.9</v>
      </c>
      <c r="C1545" s="34">
        <f t="shared" si="48"/>
        <v>-1.7047671376115823E-2</v>
      </c>
      <c r="E1545" s="33">
        <v>44643</v>
      </c>
      <c r="F1545" s="34">
        <v>57684.82</v>
      </c>
      <c r="G1545" s="34">
        <f t="shared" si="49"/>
        <v>-5.2644567896269574E-3</v>
      </c>
    </row>
    <row r="1546" spans="1:7" x14ac:dyDescent="0.3">
      <c r="A1546" s="33">
        <v>44644</v>
      </c>
      <c r="B1546" s="34">
        <v>1029.0999999999999</v>
      </c>
      <c r="C1546" s="34">
        <f t="shared" si="48"/>
        <v>1.3894548387273489E-2</v>
      </c>
      <c r="E1546" s="33">
        <v>44644</v>
      </c>
      <c r="F1546" s="34">
        <v>57595.68</v>
      </c>
      <c r="G1546" s="34">
        <f t="shared" si="49"/>
        <v>-1.5464890899295123E-3</v>
      </c>
    </row>
    <row r="1547" spans="1:7" x14ac:dyDescent="0.3">
      <c r="A1547" s="33">
        <v>44645</v>
      </c>
      <c r="B1547" s="34">
        <v>1013.35</v>
      </c>
      <c r="C1547" s="34">
        <f t="shared" si="48"/>
        <v>-1.542295987672365E-2</v>
      </c>
      <c r="E1547" s="33">
        <v>44645</v>
      </c>
      <c r="F1547" s="34">
        <v>57362.2</v>
      </c>
      <c r="G1547" s="34">
        <f t="shared" si="49"/>
        <v>-4.06201507951024E-3</v>
      </c>
    </row>
    <row r="1548" spans="1:7" x14ac:dyDescent="0.3">
      <c r="A1548" s="33">
        <v>44648</v>
      </c>
      <c r="B1548" s="34">
        <v>1018.35</v>
      </c>
      <c r="C1548" s="34">
        <f t="shared" si="48"/>
        <v>4.921996450443532E-3</v>
      </c>
      <c r="E1548" s="33">
        <v>44648</v>
      </c>
      <c r="F1548" s="34">
        <v>57593.49</v>
      </c>
      <c r="G1548" s="34">
        <f t="shared" si="49"/>
        <v>4.0239906714817164E-3</v>
      </c>
    </row>
    <row r="1549" spans="1:7" x14ac:dyDescent="0.3">
      <c r="A1549" s="33">
        <v>44649</v>
      </c>
      <c r="B1549" s="34">
        <v>1038.8</v>
      </c>
      <c r="C1549" s="34">
        <f t="shared" si="48"/>
        <v>1.9882530372827587E-2</v>
      </c>
      <c r="E1549" s="33">
        <v>44649</v>
      </c>
      <c r="F1549" s="34">
        <v>57943.65</v>
      </c>
      <c r="G1549" s="34">
        <f t="shared" si="49"/>
        <v>6.0614460788189529E-3</v>
      </c>
    </row>
    <row r="1550" spans="1:7" x14ac:dyDescent="0.3">
      <c r="A1550" s="33">
        <v>44650</v>
      </c>
      <c r="B1550" s="34">
        <v>1032.05</v>
      </c>
      <c r="C1550" s="34">
        <f t="shared" si="48"/>
        <v>-6.5190853083268146E-3</v>
      </c>
      <c r="E1550" s="33">
        <v>44650</v>
      </c>
      <c r="F1550" s="34">
        <v>58683.99</v>
      </c>
      <c r="G1550" s="34">
        <f t="shared" si="49"/>
        <v>1.269596031318875E-2</v>
      </c>
    </row>
    <row r="1551" spans="1:7" x14ac:dyDescent="0.3">
      <c r="A1551" s="33">
        <v>44651</v>
      </c>
      <c r="B1551" s="34">
        <v>1018.5</v>
      </c>
      <c r="C1551" s="34">
        <f t="shared" si="48"/>
        <v>-1.321615881340598E-2</v>
      </c>
      <c r="E1551" s="33">
        <v>44651</v>
      </c>
      <c r="F1551" s="34">
        <v>58568.51</v>
      </c>
      <c r="G1551" s="34">
        <f t="shared" si="49"/>
        <v>-1.9697667399559897E-3</v>
      </c>
    </row>
    <row r="1552" spans="1:7" x14ac:dyDescent="0.3">
      <c r="A1552" s="33">
        <v>44652</v>
      </c>
      <c r="B1552" s="34">
        <v>1014.95</v>
      </c>
      <c r="C1552" s="34">
        <f t="shared" si="48"/>
        <v>-3.4916064880836659E-3</v>
      </c>
      <c r="E1552" s="33">
        <v>44652</v>
      </c>
      <c r="F1552" s="34">
        <v>59276.69</v>
      </c>
      <c r="G1552" s="34">
        <f t="shared" si="49"/>
        <v>1.2018962588523793E-2</v>
      </c>
    </row>
    <row r="1553" spans="1:7" x14ac:dyDescent="0.3">
      <c r="A1553" s="33">
        <v>44655</v>
      </c>
      <c r="B1553" s="34">
        <v>1027.8</v>
      </c>
      <c r="C1553" s="34">
        <f t="shared" si="48"/>
        <v>1.2581245379352339E-2</v>
      </c>
      <c r="E1553" s="33">
        <v>44655</v>
      </c>
      <c r="F1553" s="34">
        <v>60611.74</v>
      </c>
      <c r="G1553" s="34">
        <f t="shared" si="49"/>
        <v>2.2272460963342205E-2</v>
      </c>
    </row>
    <row r="1554" spans="1:7" x14ac:dyDescent="0.3">
      <c r="A1554" s="33">
        <v>44656</v>
      </c>
      <c r="B1554" s="34">
        <v>1021.3</v>
      </c>
      <c r="C1554" s="34">
        <f t="shared" si="48"/>
        <v>-6.3442699740759757E-3</v>
      </c>
      <c r="E1554" s="33">
        <v>44656</v>
      </c>
      <c r="F1554" s="34">
        <v>60176.5</v>
      </c>
      <c r="G1554" s="34">
        <f t="shared" si="49"/>
        <v>-7.2066930312501302E-3</v>
      </c>
    </row>
    <row r="1555" spans="1:7" x14ac:dyDescent="0.3">
      <c r="A1555" s="33">
        <v>44657</v>
      </c>
      <c r="B1555" s="34">
        <v>1028.4000000000001</v>
      </c>
      <c r="C1555" s="34">
        <f t="shared" si="48"/>
        <v>6.9278708076811772E-3</v>
      </c>
      <c r="E1555" s="33">
        <v>44657</v>
      </c>
      <c r="F1555" s="34">
        <v>59610.41</v>
      </c>
      <c r="G1555" s="34">
        <f t="shared" si="49"/>
        <v>-9.4516874050654068E-3</v>
      </c>
    </row>
    <row r="1556" spans="1:7" x14ac:dyDescent="0.3">
      <c r="A1556" s="33">
        <v>44658</v>
      </c>
      <c r="B1556" s="34">
        <v>1036.9000000000001</v>
      </c>
      <c r="C1556" s="34">
        <f t="shared" si="48"/>
        <v>8.2312961724981242E-3</v>
      </c>
      <c r="E1556" s="33">
        <v>44658</v>
      </c>
      <c r="F1556" s="34">
        <v>59034.95</v>
      </c>
      <c r="G1556" s="34">
        <f t="shared" si="49"/>
        <v>-9.7005818452605141E-3</v>
      </c>
    </row>
    <row r="1557" spans="1:7" x14ac:dyDescent="0.3">
      <c r="A1557" s="33">
        <v>44659</v>
      </c>
      <c r="B1557" s="34">
        <v>1011.65</v>
      </c>
      <c r="C1557" s="34">
        <f t="shared" si="48"/>
        <v>-2.4652831339028975E-2</v>
      </c>
      <c r="E1557" s="33">
        <v>44659</v>
      </c>
      <c r="F1557" s="34">
        <v>59447.18</v>
      </c>
      <c r="G1557" s="34">
        <f t="shared" si="49"/>
        <v>6.9585457890301381E-3</v>
      </c>
    </row>
    <row r="1558" spans="1:7" x14ac:dyDescent="0.3">
      <c r="A1558" s="33">
        <v>44662</v>
      </c>
      <c r="B1558" s="34">
        <v>1023.55</v>
      </c>
      <c r="C1558" s="34">
        <f t="shared" si="48"/>
        <v>1.1694315661426707E-2</v>
      </c>
      <c r="E1558" s="33">
        <v>44662</v>
      </c>
      <c r="F1558" s="34">
        <v>58964.57</v>
      </c>
      <c r="G1558" s="34">
        <f t="shared" si="49"/>
        <v>-8.1514321388349888E-3</v>
      </c>
    </row>
    <row r="1559" spans="1:7" x14ac:dyDescent="0.3">
      <c r="A1559" s="33">
        <v>44663</v>
      </c>
      <c r="B1559" s="34">
        <v>1027.3</v>
      </c>
      <c r="C1559" s="34">
        <f t="shared" si="48"/>
        <v>3.6570243355877096E-3</v>
      </c>
      <c r="E1559" s="33">
        <v>44663</v>
      </c>
      <c r="F1559" s="34">
        <v>58576.37</v>
      </c>
      <c r="G1559" s="34">
        <f t="shared" si="49"/>
        <v>-6.6053821156131899E-3</v>
      </c>
    </row>
    <row r="1560" spans="1:7" x14ac:dyDescent="0.3">
      <c r="A1560" s="33">
        <v>44664</v>
      </c>
      <c r="B1560" s="34">
        <v>1016.3</v>
      </c>
      <c r="C1560" s="34">
        <f t="shared" si="48"/>
        <v>-1.0765420078497196E-2</v>
      </c>
      <c r="E1560" s="33">
        <v>44664</v>
      </c>
      <c r="F1560" s="34">
        <v>58338.93</v>
      </c>
      <c r="G1560" s="34">
        <f t="shared" si="49"/>
        <v>-4.0617494277745674E-3</v>
      </c>
    </row>
    <row r="1561" spans="1:7" x14ac:dyDescent="0.3">
      <c r="A1561" s="33">
        <v>44669</v>
      </c>
      <c r="B1561" s="34">
        <v>1027.0999999999999</v>
      </c>
      <c r="C1561" s="34">
        <f t="shared" si="48"/>
        <v>1.0570716028037854E-2</v>
      </c>
      <c r="E1561" s="33">
        <v>44669</v>
      </c>
      <c r="F1561" s="34">
        <v>57166.74</v>
      </c>
      <c r="G1561" s="34">
        <f t="shared" si="49"/>
        <v>-2.0297362774429742E-2</v>
      </c>
    </row>
    <row r="1562" spans="1:7" x14ac:dyDescent="0.3">
      <c r="A1562" s="33">
        <v>44670</v>
      </c>
      <c r="B1562" s="34">
        <v>999</v>
      </c>
      <c r="C1562" s="34">
        <f t="shared" si="48"/>
        <v>-2.7739797523205083E-2</v>
      </c>
      <c r="E1562" s="33">
        <v>44670</v>
      </c>
      <c r="F1562" s="34">
        <v>56463.15</v>
      </c>
      <c r="G1562" s="34">
        <f t="shared" si="49"/>
        <v>-1.2384047755906435E-2</v>
      </c>
    </row>
    <row r="1563" spans="1:7" x14ac:dyDescent="0.3">
      <c r="A1563" s="33">
        <v>44671</v>
      </c>
      <c r="B1563" s="34">
        <v>1011.85</v>
      </c>
      <c r="C1563" s="34">
        <f t="shared" si="48"/>
        <v>1.2780838869114857E-2</v>
      </c>
      <c r="E1563" s="33">
        <v>44671</v>
      </c>
      <c r="F1563" s="34">
        <v>57037.5</v>
      </c>
      <c r="G1563" s="34">
        <f t="shared" si="49"/>
        <v>1.012073327353143E-2</v>
      </c>
    </row>
    <row r="1564" spans="1:7" x14ac:dyDescent="0.3">
      <c r="A1564" s="33">
        <v>44672</v>
      </c>
      <c r="B1564" s="34">
        <v>998.2</v>
      </c>
      <c r="C1564" s="34">
        <f t="shared" si="48"/>
        <v>-1.3581960482159504E-2</v>
      </c>
      <c r="E1564" s="33">
        <v>44672</v>
      </c>
      <c r="F1564" s="34">
        <v>57911.68</v>
      </c>
      <c r="G1564" s="34">
        <f t="shared" si="49"/>
        <v>1.5210145096966726E-2</v>
      </c>
    </row>
    <row r="1565" spans="1:7" x14ac:dyDescent="0.3">
      <c r="A1565" s="33">
        <v>44673</v>
      </c>
      <c r="B1565" s="34">
        <v>967</v>
      </c>
      <c r="C1565" s="34">
        <f t="shared" si="48"/>
        <v>-3.1755161582214607E-2</v>
      </c>
      <c r="E1565" s="33">
        <v>44673</v>
      </c>
      <c r="F1565" s="34">
        <v>57197.15</v>
      </c>
      <c r="G1565" s="34">
        <f t="shared" si="49"/>
        <v>-1.2415019380875882E-2</v>
      </c>
    </row>
    <row r="1566" spans="1:7" x14ac:dyDescent="0.3">
      <c r="A1566" s="33">
        <v>44676</v>
      </c>
      <c r="B1566" s="34">
        <v>953.65</v>
      </c>
      <c r="C1566" s="34">
        <f t="shared" si="48"/>
        <v>-1.3901767630858682E-2</v>
      </c>
      <c r="E1566" s="33">
        <v>44676</v>
      </c>
      <c r="F1566" s="34">
        <v>56579.89</v>
      </c>
      <c r="G1566" s="34">
        <f t="shared" si="49"/>
        <v>-1.0850450247956851E-2</v>
      </c>
    </row>
    <row r="1567" spans="1:7" x14ac:dyDescent="0.3">
      <c r="A1567" s="33">
        <v>44677</v>
      </c>
      <c r="B1567" s="34">
        <v>978.5</v>
      </c>
      <c r="C1567" s="34">
        <f t="shared" si="48"/>
        <v>2.5724059013695341E-2</v>
      </c>
      <c r="E1567" s="33">
        <v>44677</v>
      </c>
      <c r="F1567" s="34">
        <v>57356.61</v>
      </c>
      <c r="G1567" s="34">
        <f t="shared" si="49"/>
        <v>1.363447240480135E-2</v>
      </c>
    </row>
    <row r="1568" spans="1:7" x14ac:dyDescent="0.3">
      <c r="A1568" s="33">
        <v>44678</v>
      </c>
      <c r="B1568" s="34">
        <v>977.35</v>
      </c>
      <c r="C1568" s="34">
        <f t="shared" si="48"/>
        <v>-1.1759594370999798E-3</v>
      </c>
      <c r="E1568" s="33">
        <v>44678</v>
      </c>
      <c r="F1568" s="34">
        <v>56819.39</v>
      </c>
      <c r="G1568" s="34">
        <f t="shared" si="49"/>
        <v>-9.4104534145010611E-3</v>
      </c>
    </row>
    <row r="1569" spans="1:7" x14ac:dyDescent="0.3">
      <c r="A1569" s="33">
        <v>44679</v>
      </c>
      <c r="B1569" s="34">
        <v>982.3</v>
      </c>
      <c r="C1569" s="34">
        <f t="shared" si="48"/>
        <v>5.051933281793014E-3</v>
      </c>
      <c r="E1569" s="33">
        <v>44679</v>
      </c>
      <c r="F1569" s="34">
        <v>57521.06</v>
      </c>
      <c r="G1569" s="34">
        <f t="shared" si="49"/>
        <v>1.2273500903775384E-2</v>
      </c>
    </row>
    <row r="1570" spans="1:7" x14ac:dyDescent="0.3">
      <c r="A1570" s="33">
        <v>44680</v>
      </c>
      <c r="B1570" s="34">
        <v>981.85</v>
      </c>
      <c r="C1570" s="34">
        <f t="shared" si="48"/>
        <v>-4.5821348458457875E-4</v>
      </c>
      <c r="E1570" s="33">
        <v>44680</v>
      </c>
      <c r="F1570" s="34">
        <v>57060.87</v>
      </c>
      <c r="G1570" s="34">
        <f t="shared" si="49"/>
        <v>-8.0325488383057187E-3</v>
      </c>
    </row>
    <row r="1571" spans="1:7" x14ac:dyDescent="0.3">
      <c r="A1571" s="33">
        <v>44683</v>
      </c>
      <c r="B1571" s="34">
        <v>976.8</v>
      </c>
      <c r="C1571" s="34">
        <f t="shared" si="48"/>
        <v>-5.156624399744336E-3</v>
      </c>
      <c r="E1571" s="33">
        <v>44683</v>
      </c>
      <c r="F1571" s="34">
        <v>56975.99</v>
      </c>
      <c r="G1571" s="34">
        <f t="shared" si="49"/>
        <v>-1.4886417545150463E-3</v>
      </c>
    </row>
    <row r="1572" spans="1:7" x14ac:dyDescent="0.3">
      <c r="A1572" s="33">
        <v>44685</v>
      </c>
      <c r="B1572" s="34">
        <v>957.35</v>
      </c>
      <c r="C1572" s="34">
        <f t="shared" si="48"/>
        <v>-2.0112871977280782E-2</v>
      </c>
      <c r="E1572" s="33">
        <v>44685</v>
      </c>
      <c r="F1572" s="34">
        <v>55669.03</v>
      </c>
      <c r="G1572" s="34">
        <f t="shared" si="49"/>
        <v>-2.3205973085636E-2</v>
      </c>
    </row>
    <row r="1573" spans="1:7" x14ac:dyDescent="0.3">
      <c r="A1573" s="33">
        <v>44686</v>
      </c>
      <c r="B1573" s="34">
        <v>951.95</v>
      </c>
      <c r="C1573" s="34">
        <f t="shared" si="48"/>
        <v>-5.6565384155285708E-3</v>
      </c>
      <c r="E1573" s="33">
        <v>44686</v>
      </c>
      <c r="F1573" s="34">
        <v>55702.23</v>
      </c>
      <c r="G1573" s="34">
        <f t="shared" si="49"/>
        <v>5.9620410119170402E-4</v>
      </c>
    </row>
    <row r="1574" spans="1:7" x14ac:dyDescent="0.3">
      <c r="A1574" s="33">
        <v>44687</v>
      </c>
      <c r="B1574" s="34">
        <v>935.25</v>
      </c>
      <c r="C1574" s="34">
        <f t="shared" si="48"/>
        <v>-1.7698639175429971E-2</v>
      </c>
      <c r="E1574" s="33">
        <v>44687</v>
      </c>
      <c r="F1574" s="34">
        <v>54835.58</v>
      </c>
      <c r="G1574" s="34">
        <f t="shared" si="49"/>
        <v>-1.5680928696127697E-2</v>
      </c>
    </row>
    <row r="1575" spans="1:7" x14ac:dyDescent="0.3">
      <c r="A1575" s="33">
        <v>44690</v>
      </c>
      <c r="B1575" s="34">
        <v>937.55</v>
      </c>
      <c r="C1575" s="34">
        <f t="shared" si="48"/>
        <v>2.4562165274720064E-3</v>
      </c>
      <c r="E1575" s="33">
        <v>44690</v>
      </c>
      <c r="F1575" s="34">
        <v>54470.67</v>
      </c>
      <c r="G1575" s="34">
        <f t="shared" si="49"/>
        <v>-6.6768616735877395E-3</v>
      </c>
    </row>
    <row r="1576" spans="1:7" x14ac:dyDescent="0.3">
      <c r="A1576" s="33">
        <v>44691</v>
      </c>
      <c r="B1576" s="34">
        <v>926.25</v>
      </c>
      <c r="C1576" s="34">
        <f t="shared" si="48"/>
        <v>-1.2125913145430853E-2</v>
      </c>
      <c r="E1576" s="33">
        <v>44691</v>
      </c>
      <c r="F1576" s="34">
        <v>54364.85</v>
      </c>
      <c r="G1576" s="34">
        <f t="shared" si="49"/>
        <v>-1.9445863509594571E-3</v>
      </c>
    </row>
    <row r="1577" spans="1:7" x14ac:dyDescent="0.3">
      <c r="A1577" s="33">
        <v>44692</v>
      </c>
      <c r="B1577" s="34">
        <v>937.9</v>
      </c>
      <c r="C1577" s="34">
        <f t="shared" si="48"/>
        <v>1.2499156904596059E-2</v>
      </c>
      <c r="E1577" s="33">
        <v>44692</v>
      </c>
      <c r="F1577" s="34">
        <v>54088.39</v>
      </c>
      <c r="G1577" s="34">
        <f t="shared" si="49"/>
        <v>-5.0982450835856874E-3</v>
      </c>
    </row>
    <row r="1578" spans="1:7" x14ac:dyDescent="0.3">
      <c r="A1578" s="33">
        <v>44693</v>
      </c>
      <c r="B1578" s="34">
        <v>921.1</v>
      </c>
      <c r="C1578" s="34">
        <f t="shared" si="48"/>
        <v>-1.8074725520702831E-2</v>
      </c>
      <c r="E1578" s="33">
        <v>44693</v>
      </c>
      <c r="F1578" s="34">
        <v>52930.31</v>
      </c>
      <c r="G1578" s="34">
        <f t="shared" si="49"/>
        <v>-2.1643417589470547E-2</v>
      </c>
    </row>
    <row r="1579" spans="1:7" x14ac:dyDescent="0.3">
      <c r="A1579" s="33">
        <v>44694</v>
      </c>
      <c r="B1579" s="34">
        <v>932.85</v>
      </c>
      <c r="C1579" s="34">
        <f t="shared" si="48"/>
        <v>1.2675808223818063E-2</v>
      </c>
      <c r="E1579" s="33">
        <v>44694</v>
      </c>
      <c r="F1579" s="34">
        <v>52793.62</v>
      </c>
      <c r="G1579" s="34">
        <f t="shared" si="49"/>
        <v>-2.5857925667875305E-3</v>
      </c>
    </row>
    <row r="1580" spans="1:7" x14ac:dyDescent="0.3">
      <c r="A1580" s="33">
        <v>44697</v>
      </c>
      <c r="B1580" s="34">
        <v>933.1</v>
      </c>
      <c r="C1580" s="34">
        <f t="shared" si="48"/>
        <v>2.6796002196837891E-4</v>
      </c>
      <c r="E1580" s="33">
        <v>44697</v>
      </c>
      <c r="F1580" s="34">
        <v>52973.84</v>
      </c>
      <c r="G1580" s="34">
        <f t="shared" si="49"/>
        <v>3.4078567153864262E-3</v>
      </c>
    </row>
    <row r="1581" spans="1:7" x14ac:dyDescent="0.3">
      <c r="A1581" s="33">
        <v>44698</v>
      </c>
      <c r="B1581" s="34">
        <v>938</v>
      </c>
      <c r="C1581" s="34">
        <f t="shared" si="48"/>
        <v>5.2375727662483428E-3</v>
      </c>
      <c r="E1581" s="33">
        <v>44698</v>
      </c>
      <c r="F1581" s="34">
        <v>54318.47</v>
      </c>
      <c r="G1581" s="34">
        <f t="shared" si="49"/>
        <v>2.5066109639218341E-2</v>
      </c>
    </row>
    <row r="1582" spans="1:7" x14ac:dyDescent="0.3">
      <c r="A1582" s="33">
        <v>44699</v>
      </c>
      <c r="B1582" s="34">
        <v>957.9</v>
      </c>
      <c r="C1582" s="34">
        <f t="shared" si="48"/>
        <v>2.0993439382621389E-2</v>
      </c>
      <c r="E1582" s="33">
        <v>44699</v>
      </c>
      <c r="F1582" s="34">
        <v>54208.53</v>
      </c>
      <c r="G1582" s="34">
        <f t="shared" si="49"/>
        <v>-2.0260402960952917E-3</v>
      </c>
    </row>
    <row r="1583" spans="1:7" x14ac:dyDescent="0.3">
      <c r="A1583" s="33">
        <v>44700</v>
      </c>
      <c r="B1583" s="34">
        <v>938.05</v>
      </c>
      <c r="C1583" s="34">
        <f t="shared" si="48"/>
        <v>-2.0940135899226074E-2</v>
      </c>
      <c r="E1583" s="33">
        <v>44700</v>
      </c>
      <c r="F1583" s="34">
        <v>52792.23</v>
      </c>
      <c r="G1583" s="34">
        <f t="shared" si="49"/>
        <v>-2.6474255344111325E-2</v>
      </c>
    </row>
    <row r="1584" spans="1:7" x14ac:dyDescent="0.3">
      <c r="A1584" s="33">
        <v>44701</v>
      </c>
      <c r="B1584" s="34">
        <v>978.6</v>
      </c>
      <c r="C1584" s="34">
        <f t="shared" si="48"/>
        <v>4.2319726365403348E-2</v>
      </c>
      <c r="E1584" s="33">
        <v>44701</v>
      </c>
      <c r="F1584" s="34">
        <v>54326.39</v>
      </c>
      <c r="G1584" s="34">
        <f t="shared" si="49"/>
        <v>2.8646091769246346E-2</v>
      </c>
    </row>
    <row r="1585" spans="1:7" x14ac:dyDescent="0.3">
      <c r="A1585" s="33">
        <v>44704</v>
      </c>
      <c r="B1585" s="34">
        <v>970.55</v>
      </c>
      <c r="C1585" s="34">
        <f t="shared" si="48"/>
        <v>-8.2600577379229132E-3</v>
      </c>
      <c r="E1585" s="33">
        <v>44704</v>
      </c>
      <c r="F1585" s="34">
        <v>54288.61</v>
      </c>
      <c r="G1585" s="34">
        <f t="shared" si="49"/>
        <v>-6.9566821384974985E-4</v>
      </c>
    </row>
    <row r="1586" spans="1:7" x14ac:dyDescent="0.3">
      <c r="A1586" s="33">
        <v>44705</v>
      </c>
      <c r="B1586" s="34">
        <v>970.5</v>
      </c>
      <c r="C1586" s="34">
        <f t="shared" si="48"/>
        <v>-5.151850803538884E-5</v>
      </c>
      <c r="E1586" s="33">
        <v>44705</v>
      </c>
      <c r="F1586" s="34">
        <v>54052.61</v>
      </c>
      <c r="G1586" s="34">
        <f t="shared" si="49"/>
        <v>-4.3566128067359048E-3</v>
      </c>
    </row>
    <row r="1587" spans="1:7" x14ac:dyDescent="0.3">
      <c r="A1587" s="33">
        <v>44706</v>
      </c>
      <c r="B1587" s="34">
        <v>971.35</v>
      </c>
      <c r="C1587" s="34">
        <f t="shared" si="48"/>
        <v>8.75453875724758E-4</v>
      </c>
      <c r="E1587" s="33">
        <v>44706</v>
      </c>
      <c r="F1587" s="34">
        <v>53749.26</v>
      </c>
      <c r="G1587" s="34">
        <f t="shared" si="49"/>
        <v>-5.6279320698662885E-3</v>
      </c>
    </row>
    <row r="1588" spans="1:7" x14ac:dyDescent="0.3">
      <c r="A1588" s="33">
        <v>44707</v>
      </c>
      <c r="B1588" s="34">
        <v>964.4</v>
      </c>
      <c r="C1588" s="34">
        <f t="shared" si="48"/>
        <v>-7.1807101777736993E-3</v>
      </c>
      <c r="E1588" s="33">
        <v>44707</v>
      </c>
      <c r="F1588" s="34">
        <v>54252.53</v>
      </c>
      <c r="G1588" s="34">
        <f t="shared" si="49"/>
        <v>9.3197278067077872E-3</v>
      </c>
    </row>
    <row r="1589" spans="1:7" x14ac:dyDescent="0.3">
      <c r="A1589" s="33">
        <v>44708</v>
      </c>
      <c r="B1589" s="34">
        <v>966.3</v>
      </c>
      <c r="C1589" s="34">
        <f t="shared" si="48"/>
        <v>1.9681986982469108E-3</v>
      </c>
      <c r="E1589" s="33">
        <v>44708</v>
      </c>
      <c r="F1589" s="34">
        <v>54884.66</v>
      </c>
      <c r="G1589" s="34">
        <f t="shared" si="49"/>
        <v>1.1584265071360044E-2</v>
      </c>
    </row>
    <row r="1590" spans="1:7" x14ac:dyDescent="0.3">
      <c r="A1590" s="33">
        <v>44711</v>
      </c>
      <c r="B1590" s="34">
        <v>987.2</v>
      </c>
      <c r="C1590" s="34">
        <f t="shared" si="48"/>
        <v>2.1398308145860707E-2</v>
      </c>
      <c r="E1590" s="33">
        <v>44711</v>
      </c>
      <c r="F1590" s="34">
        <v>55925.74</v>
      </c>
      <c r="G1590" s="34">
        <f t="shared" si="49"/>
        <v>1.8790846946595927E-2</v>
      </c>
    </row>
    <row r="1591" spans="1:7" x14ac:dyDescent="0.3">
      <c r="A1591" s="33">
        <v>44712</v>
      </c>
      <c r="B1591" s="34">
        <v>993.85</v>
      </c>
      <c r="C1591" s="34">
        <f t="shared" si="48"/>
        <v>6.713636685484704E-3</v>
      </c>
      <c r="E1591" s="33">
        <v>44712</v>
      </c>
      <c r="F1591" s="34">
        <v>55566.41</v>
      </c>
      <c r="G1591" s="34">
        <f t="shared" si="49"/>
        <v>-6.4458572940174919E-3</v>
      </c>
    </row>
    <row r="1592" spans="1:7" x14ac:dyDescent="0.3">
      <c r="A1592" s="33">
        <v>44713</v>
      </c>
      <c r="B1592" s="34">
        <v>983.15</v>
      </c>
      <c r="C1592" s="34">
        <f t="shared" si="48"/>
        <v>-1.0824587231042069E-2</v>
      </c>
      <c r="E1592" s="33">
        <v>44713</v>
      </c>
      <c r="F1592" s="34">
        <v>55381.17</v>
      </c>
      <c r="G1592" s="34">
        <f t="shared" si="49"/>
        <v>-3.3392377215737232E-3</v>
      </c>
    </row>
    <row r="1593" spans="1:7" x14ac:dyDescent="0.3">
      <c r="A1593" s="33">
        <v>44714</v>
      </c>
      <c r="B1593" s="34">
        <v>987.4</v>
      </c>
      <c r="C1593" s="34">
        <f t="shared" si="48"/>
        <v>4.3135232191966353E-3</v>
      </c>
      <c r="E1593" s="33">
        <v>44714</v>
      </c>
      <c r="F1593" s="34">
        <v>55818.11</v>
      </c>
      <c r="G1593" s="34">
        <f t="shared" si="49"/>
        <v>7.8587244227807888E-3</v>
      </c>
    </row>
    <row r="1594" spans="1:7" x14ac:dyDescent="0.3">
      <c r="A1594" s="33">
        <v>44715</v>
      </c>
      <c r="B1594" s="34">
        <v>961.25</v>
      </c>
      <c r="C1594" s="34">
        <f t="shared" si="48"/>
        <v>-2.6840705004908722E-2</v>
      </c>
      <c r="E1594" s="33">
        <v>44715</v>
      </c>
      <c r="F1594" s="34">
        <v>55769.23</v>
      </c>
      <c r="G1594" s="34">
        <f t="shared" si="49"/>
        <v>-8.760851029585529E-4</v>
      </c>
    </row>
    <row r="1595" spans="1:7" x14ac:dyDescent="0.3">
      <c r="A1595" s="33">
        <v>44718</v>
      </c>
      <c r="B1595" s="34">
        <v>976.2</v>
      </c>
      <c r="C1595" s="34">
        <f t="shared" si="48"/>
        <v>1.5432962633193478E-2</v>
      </c>
      <c r="E1595" s="33">
        <v>44718</v>
      </c>
      <c r="F1595" s="34">
        <v>55675.32</v>
      </c>
      <c r="G1595" s="34">
        <f t="shared" si="49"/>
        <v>-1.6853228305523723E-3</v>
      </c>
    </row>
    <row r="1596" spans="1:7" x14ac:dyDescent="0.3">
      <c r="A1596" s="33">
        <v>44719</v>
      </c>
      <c r="B1596" s="34">
        <v>972.95</v>
      </c>
      <c r="C1596" s="34">
        <f t="shared" si="48"/>
        <v>-3.3347900488823259E-3</v>
      </c>
      <c r="E1596" s="33">
        <v>44719</v>
      </c>
      <c r="F1596" s="34">
        <v>55107.34</v>
      </c>
      <c r="G1596" s="34">
        <f t="shared" si="49"/>
        <v>-1.0254041141391607E-2</v>
      </c>
    </row>
    <row r="1597" spans="1:7" x14ac:dyDescent="0.3">
      <c r="A1597" s="33">
        <v>44720</v>
      </c>
      <c r="B1597" s="34">
        <v>961.5</v>
      </c>
      <c r="C1597" s="34">
        <f t="shared" si="48"/>
        <v>-1.1838128375330435E-2</v>
      </c>
      <c r="E1597" s="33">
        <v>44720</v>
      </c>
      <c r="F1597" s="34">
        <v>54892.49</v>
      </c>
      <c r="G1597" s="34">
        <f t="shared" si="49"/>
        <v>-3.9063746410020464E-3</v>
      </c>
    </row>
    <row r="1598" spans="1:7" x14ac:dyDescent="0.3">
      <c r="A1598" s="33">
        <v>44721</v>
      </c>
      <c r="B1598" s="34">
        <v>972.15</v>
      </c>
      <c r="C1598" s="34">
        <f t="shared" si="48"/>
        <v>1.1015548513000331E-2</v>
      </c>
      <c r="E1598" s="33">
        <v>44721</v>
      </c>
      <c r="F1598" s="34">
        <v>55320.28</v>
      </c>
      <c r="G1598" s="34">
        <f t="shared" si="49"/>
        <v>7.7630232572527243E-3</v>
      </c>
    </row>
    <row r="1599" spans="1:7" x14ac:dyDescent="0.3">
      <c r="A1599" s="33">
        <v>44722</v>
      </c>
      <c r="B1599" s="34">
        <v>966.75</v>
      </c>
      <c r="C1599" s="34">
        <f t="shared" si="48"/>
        <v>-5.5701830544282425E-3</v>
      </c>
      <c r="E1599" s="33">
        <v>44722</v>
      </c>
      <c r="F1599" s="34">
        <v>54303.44</v>
      </c>
      <c r="G1599" s="34">
        <f t="shared" si="49"/>
        <v>-1.8551991561549186E-2</v>
      </c>
    </row>
    <row r="1600" spans="1:7" x14ac:dyDescent="0.3">
      <c r="A1600" s="33">
        <v>44725</v>
      </c>
      <c r="B1600" s="34">
        <v>954.1</v>
      </c>
      <c r="C1600" s="34">
        <f t="shared" si="48"/>
        <v>-1.3171442729606214E-2</v>
      </c>
      <c r="E1600" s="33">
        <v>44725</v>
      </c>
      <c r="F1600" s="34">
        <v>52846.7</v>
      </c>
      <c r="G1600" s="34">
        <f t="shared" si="49"/>
        <v>-2.7192307186445636E-2</v>
      </c>
    </row>
    <row r="1601" spans="1:7" x14ac:dyDescent="0.3">
      <c r="A1601" s="33">
        <v>44726</v>
      </c>
      <c r="B1601" s="34">
        <v>964.1</v>
      </c>
      <c r="C1601" s="34">
        <f t="shared" si="48"/>
        <v>1.0426535912534382E-2</v>
      </c>
      <c r="E1601" s="33">
        <v>44726</v>
      </c>
      <c r="F1601" s="34">
        <v>52693.57</v>
      </c>
      <c r="G1601" s="34">
        <f t="shared" si="49"/>
        <v>-2.9018327782235967E-3</v>
      </c>
    </row>
    <row r="1602" spans="1:7" x14ac:dyDescent="0.3">
      <c r="A1602" s="33">
        <v>44727</v>
      </c>
      <c r="B1602" s="34">
        <v>968.65</v>
      </c>
      <c r="C1602" s="34">
        <f t="shared" si="48"/>
        <v>4.7083258626202038E-3</v>
      </c>
      <c r="E1602" s="33">
        <v>44727</v>
      </c>
      <c r="F1602" s="34">
        <v>52541.39</v>
      </c>
      <c r="G1602" s="34">
        <f t="shared" si="49"/>
        <v>-2.8921967771854602E-3</v>
      </c>
    </row>
    <row r="1603" spans="1:7" x14ac:dyDescent="0.3">
      <c r="A1603" s="33">
        <v>44728</v>
      </c>
      <c r="B1603" s="34">
        <v>940.6</v>
      </c>
      <c r="C1603" s="34">
        <f t="shared" si="48"/>
        <v>-2.9385380022007256E-2</v>
      </c>
      <c r="E1603" s="33">
        <v>44728</v>
      </c>
      <c r="F1603" s="34">
        <v>51495.79</v>
      </c>
      <c r="G1603" s="34">
        <f t="shared" si="49"/>
        <v>-2.010118318557735E-2</v>
      </c>
    </row>
    <row r="1604" spans="1:7" x14ac:dyDescent="0.3">
      <c r="A1604" s="33">
        <v>44729</v>
      </c>
      <c r="B1604" s="34">
        <v>915.6</v>
      </c>
      <c r="C1604" s="34">
        <f t="shared" si="48"/>
        <v>-2.6938381432535977E-2</v>
      </c>
      <c r="E1604" s="33">
        <v>44729</v>
      </c>
      <c r="F1604" s="34">
        <v>51360.42</v>
      </c>
      <c r="G1604" s="34">
        <f t="shared" si="49"/>
        <v>-2.6322198369969673E-3</v>
      </c>
    </row>
    <row r="1605" spans="1:7" x14ac:dyDescent="0.3">
      <c r="A1605" s="33">
        <v>44732</v>
      </c>
      <c r="B1605" s="34">
        <v>925.75</v>
      </c>
      <c r="C1605" s="34">
        <f t="shared" si="48"/>
        <v>1.1024631715310325E-2</v>
      </c>
      <c r="E1605" s="33">
        <v>44732</v>
      </c>
      <c r="F1605" s="34">
        <v>51597.84</v>
      </c>
      <c r="G1605" s="34">
        <f t="shared" si="49"/>
        <v>4.6119742278640675E-3</v>
      </c>
    </row>
    <row r="1606" spans="1:7" x14ac:dyDescent="0.3">
      <c r="A1606" s="33">
        <v>44733</v>
      </c>
      <c r="B1606" s="34">
        <v>937</v>
      </c>
      <c r="C1606" s="34">
        <f t="shared" si="48"/>
        <v>1.207906244470011E-2</v>
      </c>
      <c r="E1606" s="33">
        <v>44733</v>
      </c>
      <c r="F1606" s="34">
        <v>52532.07</v>
      </c>
      <c r="G1606" s="34">
        <f t="shared" si="49"/>
        <v>1.7944029096928767E-2</v>
      </c>
    </row>
    <row r="1607" spans="1:7" x14ac:dyDescent="0.3">
      <c r="A1607" s="33">
        <v>44734</v>
      </c>
      <c r="B1607" s="34">
        <v>916.5</v>
      </c>
      <c r="C1607" s="34">
        <f t="shared" ref="C1607:C1670" si="50">LN(B1607/B1606)</f>
        <v>-2.2121214958662438E-2</v>
      </c>
      <c r="E1607" s="33">
        <v>44734</v>
      </c>
      <c r="F1607" s="34">
        <v>51822.53</v>
      </c>
      <c r="G1607" s="34">
        <f t="shared" ref="G1607:G1670" si="51">LN(F1607/F1606)</f>
        <v>-1.3598843452667111E-2</v>
      </c>
    </row>
    <row r="1608" spans="1:7" x14ac:dyDescent="0.3">
      <c r="A1608" s="33">
        <v>44735</v>
      </c>
      <c r="B1608" s="34">
        <v>933</v>
      </c>
      <c r="C1608" s="34">
        <f t="shared" si="50"/>
        <v>1.7843133567584105E-2</v>
      </c>
      <c r="E1608" s="33">
        <v>44735</v>
      </c>
      <c r="F1608" s="34">
        <v>52265.72</v>
      </c>
      <c r="G1608" s="34">
        <f t="shared" si="51"/>
        <v>8.515710048782656E-3</v>
      </c>
    </row>
    <row r="1609" spans="1:7" x14ac:dyDescent="0.3">
      <c r="A1609" s="33">
        <v>44736</v>
      </c>
      <c r="B1609" s="34">
        <v>933.4</v>
      </c>
      <c r="C1609" s="34">
        <f t="shared" si="50"/>
        <v>4.2863266837130104E-4</v>
      </c>
      <c r="E1609" s="33">
        <v>44736</v>
      </c>
      <c r="F1609" s="34">
        <v>52727.98</v>
      </c>
      <c r="G1609" s="34">
        <f t="shared" si="51"/>
        <v>8.8055376059626139E-3</v>
      </c>
    </row>
    <row r="1610" spans="1:7" x14ac:dyDescent="0.3">
      <c r="A1610" s="33">
        <v>44739</v>
      </c>
      <c r="B1610" s="34">
        <v>932.25</v>
      </c>
      <c r="C1610" s="34">
        <f t="shared" si="50"/>
        <v>-1.2328144567850306E-3</v>
      </c>
      <c r="E1610" s="33">
        <v>44739</v>
      </c>
      <c r="F1610" s="34">
        <v>53161.279999999999</v>
      </c>
      <c r="G1610" s="34">
        <f t="shared" si="51"/>
        <v>8.1840673642607394E-3</v>
      </c>
    </row>
    <row r="1611" spans="1:7" x14ac:dyDescent="0.3">
      <c r="A1611" s="33">
        <v>44740</v>
      </c>
      <c r="B1611" s="34">
        <v>944.7</v>
      </c>
      <c r="C1611" s="34">
        <f t="shared" si="50"/>
        <v>1.3266397716158576E-2</v>
      </c>
      <c r="E1611" s="33">
        <v>44740</v>
      </c>
      <c r="F1611" s="34">
        <v>53177.45</v>
      </c>
      <c r="G1611" s="34">
        <f t="shared" si="51"/>
        <v>3.0412249844677803E-4</v>
      </c>
    </row>
    <row r="1612" spans="1:7" x14ac:dyDescent="0.3">
      <c r="A1612" s="33">
        <v>44741</v>
      </c>
      <c r="B1612" s="34">
        <v>945.6</v>
      </c>
      <c r="C1612" s="34">
        <f t="shared" si="50"/>
        <v>9.5222987674496858E-4</v>
      </c>
      <c r="E1612" s="33">
        <v>44741</v>
      </c>
      <c r="F1612" s="34">
        <v>53026.97</v>
      </c>
      <c r="G1612" s="34">
        <f t="shared" si="51"/>
        <v>-2.8337822606671194E-3</v>
      </c>
    </row>
    <row r="1613" spans="1:7" x14ac:dyDescent="0.3">
      <c r="A1613" s="33">
        <v>44742</v>
      </c>
      <c r="B1613" s="34">
        <v>915.2</v>
      </c>
      <c r="C1613" s="34">
        <f t="shared" si="50"/>
        <v>-3.2677026026300245E-2</v>
      </c>
      <c r="E1613" s="33">
        <v>44742</v>
      </c>
      <c r="F1613" s="34">
        <v>53018.94</v>
      </c>
      <c r="G1613" s="34">
        <f t="shared" si="51"/>
        <v>-1.5144384192365874E-4</v>
      </c>
    </row>
    <row r="1614" spans="1:7" x14ac:dyDescent="0.3">
      <c r="A1614" s="33">
        <v>44743</v>
      </c>
      <c r="B1614" s="34">
        <v>950.1</v>
      </c>
      <c r="C1614" s="34">
        <f t="shared" si="50"/>
        <v>3.7424621587170345E-2</v>
      </c>
      <c r="E1614" s="33">
        <v>44743</v>
      </c>
      <c r="F1614" s="34">
        <v>52907.93</v>
      </c>
      <c r="G1614" s="34">
        <f t="shared" si="51"/>
        <v>-2.0959750937593878E-3</v>
      </c>
    </row>
    <row r="1615" spans="1:7" x14ac:dyDescent="0.3">
      <c r="A1615" s="33">
        <v>44746</v>
      </c>
      <c r="B1615" s="34">
        <v>930.35</v>
      </c>
      <c r="C1615" s="34">
        <f t="shared" si="50"/>
        <v>-2.1006382779053472E-2</v>
      </c>
      <c r="E1615" s="33">
        <v>44746</v>
      </c>
      <c r="F1615" s="34">
        <v>53234.77</v>
      </c>
      <c r="G1615" s="34">
        <f t="shared" si="51"/>
        <v>6.1585211797859241E-3</v>
      </c>
    </row>
    <row r="1616" spans="1:7" x14ac:dyDescent="0.3">
      <c r="A1616" s="33">
        <v>44747</v>
      </c>
      <c r="B1616" s="34">
        <v>937.7</v>
      </c>
      <c r="C1616" s="34">
        <f t="shared" si="50"/>
        <v>7.8692089919292028E-3</v>
      </c>
      <c r="E1616" s="33">
        <v>44747</v>
      </c>
      <c r="F1616" s="34">
        <v>53134.35</v>
      </c>
      <c r="G1616" s="34">
        <f t="shared" si="51"/>
        <v>-1.8881425329793815E-3</v>
      </c>
    </row>
    <row r="1617" spans="1:7" x14ac:dyDescent="0.3">
      <c r="A1617" s="33">
        <v>44748</v>
      </c>
      <c r="B1617" s="34">
        <v>945.85</v>
      </c>
      <c r="C1617" s="34">
        <f t="shared" si="50"/>
        <v>8.6539256860927449E-3</v>
      </c>
      <c r="E1617" s="33">
        <v>44748</v>
      </c>
      <c r="F1617" s="34">
        <v>53750.97</v>
      </c>
      <c r="G1617" s="34">
        <f t="shared" si="51"/>
        <v>1.1538101598165861E-2</v>
      </c>
    </row>
    <row r="1618" spans="1:7" x14ac:dyDescent="0.3">
      <c r="A1618" s="33">
        <v>44749</v>
      </c>
      <c r="B1618" s="34">
        <v>936.4</v>
      </c>
      <c r="C1618" s="34">
        <f t="shared" si="50"/>
        <v>-1.0041258494916652E-2</v>
      </c>
      <c r="E1618" s="33">
        <v>44749</v>
      </c>
      <c r="F1618" s="34">
        <v>54178.46</v>
      </c>
      <c r="G1618" s="34">
        <f t="shared" si="51"/>
        <v>7.9216991238123917E-3</v>
      </c>
    </row>
    <row r="1619" spans="1:7" x14ac:dyDescent="0.3">
      <c r="A1619" s="33">
        <v>44750</v>
      </c>
      <c r="B1619" s="34">
        <v>935.4</v>
      </c>
      <c r="C1619" s="34">
        <f t="shared" si="50"/>
        <v>-1.0684903249698701E-3</v>
      </c>
      <c r="E1619" s="33">
        <v>44750</v>
      </c>
      <c r="F1619" s="34">
        <v>54481.84</v>
      </c>
      <c r="G1619" s="34">
        <f t="shared" si="51"/>
        <v>5.5840226525243741E-3</v>
      </c>
    </row>
    <row r="1620" spans="1:7" x14ac:dyDescent="0.3">
      <c r="A1620" s="33">
        <v>44753</v>
      </c>
      <c r="B1620" s="34">
        <v>946.45</v>
      </c>
      <c r="C1620" s="34">
        <f t="shared" si="50"/>
        <v>1.1743897760442644E-2</v>
      </c>
      <c r="E1620" s="33">
        <v>44753</v>
      </c>
      <c r="F1620" s="34">
        <v>54395.23</v>
      </c>
      <c r="G1620" s="34">
        <f t="shared" si="51"/>
        <v>-1.5909689389841108E-3</v>
      </c>
    </row>
    <row r="1621" spans="1:7" x14ac:dyDescent="0.3">
      <c r="A1621" s="33">
        <v>44754</v>
      </c>
      <c r="B1621" s="34">
        <v>935.7</v>
      </c>
      <c r="C1621" s="34">
        <f t="shared" si="50"/>
        <v>-1.142323077036122E-2</v>
      </c>
      <c r="E1621" s="33">
        <v>44754</v>
      </c>
      <c r="F1621" s="34">
        <v>53886.61</v>
      </c>
      <c r="G1621" s="34">
        <f t="shared" si="51"/>
        <v>-9.3944421466369485E-3</v>
      </c>
    </row>
    <row r="1622" spans="1:7" x14ac:dyDescent="0.3">
      <c r="A1622" s="33">
        <v>44755</v>
      </c>
      <c r="B1622" s="34">
        <v>953.35</v>
      </c>
      <c r="C1622" s="34">
        <f t="shared" si="50"/>
        <v>1.8687185228586322E-2</v>
      </c>
      <c r="E1622" s="33">
        <v>44755</v>
      </c>
      <c r="F1622" s="34">
        <v>53514.15</v>
      </c>
      <c r="G1622" s="34">
        <f t="shared" si="51"/>
        <v>-6.9359191342613204E-3</v>
      </c>
    </row>
    <row r="1623" spans="1:7" x14ac:dyDescent="0.3">
      <c r="A1623" s="33">
        <v>44756</v>
      </c>
      <c r="B1623" s="34">
        <v>950.85</v>
      </c>
      <c r="C1623" s="34">
        <f t="shared" si="50"/>
        <v>-2.6257761121685468E-3</v>
      </c>
      <c r="E1623" s="33">
        <v>44756</v>
      </c>
      <c r="F1623" s="34">
        <v>53416.15</v>
      </c>
      <c r="G1623" s="34">
        <f t="shared" si="51"/>
        <v>-1.8329702140216432E-3</v>
      </c>
    </row>
    <row r="1624" spans="1:7" x14ac:dyDescent="0.3">
      <c r="A1624" s="33">
        <v>44757</v>
      </c>
      <c r="B1624" s="34">
        <v>966</v>
      </c>
      <c r="C1624" s="34">
        <f t="shared" si="50"/>
        <v>1.5807512814232892E-2</v>
      </c>
      <c r="E1624" s="33">
        <v>44757</v>
      </c>
      <c r="F1624" s="34">
        <v>53760.78</v>
      </c>
      <c r="G1624" s="34">
        <f t="shared" si="51"/>
        <v>6.4310703392155581E-3</v>
      </c>
    </row>
    <row r="1625" spans="1:7" x14ac:dyDescent="0.3">
      <c r="A1625" s="33">
        <v>44760</v>
      </c>
      <c r="B1625" s="34">
        <v>966.55</v>
      </c>
      <c r="C1625" s="34">
        <f t="shared" si="50"/>
        <v>5.6919615518269179E-4</v>
      </c>
      <c r="E1625" s="33">
        <v>44760</v>
      </c>
      <c r="F1625" s="34">
        <v>54521.15</v>
      </c>
      <c r="G1625" s="34">
        <f t="shared" si="51"/>
        <v>1.4044494744477897E-2</v>
      </c>
    </row>
    <row r="1626" spans="1:7" x14ac:dyDescent="0.3">
      <c r="A1626" s="33">
        <v>44761</v>
      </c>
      <c r="B1626" s="34">
        <v>960.65</v>
      </c>
      <c r="C1626" s="34">
        <f t="shared" si="50"/>
        <v>-6.1228916899904512E-3</v>
      </c>
      <c r="E1626" s="33">
        <v>44761</v>
      </c>
      <c r="F1626" s="34">
        <v>54767.62</v>
      </c>
      <c r="G1626" s="34">
        <f t="shared" si="51"/>
        <v>4.5104436229039795E-3</v>
      </c>
    </row>
    <row r="1627" spans="1:7" x14ac:dyDescent="0.3">
      <c r="A1627" s="33">
        <v>44762</v>
      </c>
      <c r="B1627" s="34">
        <v>981.6</v>
      </c>
      <c r="C1627" s="34">
        <f t="shared" si="50"/>
        <v>2.1573754718991336E-2</v>
      </c>
      <c r="E1627" s="33">
        <v>44762</v>
      </c>
      <c r="F1627" s="34">
        <v>55397.53</v>
      </c>
      <c r="G1627" s="34">
        <f t="shared" si="51"/>
        <v>1.1435864516165881E-2</v>
      </c>
    </row>
    <row r="1628" spans="1:7" x14ac:dyDescent="0.3">
      <c r="A1628" s="33">
        <v>44763</v>
      </c>
      <c r="B1628" s="34">
        <v>968.15</v>
      </c>
      <c r="C1628" s="34">
        <f t="shared" si="50"/>
        <v>-1.3796859447294502E-2</v>
      </c>
      <c r="E1628" s="33">
        <v>44763</v>
      </c>
      <c r="F1628" s="34">
        <v>55681.95</v>
      </c>
      <c r="G1628" s="34">
        <f t="shared" si="51"/>
        <v>5.1210290428885946E-3</v>
      </c>
    </row>
    <row r="1629" spans="1:7" x14ac:dyDescent="0.3">
      <c r="A1629" s="33">
        <v>44764</v>
      </c>
      <c r="B1629" s="34">
        <v>972.8</v>
      </c>
      <c r="C1629" s="34">
        <f t="shared" si="50"/>
        <v>4.7914772624952518E-3</v>
      </c>
      <c r="E1629" s="33">
        <v>44764</v>
      </c>
      <c r="F1629" s="34">
        <v>56072.23</v>
      </c>
      <c r="G1629" s="34">
        <f t="shared" si="51"/>
        <v>6.9846440939884203E-3</v>
      </c>
    </row>
    <row r="1630" spans="1:7" x14ac:dyDescent="0.3">
      <c r="A1630" s="33">
        <v>44767</v>
      </c>
      <c r="B1630" s="34">
        <v>959.2</v>
      </c>
      <c r="C1630" s="34">
        <f t="shared" si="50"/>
        <v>-1.4078907498598024E-2</v>
      </c>
      <c r="E1630" s="33">
        <v>44767</v>
      </c>
      <c r="F1630" s="34">
        <v>55766.22</v>
      </c>
      <c r="G1630" s="34">
        <f t="shared" si="51"/>
        <v>-5.4723713297028052E-3</v>
      </c>
    </row>
    <row r="1631" spans="1:7" x14ac:dyDescent="0.3">
      <c r="A1631" s="33">
        <v>44768</v>
      </c>
      <c r="B1631" s="34">
        <v>955.1</v>
      </c>
      <c r="C1631" s="34">
        <f t="shared" si="50"/>
        <v>-4.2835566726125854E-3</v>
      </c>
      <c r="E1631" s="33">
        <v>44768</v>
      </c>
      <c r="F1631" s="34">
        <v>55268.49</v>
      </c>
      <c r="G1631" s="34">
        <f t="shared" si="51"/>
        <v>-8.9653646839666784E-3</v>
      </c>
    </row>
    <row r="1632" spans="1:7" x14ac:dyDescent="0.3">
      <c r="A1632" s="33">
        <v>44769</v>
      </c>
      <c r="B1632" s="34">
        <v>974.2</v>
      </c>
      <c r="C1632" s="34">
        <f t="shared" si="50"/>
        <v>1.9800574331750472E-2</v>
      </c>
      <c r="E1632" s="33">
        <v>44769</v>
      </c>
      <c r="F1632" s="34">
        <v>55816.32</v>
      </c>
      <c r="G1632" s="34">
        <f t="shared" si="51"/>
        <v>9.8633546986528504E-3</v>
      </c>
    </row>
    <row r="1633" spans="1:7" x14ac:dyDescent="0.3">
      <c r="A1633" s="33">
        <v>44770</v>
      </c>
      <c r="B1633" s="34">
        <v>967.7</v>
      </c>
      <c r="C1633" s="34">
        <f t="shared" si="50"/>
        <v>-6.6944994855454923E-3</v>
      </c>
      <c r="E1633" s="33">
        <v>44770</v>
      </c>
      <c r="F1633" s="34">
        <v>56857.79</v>
      </c>
      <c r="G1633" s="34">
        <f t="shared" si="51"/>
        <v>1.8486938330278646E-2</v>
      </c>
    </row>
    <row r="1634" spans="1:7" x14ac:dyDescent="0.3">
      <c r="A1634" s="33">
        <v>44771</v>
      </c>
      <c r="B1634" s="34">
        <v>978.15</v>
      </c>
      <c r="C1634" s="34">
        <f t="shared" si="50"/>
        <v>1.0740910620424163E-2</v>
      </c>
      <c r="E1634" s="33">
        <v>44771</v>
      </c>
      <c r="F1634" s="34">
        <v>57570.25</v>
      </c>
      <c r="G1634" s="34">
        <f t="shared" si="51"/>
        <v>1.2452703143907838E-2</v>
      </c>
    </row>
    <row r="1635" spans="1:7" x14ac:dyDescent="0.3">
      <c r="A1635" s="33">
        <v>44774</v>
      </c>
      <c r="B1635" s="34">
        <v>1004.3</v>
      </c>
      <c r="C1635" s="34">
        <f t="shared" si="50"/>
        <v>2.6383027891972385E-2</v>
      </c>
      <c r="E1635" s="33">
        <v>44774</v>
      </c>
      <c r="F1635" s="34">
        <v>58115.5</v>
      </c>
      <c r="G1635" s="34">
        <f t="shared" si="51"/>
        <v>9.4264684715859356E-3</v>
      </c>
    </row>
    <row r="1636" spans="1:7" x14ac:dyDescent="0.3">
      <c r="A1636" s="33">
        <v>44775</v>
      </c>
      <c r="B1636" s="34">
        <v>1003.55</v>
      </c>
      <c r="C1636" s="34">
        <f t="shared" si="50"/>
        <v>-7.4706779379126484E-4</v>
      </c>
      <c r="E1636" s="33">
        <v>44775</v>
      </c>
      <c r="F1636" s="34">
        <v>58136.36</v>
      </c>
      <c r="G1636" s="34">
        <f t="shared" si="51"/>
        <v>3.5887598226622483E-4</v>
      </c>
    </row>
    <row r="1637" spans="1:7" x14ac:dyDescent="0.3">
      <c r="A1637" s="33">
        <v>44776</v>
      </c>
      <c r="B1637" s="34">
        <v>1010.7</v>
      </c>
      <c r="C1637" s="34">
        <f t="shared" si="50"/>
        <v>7.0994464751148239E-3</v>
      </c>
      <c r="E1637" s="33">
        <v>44776</v>
      </c>
      <c r="F1637" s="34">
        <v>58350.53</v>
      </c>
      <c r="G1637" s="34">
        <f t="shared" si="51"/>
        <v>3.6771561387639101E-3</v>
      </c>
    </row>
    <row r="1638" spans="1:7" x14ac:dyDescent="0.3">
      <c r="A1638" s="33">
        <v>44777</v>
      </c>
      <c r="B1638" s="34">
        <v>1044.45</v>
      </c>
      <c r="C1638" s="34">
        <f t="shared" si="50"/>
        <v>3.2847270976048643E-2</v>
      </c>
      <c r="E1638" s="33">
        <v>44777</v>
      </c>
      <c r="F1638" s="34">
        <v>58298.8</v>
      </c>
      <c r="G1638" s="34">
        <f t="shared" si="51"/>
        <v>-8.8693185620705413E-4</v>
      </c>
    </row>
    <row r="1639" spans="1:7" x14ac:dyDescent="0.3">
      <c r="A1639" s="33">
        <v>44778</v>
      </c>
      <c r="B1639" s="34">
        <v>1034.25</v>
      </c>
      <c r="C1639" s="34">
        <f t="shared" si="50"/>
        <v>-9.8139047151446016E-3</v>
      </c>
      <c r="E1639" s="33">
        <v>44778</v>
      </c>
      <c r="F1639" s="34">
        <v>58387.93</v>
      </c>
      <c r="G1639" s="34">
        <f t="shared" si="51"/>
        <v>1.5276804369159518E-3</v>
      </c>
    </row>
    <row r="1640" spans="1:7" x14ac:dyDescent="0.3">
      <c r="A1640" s="33">
        <v>44781</v>
      </c>
      <c r="B1640" s="34">
        <v>1029.25</v>
      </c>
      <c r="C1640" s="34">
        <f t="shared" si="50"/>
        <v>-4.8461446915067721E-3</v>
      </c>
      <c r="E1640" s="33">
        <v>44781</v>
      </c>
      <c r="F1640" s="34">
        <v>58853.07</v>
      </c>
      <c r="G1640" s="34">
        <f t="shared" si="51"/>
        <v>7.9348084795921626E-3</v>
      </c>
    </row>
    <row r="1641" spans="1:7" x14ac:dyDescent="0.3">
      <c r="A1641" s="33">
        <v>44783</v>
      </c>
      <c r="B1641" s="34">
        <v>1038.2</v>
      </c>
      <c r="C1641" s="34">
        <f t="shared" si="50"/>
        <v>8.6580627431145311E-3</v>
      </c>
      <c r="E1641" s="33">
        <v>44783</v>
      </c>
      <c r="F1641" s="34">
        <v>58817.29</v>
      </c>
      <c r="G1641" s="34">
        <f t="shared" si="51"/>
        <v>-6.081395706228252E-4</v>
      </c>
    </row>
    <row r="1642" spans="1:7" x14ac:dyDescent="0.3">
      <c r="A1642" s="33">
        <v>44784</v>
      </c>
      <c r="B1642" s="34">
        <v>1038.4000000000001</v>
      </c>
      <c r="C1642" s="34">
        <f t="shared" si="50"/>
        <v>1.9262255669703142E-4</v>
      </c>
      <c r="E1642" s="33">
        <v>44784</v>
      </c>
      <c r="F1642" s="34">
        <v>59332.6</v>
      </c>
      <c r="G1642" s="34">
        <f t="shared" si="51"/>
        <v>8.7230426969330428E-3</v>
      </c>
    </row>
    <row r="1643" spans="1:7" x14ac:dyDescent="0.3">
      <c r="A1643" s="33">
        <v>44785</v>
      </c>
      <c r="B1643" s="34">
        <v>1027.3499999999999</v>
      </c>
      <c r="C1643" s="34">
        <f t="shared" si="50"/>
        <v>-1.0698395637801759E-2</v>
      </c>
      <c r="E1643" s="33">
        <v>44785</v>
      </c>
      <c r="F1643" s="34">
        <v>59462.78</v>
      </c>
      <c r="G1643" s="34">
        <f t="shared" si="51"/>
        <v>2.1916686003950426E-3</v>
      </c>
    </row>
    <row r="1644" spans="1:7" x14ac:dyDescent="0.3">
      <c r="A1644" s="33">
        <v>44789</v>
      </c>
      <c r="B1644" s="34">
        <v>1033.8499999999999</v>
      </c>
      <c r="C1644" s="34">
        <f t="shared" si="50"/>
        <v>6.3070265347549706E-3</v>
      </c>
      <c r="E1644" s="33">
        <v>44789</v>
      </c>
      <c r="F1644" s="34">
        <v>59842.21</v>
      </c>
      <c r="G1644" s="34">
        <f t="shared" si="51"/>
        <v>6.360694205011945E-3</v>
      </c>
    </row>
    <row r="1645" spans="1:7" x14ac:dyDescent="0.3">
      <c r="A1645" s="33">
        <v>44790</v>
      </c>
      <c r="B1645" s="34">
        <v>1025.5</v>
      </c>
      <c r="C1645" s="34">
        <f t="shared" si="50"/>
        <v>-8.1093993343435439E-3</v>
      </c>
      <c r="E1645" s="33">
        <v>44790</v>
      </c>
      <c r="F1645" s="34">
        <v>60260.13</v>
      </c>
      <c r="G1645" s="34">
        <f t="shared" si="51"/>
        <v>6.9594262156747605E-3</v>
      </c>
    </row>
    <row r="1646" spans="1:7" x14ac:dyDescent="0.3">
      <c r="A1646" s="33">
        <v>44791</v>
      </c>
      <c r="B1646" s="34">
        <v>1032.0999999999999</v>
      </c>
      <c r="C1646" s="34">
        <f t="shared" si="50"/>
        <v>6.415263059452214E-3</v>
      </c>
      <c r="E1646" s="33">
        <v>44791</v>
      </c>
      <c r="F1646" s="34">
        <v>60298</v>
      </c>
      <c r="G1646" s="34">
        <f t="shared" si="51"/>
        <v>6.2824466911668613E-4</v>
      </c>
    </row>
    <row r="1647" spans="1:7" x14ac:dyDescent="0.3">
      <c r="A1647" s="33">
        <v>44792</v>
      </c>
      <c r="B1647" s="34">
        <v>1030.3499999999999</v>
      </c>
      <c r="C1647" s="34">
        <f t="shared" si="50"/>
        <v>-1.6970112438873424E-3</v>
      </c>
      <c r="E1647" s="33">
        <v>44792</v>
      </c>
      <c r="F1647" s="34">
        <v>59646.15</v>
      </c>
      <c r="G1647" s="34">
        <f t="shared" si="51"/>
        <v>-1.0869332394789702E-2</v>
      </c>
    </row>
    <row r="1648" spans="1:7" x14ac:dyDescent="0.3">
      <c r="A1648" s="33">
        <v>44795</v>
      </c>
      <c r="B1648" s="34">
        <v>1022.55</v>
      </c>
      <c r="C1648" s="34">
        <f t="shared" si="50"/>
        <v>-7.5990428510962858E-3</v>
      </c>
      <c r="E1648" s="33">
        <v>44795</v>
      </c>
      <c r="F1648" s="34">
        <v>58773.87</v>
      </c>
      <c r="G1648" s="34">
        <f t="shared" si="51"/>
        <v>-1.4732234912463969E-2</v>
      </c>
    </row>
    <row r="1649" spans="1:7" x14ac:dyDescent="0.3">
      <c r="A1649" s="33">
        <v>44796</v>
      </c>
      <c r="B1649" s="34">
        <v>1040.55</v>
      </c>
      <c r="C1649" s="34">
        <f t="shared" si="50"/>
        <v>1.7449912022515977E-2</v>
      </c>
      <c r="E1649" s="33">
        <v>44796</v>
      </c>
      <c r="F1649" s="34">
        <v>59031.3</v>
      </c>
      <c r="G1649" s="34">
        <f t="shared" si="51"/>
        <v>4.3704433304453671E-3</v>
      </c>
    </row>
    <row r="1650" spans="1:7" x14ac:dyDescent="0.3">
      <c r="A1650" s="33">
        <v>44797</v>
      </c>
      <c r="B1650" s="34">
        <v>1037.5999999999999</v>
      </c>
      <c r="C1650" s="34">
        <f t="shared" si="50"/>
        <v>-2.8390654971859118E-3</v>
      </c>
      <c r="E1650" s="33">
        <v>44797</v>
      </c>
      <c r="F1650" s="34">
        <v>59085.43</v>
      </c>
      <c r="G1650" s="34">
        <f t="shared" si="51"/>
        <v>9.1655100491518787E-4</v>
      </c>
    </row>
    <row r="1651" spans="1:7" x14ac:dyDescent="0.3">
      <c r="A1651" s="33">
        <v>44798</v>
      </c>
      <c r="B1651" s="34">
        <v>1025.45</v>
      </c>
      <c r="C1651" s="34">
        <f t="shared" si="50"/>
        <v>-1.1778813382492263E-2</v>
      </c>
      <c r="E1651" s="33">
        <v>44798</v>
      </c>
      <c r="F1651" s="34">
        <v>58774.720000000001</v>
      </c>
      <c r="G1651" s="34">
        <f t="shared" si="51"/>
        <v>-5.2725322307956742E-3</v>
      </c>
    </row>
    <row r="1652" spans="1:7" x14ac:dyDescent="0.3">
      <c r="A1652" s="33">
        <v>44799</v>
      </c>
      <c r="B1652" s="34">
        <v>1020.25</v>
      </c>
      <c r="C1652" s="34">
        <f t="shared" si="50"/>
        <v>-5.0838453338267814E-3</v>
      </c>
      <c r="E1652" s="33">
        <v>44799</v>
      </c>
      <c r="F1652" s="34">
        <v>58833.87</v>
      </c>
      <c r="G1652" s="34">
        <f t="shared" si="51"/>
        <v>1.0058789921261755E-3</v>
      </c>
    </row>
    <row r="1653" spans="1:7" x14ac:dyDescent="0.3">
      <c r="A1653" s="33">
        <v>44802</v>
      </c>
      <c r="B1653" s="34">
        <v>1016.55</v>
      </c>
      <c r="C1653" s="34">
        <f t="shared" si="50"/>
        <v>-3.6331540356834471E-3</v>
      </c>
      <c r="E1653" s="33">
        <v>44802</v>
      </c>
      <c r="F1653" s="34">
        <v>57972.62</v>
      </c>
      <c r="G1653" s="34">
        <f t="shared" si="51"/>
        <v>-1.4746879355400555E-2</v>
      </c>
    </row>
    <row r="1654" spans="1:7" x14ac:dyDescent="0.3">
      <c r="A1654" s="33">
        <v>44803</v>
      </c>
      <c r="B1654" s="34">
        <v>1038.95</v>
      </c>
      <c r="C1654" s="34">
        <f t="shared" si="50"/>
        <v>2.1796046495657553E-2</v>
      </c>
      <c r="E1654" s="33">
        <v>44803</v>
      </c>
      <c r="F1654" s="34">
        <v>59537.07</v>
      </c>
      <c r="G1654" s="34">
        <f t="shared" si="51"/>
        <v>2.6628313640766593E-2</v>
      </c>
    </row>
    <row r="1655" spans="1:7" x14ac:dyDescent="0.3">
      <c r="A1655" s="33">
        <v>44805</v>
      </c>
      <c r="B1655" s="34">
        <v>1022.8</v>
      </c>
      <c r="C1655" s="34">
        <f t="shared" si="50"/>
        <v>-1.5666623328857592E-2</v>
      </c>
      <c r="E1655" s="33">
        <v>44805</v>
      </c>
      <c r="F1655" s="34">
        <v>58766.59</v>
      </c>
      <c r="G1655" s="34">
        <f t="shared" si="51"/>
        <v>-1.3025647621612986E-2</v>
      </c>
    </row>
    <row r="1656" spans="1:7" x14ac:dyDescent="0.3">
      <c r="A1656" s="33">
        <v>44806</v>
      </c>
      <c r="B1656" s="34">
        <v>1015.55</v>
      </c>
      <c r="C1656" s="34">
        <f t="shared" si="50"/>
        <v>-7.1136267795368947E-3</v>
      </c>
      <c r="E1656" s="33">
        <v>44806</v>
      </c>
      <c r="F1656" s="34">
        <v>58803.33</v>
      </c>
      <c r="G1656" s="34">
        <f t="shared" si="51"/>
        <v>6.2498981365187803E-4</v>
      </c>
    </row>
    <row r="1657" spans="1:7" x14ac:dyDescent="0.3">
      <c r="A1657" s="33">
        <v>44809</v>
      </c>
      <c r="B1657" s="34">
        <v>1025.7</v>
      </c>
      <c r="C1657" s="34">
        <f t="shared" si="50"/>
        <v>9.9449686758706982E-3</v>
      </c>
      <c r="E1657" s="33">
        <v>44809</v>
      </c>
      <c r="F1657" s="34">
        <v>59245.98</v>
      </c>
      <c r="G1657" s="34">
        <f t="shared" si="51"/>
        <v>7.4994436581140274E-3</v>
      </c>
    </row>
    <row r="1658" spans="1:7" x14ac:dyDescent="0.3">
      <c r="A1658" s="33">
        <v>44810</v>
      </c>
      <c r="B1658" s="34">
        <v>1040.7</v>
      </c>
      <c r="C1658" s="34">
        <f t="shared" si="50"/>
        <v>1.4518257330448429E-2</v>
      </c>
      <c r="E1658" s="33">
        <v>44810</v>
      </c>
      <c r="F1658" s="34">
        <v>59196.99</v>
      </c>
      <c r="G1658" s="34">
        <f t="shared" si="51"/>
        <v>-8.2723360945310682E-4</v>
      </c>
    </row>
    <row r="1659" spans="1:7" x14ac:dyDescent="0.3">
      <c r="A1659" s="33">
        <v>44811</v>
      </c>
      <c r="B1659" s="34">
        <v>1050.5999999999999</v>
      </c>
      <c r="C1659" s="34">
        <f t="shared" si="50"/>
        <v>9.4678658760473499E-3</v>
      </c>
      <c r="E1659" s="33">
        <v>44811</v>
      </c>
      <c r="F1659" s="34">
        <v>59028.91</v>
      </c>
      <c r="G1659" s="34">
        <f t="shared" si="51"/>
        <v>-2.8433721078137569E-3</v>
      </c>
    </row>
    <row r="1660" spans="1:7" x14ac:dyDescent="0.3">
      <c r="A1660" s="33">
        <v>44812</v>
      </c>
      <c r="B1660" s="34">
        <v>1056.0999999999999</v>
      </c>
      <c r="C1660" s="34">
        <f t="shared" si="50"/>
        <v>5.2214482325676926E-3</v>
      </c>
      <c r="E1660" s="33">
        <v>44812</v>
      </c>
      <c r="F1660" s="34">
        <v>59688.22</v>
      </c>
      <c r="G1660" s="34">
        <f t="shared" si="51"/>
        <v>1.1107357100497371E-2</v>
      </c>
    </row>
    <row r="1661" spans="1:7" x14ac:dyDescent="0.3">
      <c r="A1661" s="33">
        <v>44813</v>
      </c>
      <c r="B1661" s="34">
        <v>1058.45</v>
      </c>
      <c r="C1661" s="34">
        <f t="shared" si="50"/>
        <v>2.2226960511605135E-3</v>
      </c>
      <c r="E1661" s="33">
        <v>44813</v>
      </c>
      <c r="F1661" s="34">
        <v>59793.14</v>
      </c>
      <c r="G1661" s="34">
        <f t="shared" si="51"/>
        <v>1.7562576617521954E-3</v>
      </c>
    </row>
    <row r="1662" spans="1:7" x14ac:dyDescent="0.3">
      <c r="A1662" s="33">
        <v>44816</v>
      </c>
      <c r="B1662" s="34">
        <v>1064.6500000000001</v>
      </c>
      <c r="C1662" s="34">
        <f t="shared" si="50"/>
        <v>5.840532828818394E-3</v>
      </c>
      <c r="E1662" s="33">
        <v>44816</v>
      </c>
      <c r="F1662" s="34">
        <v>60115.13</v>
      </c>
      <c r="G1662" s="34">
        <f t="shared" si="51"/>
        <v>5.3706182891961477E-3</v>
      </c>
    </row>
    <row r="1663" spans="1:7" x14ac:dyDescent="0.3">
      <c r="A1663" s="33">
        <v>44817</v>
      </c>
      <c r="B1663" s="34">
        <v>1058.9000000000001</v>
      </c>
      <c r="C1663" s="34">
        <f t="shared" si="50"/>
        <v>-5.4154731959988453E-3</v>
      </c>
      <c r="E1663" s="33">
        <v>44817</v>
      </c>
      <c r="F1663" s="34">
        <v>60571.08</v>
      </c>
      <c r="G1663" s="34">
        <f t="shared" si="51"/>
        <v>7.5559944967375286E-3</v>
      </c>
    </row>
    <row r="1664" spans="1:7" x14ac:dyDescent="0.3">
      <c r="A1664" s="33">
        <v>44818</v>
      </c>
      <c r="B1664" s="34">
        <v>1058.6500000000001</v>
      </c>
      <c r="C1664" s="34">
        <f t="shared" si="50"/>
        <v>-2.3612193446344973E-4</v>
      </c>
      <c r="E1664" s="33">
        <v>44818</v>
      </c>
      <c r="F1664" s="34">
        <v>60346.97</v>
      </c>
      <c r="G1664" s="34">
        <f t="shared" si="51"/>
        <v>-3.7068122850878221E-3</v>
      </c>
    </row>
    <row r="1665" spans="1:7" x14ac:dyDescent="0.3">
      <c r="A1665" s="33">
        <v>44819</v>
      </c>
      <c r="B1665" s="34">
        <v>1033.1500000000001</v>
      </c>
      <c r="C1665" s="34">
        <f t="shared" si="50"/>
        <v>-2.4382123792331699E-2</v>
      </c>
      <c r="E1665" s="33">
        <v>44819</v>
      </c>
      <c r="F1665" s="34">
        <v>59934.01</v>
      </c>
      <c r="G1665" s="34">
        <f t="shared" si="51"/>
        <v>-6.8666155297613524E-3</v>
      </c>
    </row>
    <row r="1666" spans="1:7" x14ac:dyDescent="0.3">
      <c r="A1666" s="33">
        <v>44820</v>
      </c>
      <c r="B1666" s="34">
        <v>1045.3</v>
      </c>
      <c r="C1666" s="34">
        <f t="shared" si="50"/>
        <v>1.1691537829047622E-2</v>
      </c>
      <c r="E1666" s="33">
        <v>44820</v>
      </c>
      <c r="F1666" s="34">
        <v>58840.79</v>
      </c>
      <c r="G1666" s="34">
        <f t="shared" si="51"/>
        <v>-1.84088017444974E-2</v>
      </c>
    </row>
    <row r="1667" spans="1:7" x14ac:dyDescent="0.3">
      <c r="A1667" s="33">
        <v>44823</v>
      </c>
      <c r="B1667" s="34">
        <v>1034.8499999999999</v>
      </c>
      <c r="C1667" s="34">
        <f t="shared" si="50"/>
        <v>-1.004743687843416E-2</v>
      </c>
      <c r="E1667" s="33">
        <v>44823</v>
      </c>
      <c r="F1667" s="34">
        <v>59141.23</v>
      </c>
      <c r="G1667" s="34">
        <f t="shared" si="51"/>
        <v>5.0929904304841305E-3</v>
      </c>
    </row>
    <row r="1668" spans="1:7" x14ac:dyDescent="0.3">
      <c r="A1668" s="33">
        <v>44824</v>
      </c>
      <c r="B1668" s="34">
        <v>1091.4000000000001</v>
      </c>
      <c r="C1668" s="34">
        <f t="shared" si="50"/>
        <v>5.3204787091904321E-2</v>
      </c>
      <c r="E1668" s="33">
        <v>44824</v>
      </c>
      <c r="F1668" s="34">
        <v>59719.74</v>
      </c>
      <c r="G1668" s="34">
        <f t="shared" si="51"/>
        <v>9.7343066969017636E-3</v>
      </c>
    </row>
    <row r="1669" spans="1:7" x14ac:dyDescent="0.3">
      <c r="A1669" s="33">
        <v>44825</v>
      </c>
      <c r="B1669" s="34">
        <v>1069</v>
      </c>
      <c r="C1669" s="34">
        <f t="shared" si="50"/>
        <v>-2.0737643727086426E-2</v>
      </c>
      <c r="E1669" s="33">
        <v>44825</v>
      </c>
      <c r="F1669" s="34">
        <v>59456.78</v>
      </c>
      <c r="G1669" s="34">
        <f t="shared" si="51"/>
        <v>-4.4129569607210461E-3</v>
      </c>
    </row>
    <row r="1670" spans="1:7" x14ac:dyDescent="0.3">
      <c r="A1670" s="33">
        <v>44826</v>
      </c>
      <c r="B1670" s="34">
        <v>1061.7</v>
      </c>
      <c r="C1670" s="34">
        <f t="shared" si="50"/>
        <v>-6.8522350055177884E-3</v>
      </c>
      <c r="E1670" s="33">
        <v>44826</v>
      </c>
      <c r="F1670" s="34">
        <v>59119.72</v>
      </c>
      <c r="G1670" s="34">
        <f t="shared" si="51"/>
        <v>-5.6851215515974166E-3</v>
      </c>
    </row>
    <row r="1671" spans="1:7" x14ac:dyDescent="0.3">
      <c r="A1671" s="33">
        <v>44827</v>
      </c>
      <c r="B1671" s="34">
        <v>1067.8</v>
      </c>
      <c r="C1671" s="34">
        <f t="shared" ref="C1671:C1734" si="52">LN(B1671/B1670)</f>
        <v>5.7290600465584006E-3</v>
      </c>
      <c r="E1671" s="33">
        <v>44827</v>
      </c>
      <c r="F1671" s="34">
        <v>58098.92</v>
      </c>
      <c r="G1671" s="34">
        <f t="shared" ref="G1671:G1734" si="53">LN(F1671/F1670)</f>
        <v>-1.7417465454006385E-2</v>
      </c>
    </row>
    <row r="1672" spans="1:7" x14ac:dyDescent="0.3">
      <c r="A1672" s="33">
        <v>44830</v>
      </c>
      <c r="B1672" s="34">
        <v>1065.45</v>
      </c>
      <c r="C1672" s="34">
        <f t="shared" si="52"/>
        <v>-2.2032119541570976E-3</v>
      </c>
      <c r="E1672" s="33">
        <v>44830</v>
      </c>
      <c r="F1672" s="34">
        <v>57145.22</v>
      </c>
      <c r="G1672" s="34">
        <f t="shared" si="53"/>
        <v>-1.6551327847038173E-2</v>
      </c>
    </row>
    <row r="1673" spans="1:7" x14ac:dyDescent="0.3">
      <c r="A1673" s="33">
        <v>44831</v>
      </c>
      <c r="B1673" s="34">
        <v>1100.9000000000001</v>
      </c>
      <c r="C1673" s="34">
        <f t="shared" si="52"/>
        <v>3.2730781964428898E-2</v>
      </c>
      <c r="E1673" s="33">
        <v>44831</v>
      </c>
      <c r="F1673" s="34">
        <v>57107.519999999997</v>
      </c>
      <c r="G1673" s="34">
        <f t="shared" si="53"/>
        <v>-6.59940433258149E-4</v>
      </c>
    </row>
    <row r="1674" spans="1:7" x14ac:dyDescent="0.3">
      <c r="A1674" s="33">
        <v>44832</v>
      </c>
      <c r="B1674" s="34">
        <v>1096.5999999999999</v>
      </c>
      <c r="C1674" s="34">
        <f t="shared" si="52"/>
        <v>-3.9135431064095845E-3</v>
      </c>
      <c r="E1674" s="33">
        <v>44832</v>
      </c>
      <c r="F1674" s="34">
        <v>56598.28</v>
      </c>
      <c r="G1674" s="34">
        <f t="shared" si="53"/>
        <v>-8.9572107097108111E-3</v>
      </c>
    </row>
    <row r="1675" spans="1:7" x14ac:dyDescent="0.3">
      <c r="A1675" s="33">
        <v>44833</v>
      </c>
      <c r="B1675" s="34">
        <v>1117.6500000000001</v>
      </c>
      <c r="C1675" s="34">
        <f t="shared" si="52"/>
        <v>1.9013782697898284E-2</v>
      </c>
      <c r="E1675" s="33">
        <v>44833</v>
      </c>
      <c r="F1675" s="34">
        <v>56409.96</v>
      </c>
      <c r="G1675" s="34">
        <f t="shared" si="53"/>
        <v>-3.3328573973110303E-3</v>
      </c>
    </row>
    <row r="1676" spans="1:7" x14ac:dyDescent="0.3">
      <c r="A1676" s="33">
        <v>44834</v>
      </c>
      <c r="B1676" s="34">
        <v>1115.2</v>
      </c>
      <c r="C1676" s="34">
        <f t="shared" si="52"/>
        <v>-2.1945056615868251E-3</v>
      </c>
      <c r="E1676" s="33">
        <v>44834</v>
      </c>
      <c r="F1676" s="34">
        <v>57426.92</v>
      </c>
      <c r="G1676" s="34">
        <f t="shared" si="53"/>
        <v>1.7867444273833206E-2</v>
      </c>
    </row>
    <row r="1677" spans="1:7" x14ac:dyDescent="0.3">
      <c r="A1677" s="33">
        <v>44837</v>
      </c>
      <c r="B1677" s="34">
        <v>1130.8499999999999</v>
      </c>
      <c r="C1677" s="34">
        <f t="shared" si="52"/>
        <v>1.3935801319561025E-2</v>
      </c>
      <c r="E1677" s="33">
        <v>44837</v>
      </c>
      <c r="F1677" s="34">
        <v>56788.81</v>
      </c>
      <c r="G1677" s="34">
        <f t="shared" si="53"/>
        <v>-1.1173883654918598E-2</v>
      </c>
    </row>
    <row r="1678" spans="1:7" x14ac:dyDescent="0.3">
      <c r="A1678" s="33">
        <v>44838</v>
      </c>
      <c r="B1678" s="34">
        <v>1144.7</v>
      </c>
      <c r="C1678" s="34">
        <f t="shared" si="52"/>
        <v>1.2173031598610246E-2</v>
      </c>
      <c r="E1678" s="33">
        <v>44838</v>
      </c>
      <c r="F1678" s="34">
        <v>58065.47</v>
      </c>
      <c r="G1678" s="34">
        <f t="shared" si="53"/>
        <v>2.2231867765537542E-2</v>
      </c>
    </row>
    <row r="1679" spans="1:7" x14ac:dyDescent="0.3">
      <c r="A1679" s="33">
        <v>44840</v>
      </c>
      <c r="B1679" s="34">
        <v>1134.25</v>
      </c>
      <c r="C1679" s="34">
        <f t="shared" si="52"/>
        <v>-9.1709543803574246E-3</v>
      </c>
      <c r="E1679" s="33">
        <v>44840</v>
      </c>
      <c r="F1679" s="34">
        <v>58222.1</v>
      </c>
      <c r="G1679" s="34">
        <f t="shared" si="53"/>
        <v>2.6938407040250321E-3</v>
      </c>
    </row>
    <row r="1680" spans="1:7" x14ac:dyDescent="0.3">
      <c r="A1680" s="33">
        <v>44841</v>
      </c>
      <c r="B1680" s="34">
        <v>1130</v>
      </c>
      <c r="C1680" s="34">
        <f t="shared" si="52"/>
        <v>-3.7540068376870376E-3</v>
      </c>
      <c r="E1680" s="33">
        <v>44841</v>
      </c>
      <c r="F1680" s="34">
        <v>58191.29</v>
      </c>
      <c r="G1680" s="34">
        <f t="shared" si="53"/>
        <v>-5.2932056560434744E-4</v>
      </c>
    </row>
    <row r="1681" spans="1:7" x14ac:dyDescent="0.3">
      <c r="A1681" s="33">
        <v>44844</v>
      </c>
      <c r="B1681" s="34">
        <v>1119.4000000000001</v>
      </c>
      <c r="C1681" s="34">
        <f t="shared" si="52"/>
        <v>-9.4248052491269826E-3</v>
      </c>
      <c r="E1681" s="33">
        <v>44844</v>
      </c>
      <c r="F1681" s="34">
        <v>57991.11</v>
      </c>
      <c r="G1681" s="34">
        <f t="shared" si="53"/>
        <v>-3.4459642439688023E-3</v>
      </c>
    </row>
    <row r="1682" spans="1:7" x14ac:dyDescent="0.3">
      <c r="A1682" s="33">
        <v>44845</v>
      </c>
      <c r="B1682" s="34">
        <v>1111.2</v>
      </c>
      <c r="C1682" s="34">
        <f t="shared" si="52"/>
        <v>-7.3523150171252638E-3</v>
      </c>
      <c r="E1682" s="33">
        <v>44845</v>
      </c>
      <c r="F1682" s="34">
        <v>57147.32</v>
      </c>
      <c r="G1682" s="34">
        <f t="shared" si="53"/>
        <v>-1.4657227933382467E-2</v>
      </c>
    </row>
    <row r="1683" spans="1:7" x14ac:dyDescent="0.3">
      <c r="A1683" s="33">
        <v>44846</v>
      </c>
      <c r="B1683" s="34">
        <v>1108.0999999999999</v>
      </c>
      <c r="C1683" s="34">
        <f t="shared" si="52"/>
        <v>-2.7936754978543079E-3</v>
      </c>
      <c r="E1683" s="33">
        <v>44846</v>
      </c>
      <c r="F1683" s="34">
        <v>57625.91</v>
      </c>
      <c r="G1683" s="34">
        <f t="shared" si="53"/>
        <v>8.339797946151575E-3</v>
      </c>
    </row>
    <row r="1684" spans="1:7" x14ac:dyDescent="0.3">
      <c r="A1684" s="33">
        <v>44847</v>
      </c>
      <c r="B1684" s="34">
        <v>1103.3499999999999</v>
      </c>
      <c r="C1684" s="34">
        <f t="shared" si="52"/>
        <v>-4.2958306131901111E-3</v>
      </c>
      <c r="E1684" s="33">
        <v>44847</v>
      </c>
      <c r="F1684" s="34">
        <v>57235.33</v>
      </c>
      <c r="G1684" s="34">
        <f t="shared" si="53"/>
        <v>-6.8009278925517565E-3</v>
      </c>
    </row>
    <row r="1685" spans="1:7" x14ac:dyDescent="0.3">
      <c r="A1685" s="33">
        <v>44848</v>
      </c>
      <c r="B1685" s="34">
        <v>1109.25</v>
      </c>
      <c r="C1685" s="34">
        <f t="shared" si="52"/>
        <v>5.3331049299294294E-3</v>
      </c>
      <c r="E1685" s="33">
        <v>44848</v>
      </c>
      <c r="F1685" s="34">
        <v>57919.97</v>
      </c>
      <c r="G1685" s="34">
        <f t="shared" si="53"/>
        <v>1.1890865064903354E-2</v>
      </c>
    </row>
    <row r="1686" spans="1:7" x14ac:dyDescent="0.3">
      <c r="A1686" s="33">
        <v>44851</v>
      </c>
      <c r="B1686" s="34">
        <v>1108</v>
      </c>
      <c r="C1686" s="34">
        <f t="shared" si="52"/>
        <v>-1.1275229517897294E-3</v>
      </c>
      <c r="E1686" s="33">
        <v>44851</v>
      </c>
      <c r="F1686" s="34">
        <v>58410.98</v>
      </c>
      <c r="G1686" s="34">
        <f t="shared" si="53"/>
        <v>8.4416557389255277E-3</v>
      </c>
    </row>
    <row r="1687" spans="1:7" x14ac:dyDescent="0.3">
      <c r="A1687" s="33">
        <v>44852</v>
      </c>
      <c r="B1687" s="34">
        <v>1125.2</v>
      </c>
      <c r="C1687" s="34">
        <f t="shared" si="52"/>
        <v>1.5404209308472664E-2</v>
      </c>
      <c r="E1687" s="33">
        <v>44852</v>
      </c>
      <c r="F1687" s="34">
        <v>58960.6</v>
      </c>
      <c r="G1687" s="34">
        <f t="shared" si="53"/>
        <v>9.3655383596243091E-3</v>
      </c>
    </row>
    <row r="1688" spans="1:7" x14ac:dyDescent="0.3">
      <c r="A1688" s="33">
        <v>44853</v>
      </c>
      <c r="B1688" s="34">
        <v>1122.0999999999999</v>
      </c>
      <c r="C1688" s="34">
        <f t="shared" si="52"/>
        <v>-2.7588679448813762E-3</v>
      </c>
      <c r="E1688" s="33">
        <v>44853</v>
      </c>
      <c r="F1688" s="34">
        <v>59107.19</v>
      </c>
      <c r="G1688" s="34">
        <f t="shared" si="53"/>
        <v>2.4831509986474134E-3</v>
      </c>
    </row>
    <row r="1689" spans="1:7" x14ac:dyDescent="0.3">
      <c r="A1689" s="33">
        <v>44854</v>
      </c>
      <c r="B1689" s="34">
        <v>1137.55</v>
      </c>
      <c r="C1689" s="34">
        <f t="shared" si="52"/>
        <v>1.3674897232202384E-2</v>
      </c>
      <c r="E1689" s="33">
        <v>44854</v>
      </c>
      <c r="F1689" s="34">
        <v>59202.9</v>
      </c>
      <c r="G1689" s="34">
        <f t="shared" si="53"/>
        <v>1.6179519579247791E-3</v>
      </c>
    </row>
    <row r="1690" spans="1:7" x14ac:dyDescent="0.3">
      <c r="A1690" s="33">
        <v>44855</v>
      </c>
      <c r="B1690" s="34">
        <v>1134.4000000000001</v>
      </c>
      <c r="C1690" s="34">
        <f t="shared" si="52"/>
        <v>-2.7729501251597243E-3</v>
      </c>
      <c r="E1690" s="33">
        <v>44855</v>
      </c>
      <c r="F1690" s="34">
        <v>59307.15</v>
      </c>
      <c r="G1690" s="34">
        <f t="shared" si="53"/>
        <v>1.7593449144670183E-3</v>
      </c>
    </row>
    <row r="1691" spans="1:7" x14ac:dyDescent="0.3">
      <c r="A1691" s="33">
        <v>44858</v>
      </c>
      <c r="B1691" s="34">
        <v>1146.45</v>
      </c>
      <c r="C1691" s="34">
        <f t="shared" si="52"/>
        <v>1.0566334579139794E-2</v>
      </c>
      <c r="E1691" s="33">
        <v>44858</v>
      </c>
      <c r="F1691" s="34">
        <v>59831.66</v>
      </c>
      <c r="G1691" s="34">
        <f t="shared" si="53"/>
        <v>8.8050802042209456E-3</v>
      </c>
    </row>
    <row r="1692" spans="1:7" x14ac:dyDescent="0.3">
      <c r="A1692" s="33">
        <v>44859</v>
      </c>
      <c r="B1692" s="34">
        <v>1155.7</v>
      </c>
      <c r="C1692" s="34">
        <f t="shared" si="52"/>
        <v>8.0360096243929039E-3</v>
      </c>
      <c r="E1692" s="33">
        <v>44859</v>
      </c>
      <c r="F1692" s="34">
        <v>59543.96</v>
      </c>
      <c r="G1692" s="34">
        <f t="shared" si="53"/>
        <v>-4.8200890100868147E-3</v>
      </c>
    </row>
    <row r="1693" spans="1:7" x14ac:dyDescent="0.3">
      <c r="A1693" s="33">
        <v>44861</v>
      </c>
      <c r="B1693" s="34">
        <v>1165.3</v>
      </c>
      <c r="C1693" s="34">
        <f t="shared" si="52"/>
        <v>8.2723435978220173E-3</v>
      </c>
      <c r="E1693" s="33">
        <v>44861</v>
      </c>
      <c r="F1693" s="34">
        <v>59756.84</v>
      </c>
      <c r="G1693" s="34">
        <f t="shared" si="53"/>
        <v>3.5687979618284392E-3</v>
      </c>
    </row>
    <row r="1694" spans="1:7" x14ac:dyDescent="0.3">
      <c r="A1694" s="33">
        <v>44862</v>
      </c>
      <c r="B1694" s="34">
        <v>1154.95</v>
      </c>
      <c r="C1694" s="34">
        <f t="shared" si="52"/>
        <v>-8.9215116036546836E-3</v>
      </c>
      <c r="E1694" s="33">
        <v>44862</v>
      </c>
      <c r="F1694" s="34">
        <v>59959.85</v>
      </c>
      <c r="G1694" s="34">
        <f t="shared" si="53"/>
        <v>3.3915103164117466E-3</v>
      </c>
    </row>
    <row r="1695" spans="1:7" x14ac:dyDescent="0.3">
      <c r="A1695" s="33">
        <v>44865</v>
      </c>
      <c r="B1695" s="34">
        <v>1166.2</v>
      </c>
      <c r="C1695" s="34">
        <f t="shared" si="52"/>
        <v>9.6935468124926503E-3</v>
      </c>
      <c r="E1695" s="33">
        <v>44865</v>
      </c>
      <c r="F1695" s="34">
        <v>60746.59</v>
      </c>
      <c r="G1695" s="34">
        <f t="shared" si="53"/>
        <v>1.3035777394483599E-2</v>
      </c>
    </row>
    <row r="1696" spans="1:7" x14ac:dyDescent="0.3">
      <c r="A1696" s="33">
        <v>44866</v>
      </c>
      <c r="B1696" s="34">
        <v>1174.3</v>
      </c>
      <c r="C1696" s="34">
        <f t="shared" si="52"/>
        <v>6.9216255829797615E-3</v>
      </c>
      <c r="E1696" s="33">
        <v>44866</v>
      </c>
      <c r="F1696" s="34">
        <v>61121.35</v>
      </c>
      <c r="G1696" s="34">
        <f t="shared" si="53"/>
        <v>6.1502833526977429E-3</v>
      </c>
    </row>
    <row r="1697" spans="1:7" x14ac:dyDescent="0.3">
      <c r="A1697" s="33">
        <v>44867</v>
      </c>
      <c r="B1697" s="34">
        <v>1159.25</v>
      </c>
      <c r="C1697" s="34">
        <f t="shared" si="52"/>
        <v>-1.2898981099465185E-2</v>
      </c>
      <c r="E1697" s="33">
        <v>44867</v>
      </c>
      <c r="F1697" s="34">
        <v>60906.09</v>
      </c>
      <c r="G1697" s="34">
        <f t="shared" si="53"/>
        <v>-3.5280625944859555E-3</v>
      </c>
    </row>
    <row r="1698" spans="1:7" x14ac:dyDescent="0.3">
      <c r="A1698" s="33">
        <v>44868</v>
      </c>
      <c r="B1698" s="34">
        <v>1159.95</v>
      </c>
      <c r="C1698" s="34">
        <f t="shared" si="52"/>
        <v>6.0365645158393989E-4</v>
      </c>
      <c r="E1698" s="33">
        <v>44868</v>
      </c>
      <c r="F1698" s="34">
        <v>60836.41</v>
      </c>
      <c r="G1698" s="34">
        <f t="shared" si="53"/>
        <v>-1.1447112981717873E-3</v>
      </c>
    </row>
    <row r="1699" spans="1:7" x14ac:dyDescent="0.3">
      <c r="A1699" s="33">
        <v>44869</v>
      </c>
      <c r="B1699" s="34">
        <v>1146.3499999999999</v>
      </c>
      <c r="C1699" s="34">
        <f t="shared" si="52"/>
        <v>-1.1793918954483142E-2</v>
      </c>
      <c r="E1699" s="33">
        <v>44869</v>
      </c>
      <c r="F1699" s="34">
        <v>60950.36</v>
      </c>
      <c r="G1699" s="34">
        <f t="shared" si="53"/>
        <v>1.8713039725464105E-3</v>
      </c>
    </row>
    <row r="1700" spans="1:7" x14ac:dyDescent="0.3">
      <c r="A1700" s="33">
        <v>44872</v>
      </c>
      <c r="B1700" s="34">
        <v>1131.0999999999999</v>
      </c>
      <c r="C1700" s="34">
        <f t="shared" si="52"/>
        <v>-1.3392371231335735E-2</v>
      </c>
      <c r="E1700" s="33">
        <v>44872</v>
      </c>
      <c r="F1700" s="34">
        <v>61185.15</v>
      </c>
      <c r="G1700" s="34">
        <f t="shared" si="53"/>
        <v>3.8447506253369485E-3</v>
      </c>
    </row>
    <row r="1701" spans="1:7" x14ac:dyDescent="0.3">
      <c r="A1701" s="33">
        <v>44874</v>
      </c>
      <c r="B1701" s="34">
        <v>1129.2</v>
      </c>
      <c r="C1701" s="34">
        <f t="shared" si="52"/>
        <v>-1.6811931580010195E-3</v>
      </c>
      <c r="E1701" s="33">
        <v>44874</v>
      </c>
      <c r="F1701" s="34">
        <v>61033.55</v>
      </c>
      <c r="G1701" s="34">
        <f t="shared" si="53"/>
        <v>-2.4808000371495439E-3</v>
      </c>
    </row>
    <row r="1702" spans="1:7" x14ac:dyDescent="0.3">
      <c r="A1702" s="33">
        <v>44875</v>
      </c>
      <c r="B1702" s="34">
        <v>1122.8</v>
      </c>
      <c r="C1702" s="34">
        <f t="shared" si="52"/>
        <v>-5.6838518916069161E-3</v>
      </c>
      <c r="E1702" s="33">
        <v>44875</v>
      </c>
      <c r="F1702" s="34">
        <v>60613.7</v>
      </c>
      <c r="G1702" s="34">
        <f t="shared" si="53"/>
        <v>-6.9027728467784405E-3</v>
      </c>
    </row>
    <row r="1703" spans="1:7" x14ac:dyDescent="0.3">
      <c r="A1703" s="33">
        <v>44876</v>
      </c>
      <c r="B1703" s="34">
        <v>1121.4000000000001</v>
      </c>
      <c r="C1703" s="34">
        <f t="shared" si="52"/>
        <v>-1.2476607981551408E-3</v>
      </c>
      <c r="E1703" s="33">
        <v>44876</v>
      </c>
      <c r="F1703" s="34">
        <v>61795.040000000001</v>
      </c>
      <c r="G1703" s="34">
        <f t="shared" si="53"/>
        <v>1.9302162211082573E-2</v>
      </c>
    </row>
    <row r="1704" spans="1:7" x14ac:dyDescent="0.3">
      <c r="A1704" s="33">
        <v>44879</v>
      </c>
      <c r="B1704" s="34">
        <v>1129.2</v>
      </c>
      <c r="C1704" s="34">
        <f t="shared" si="52"/>
        <v>6.9315126897620946E-3</v>
      </c>
      <c r="E1704" s="33">
        <v>44879</v>
      </c>
      <c r="F1704" s="34">
        <v>61624.15</v>
      </c>
      <c r="G1704" s="34">
        <f t="shared" si="53"/>
        <v>-2.7692631787707375E-3</v>
      </c>
    </row>
    <row r="1705" spans="1:7" x14ac:dyDescent="0.3">
      <c r="A1705" s="33">
        <v>44880</v>
      </c>
      <c r="B1705" s="34">
        <v>1118.5999999999999</v>
      </c>
      <c r="C1705" s="34">
        <f t="shared" si="52"/>
        <v>-9.4315139918467773E-3</v>
      </c>
      <c r="E1705" s="33">
        <v>44880</v>
      </c>
      <c r="F1705" s="34">
        <v>61872.99</v>
      </c>
      <c r="G1705" s="34">
        <f t="shared" si="53"/>
        <v>4.0298963484451979E-3</v>
      </c>
    </row>
    <row r="1706" spans="1:7" x14ac:dyDescent="0.3">
      <c r="A1706" s="33">
        <v>44881</v>
      </c>
      <c r="B1706" s="34">
        <v>1121</v>
      </c>
      <c r="C1706" s="34">
        <f t="shared" si="52"/>
        <v>2.1432406846724891E-3</v>
      </c>
      <c r="E1706" s="33">
        <v>44881</v>
      </c>
      <c r="F1706" s="34">
        <v>61980.72</v>
      </c>
      <c r="G1706" s="34">
        <f t="shared" si="53"/>
        <v>1.7396334299364243E-3</v>
      </c>
    </row>
    <row r="1707" spans="1:7" x14ac:dyDescent="0.3">
      <c r="A1707" s="33">
        <v>44882</v>
      </c>
      <c r="B1707" s="34">
        <v>1119.0999999999999</v>
      </c>
      <c r="C1707" s="34">
        <f t="shared" si="52"/>
        <v>-1.6963532481785132E-3</v>
      </c>
      <c r="E1707" s="33">
        <v>44882</v>
      </c>
      <c r="F1707" s="34">
        <v>61750.6</v>
      </c>
      <c r="G1707" s="34">
        <f t="shared" si="53"/>
        <v>-3.7196768825908796E-3</v>
      </c>
    </row>
    <row r="1708" spans="1:7" x14ac:dyDescent="0.3">
      <c r="A1708" s="33">
        <v>44883</v>
      </c>
      <c r="B1708" s="34">
        <v>1101.4000000000001</v>
      </c>
      <c r="C1708" s="34">
        <f t="shared" si="52"/>
        <v>-1.5942692995600208E-2</v>
      </c>
      <c r="E1708" s="33">
        <v>44883</v>
      </c>
      <c r="F1708" s="34">
        <v>61663.48</v>
      </c>
      <c r="G1708" s="34">
        <f t="shared" si="53"/>
        <v>-1.4118326607652715E-3</v>
      </c>
    </row>
    <row r="1709" spans="1:7" x14ac:dyDescent="0.3">
      <c r="A1709" s="33">
        <v>44886</v>
      </c>
      <c r="B1709" s="34">
        <v>1105.0999999999999</v>
      </c>
      <c r="C1709" s="34">
        <f t="shared" si="52"/>
        <v>3.3537307663551903E-3</v>
      </c>
      <c r="E1709" s="33">
        <v>44886</v>
      </c>
      <c r="F1709" s="34">
        <v>61144.84</v>
      </c>
      <c r="G1709" s="34">
        <f t="shared" si="53"/>
        <v>-8.4463834921183045E-3</v>
      </c>
    </row>
    <row r="1710" spans="1:7" x14ac:dyDescent="0.3">
      <c r="A1710" s="33">
        <v>44887</v>
      </c>
      <c r="B1710" s="34">
        <v>1103.7</v>
      </c>
      <c r="C1710" s="34">
        <f t="shared" si="52"/>
        <v>-1.2676568158980954E-3</v>
      </c>
      <c r="E1710" s="33">
        <v>44887</v>
      </c>
      <c r="F1710" s="34">
        <v>61418.96</v>
      </c>
      <c r="G1710" s="34">
        <f t="shared" si="53"/>
        <v>4.4731063668849852E-3</v>
      </c>
    </row>
    <row r="1711" spans="1:7" x14ac:dyDescent="0.3">
      <c r="A1711" s="33">
        <v>44888</v>
      </c>
      <c r="B1711" s="34">
        <v>1107.2</v>
      </c>
      <c r="C1711" s="34">
        <f t="shared" si="52"/>
        <v>3.1661340845667058E-3</v>
      </c>
      <c r="E1711" s="33">
        <v>44888</v>
      </c>
      <c r="F1711" s="34">
        <v>61510.58</v>
      </c>
      <c r="G1711" s="34">
        <f t="shared" si="53"/>
        <v>1.4906102628279418E-3</v>
      </c>
    </row>
    <row r="1712" spans="1:7" x14ac:dyDescent="0.3">
      <c r="A1712" s="33">
        <v>44889</v>
      </c>
      <c r="B1712" s="34">
        <v>1095.3</v>
      </c>
      <c r="C1712" s="34">
        <f t="shared" si="52"/>
        <v>-1.0806007533704308E-2</v>
      </c>
      <c r="E1712" s="33">
        <v>44889</v>
      </c>
      <c r="F1712" s="34">
        <v>62272.68</v>
      </c>
      <c r="G1712" s="34">
        <f t="shared" si="53"/>
        <v>1.2313613802578673E-2</v>
      </c>
    </row>
    <row r="1713" spans="1:7" x14ac:dyDescent="0.3">
      <c r="A1713" s="33">
        <v>44890</v>
      </c>
      <c r="B1713" s="34">
        <v>1105.1500000000001</v>
      </c>
      <c r="C1713" s="34">
        <f t="shared" si="52"/>
        <v>8.9527740157504705E-3</v>
      </c>
      <c r="E1713" s="33">
        <v>44890</v>
      </c>
      <c r="F1713" s="34">
        <v>62293.64</v>
      </c>
      <c r="G1713" s="34">
        <f t="shared" si="53"/>
        <v>3.3652756536135835E-4</v>
      </c>
    </row>
    <row r="1714" spans="1:7" x14ac:dyDescent="0.3">
      <c r="A1714" s="33">
        <v>44893</v>
      </c>
      <c r="B1714" s="34">
        <v>1101.3</v>
      </c>
      <c r="C1714" s="34">
        <f t="shared" si="52"/>
        <v>-3.4897721745530083E-3</v>
      </c>
      <c r="E1714" s="33">
        <v>44893</v>
      </c>
      <c r="F1714" s="34">
        <v>62504.800000000003</v>
      </c>
      <c r="G1714" s="34">
        <f t="shared" si="53"/>
        <v>3.3840198885464494E-3</v>
      </c>
    </row>
    <row r="1715" spans="1:7" x14ac:dyDescent="0.3">
      <c r="A1715" s="33">
        <v>44894</v>
      </c>
      <c r="B1715" s="34">
        <v>1121.25</v>
      </c>
      <c r="C1715" s="34">
        <f t="shared" si="52"/>
        <v>1.7952834202107529E-2</v>
      </c>
      <c r="E1715" s="33">
        <v>44894</v>
      </c>
      <c r="F1715" s="34">
        <v>62681.84</v>
      </c>
      <c r="G1715" s="34">
        <f t="shared" si="53"/>
        <v>2.8284187198561912E-3</v>
      </c>
    </row>
    <row r="1716" spans="1:7" x14ac:dyDescent="0.3">
      <c r="A1716" s="33">
        <v>44895</v>
      </c>
      <c r="B1716" s="34">
        <v>1140.3</v>
      </c>
      <c r="C1716" s="34">
        <f t="shared" si="52"/>
        <v>1.6847251290306745E-2</v>
      </c>
      <c r="E1716" s="33">
        <v>44895</v>
      </c>
      <c r="F1716" s="34">
        <v>63099.65</v>
      </c>
      <c r="G1716" s="34">
        <f t="shared" si="53"/>
        <v>6.6434502673527168E-3</v>
      </c>
    </row>
    <row r="1717" spans="1:7" x14ac:dyDescent="0.3">
      <c r="A1717" s="33">
        <v>44896</v>
      </c>
      <c r="B1717" s="34">
        <v>1124.55</v>
      </c>
      <c r="C1717" s="34">
        <f t="shared" si="52"/>
        <v>-1.3908430046132E-2</v>
      </c>
      <c r="E1717" s="33">
        <v>44896</v>
      </c>
      <c r="F1717" s="34">
        <v>63284.19</v>
      </c>
      <c r="G1717" s="34">
        <f t="shared" si="53"/>
        <v>2.9203121403785807E-3</v>
      </c>
    </row>
    <row r="1718" spans="1:7" x14ac:dyDescent="0.3">
      <c r="A1718" s="33">
        <v>44897</v>
      </c>
      <c r="B1718" s="34">
        <v>1112.6500000000001</v>
      </c>
      <c r="C1718" s="34">
        <f t="shared" si="52"/>
        <v>-1.0638398205055643E-2</v>
      </c>
      <c r="E1718" s="33">
        <v>44897</v>
      </c>
      <c r="F1718" s="34">
        <v>62868.5</v>
      </c>
      <c r="G1718" s="34">
        <f t="shared" si="53"/>
        <v>-6.5902915667927072E-3</v>
      </c>
    </row>
    <row r="1719" spans="1:7" x14ac:dyDescent="0.3">
      <c r="A1719" s="33">
        <v>44900</v>
      </c>
      <c r="B1719" s="34">
        <v>1115.5</v>
      </c>
      <c r="C1719" s="34">
        <f t="shared" si="52"/>
        <v>2.5581774604620335E-3</v>
      </c>
      <c r="E1719" s="33">
        <v>44900</v>
      </c>
      <c r="F1719" s="34">
        <v>62834.6</v>
      </c>
      <c r="G1719" s="34">
        <f t="shared" si="53"/>
        <v>-5.3936618622516192E-4</v>
      </c>
    </row>
    <row r="1720" spans="1:7" x14ac:dyDescent="0.3">
      <c r="A1720" s="33">
        <v>44901</v>
      </c>
      <c r="B1720" s="34">
        <v>1109.1500000000001</v>
      </c>
      <c r="C1720" s="34">
        <f t="shared" si="52"/>
        <v>-5.7087786803440574E-3</v>
      </c>
      <c r="E1720" s="33">
        <v>44901</v>
      </c>
      <c r="F1720" s="34">
        <v>62626.36</v>
      </c>
      <c r="G1720" s="34">
        <f t="shared" si="53"/>
        <v>-3.3196014318625133E-3</v>
      </c>
    </row>
    <row r="1721" spans="1:7" x14ac:dyDescent="0.3">
      <c r="A1721" s="33">
        <v>44902</v>
      </c>
      <c r="B1721" s="34">
        <v>1105.05</v>
      </c>
      <c r="C1721" s="34">
        <f t="shared" si="52"/>
        <v>-3.7033733953109236E-3</v>
      </c>
      <c r="E1721" s="33">
        <v>44902</v>
      </c>
      <c r="F1721" s="34">
        <v>62410.68</v>
      </c>
      <c r="G1721" s="34">
        <f t="shared" si="53"/>
        <v>-3.449861159706552E-3</v>
      </c>
    </row>
    <row r="1722" spans="1:7" x14ac:dyDescent="0.3">
      <c r="A1722" s="33">
        <v>44903</v>
      </c>
      <c r="B1722" s="34">
        <v>1107.1500000000001</v>
      </c>
      <c r="C1722" s="34">
        <f t="shared" si="52"/>
        <v>1.8985630872389429E-3</v>
      </c>
      <c r="E1722" s="33">
        <v>44903</v>
      </c>
      <c r="F1722" s="34">
        <v>62570.68</v>
      </c>
      <c r="G1722" s="34">
        <f t="shared" si="53"/>
        <v>2.5603832028629992E-3</v>
      </c>
    </row>
    <row r="1723" spans="1:7" x14ac:dyDescent="0.3">
      <c r="A1723" s="33">
        <v>44904</v>
      </c>
      <c r="B1723" s="34">
        <v>1107.45</v>
      </c>
      <c r="C1723" s="34">
        <f t="shared" si="52"/>
        <v>2.7092928911307218E-4</v>
      </c>
      <c r="E1723" s="33">
        <v>44904</v>
      </c>
      <c r="F1723" s="34">
        <v>62181.67</v>
      </c>
      <c r="G1723" s="34">
        <f t="shared" si="53"/>
        <v>-6.2365359988455389E-3</v>
      </c>
    </row>
    <row r="1724" spans="1:7" x14ac:dyDescent="0.3">
      <c r="A1724" s="33">
        <v>44907</v>
      </c>
      <c r="B1724" s="34">
        <v>1097.05</v>
      </c>
      <c r="C1724" s="34">
        <f t="shared" si="52"/>
        <v>-9.4353160853254368E-3</v>
      </c>
      <c r="E1724" s="33">
        <v>44907</v>
      </c>
      <c r="F1724" s="34">
        <v>62130.57</v>
      </c>
      <c r="G1724" s="34">
        <f t="shared" si="53"/>
        <v>-8.2212343495940748E-4</v>
      </c>
    </row>
    <row r="1725" spans="1:7" x14ac:dyDescent="0.3">
      <c r="A1725" s="33">
        <v>44908</v>
      </c>
      <c r="B1725" s="34">
        <v>1109.6500000000001</v>
      </c>
      <c r="C1725" s="34">
        <f t="shared" si="52"/>
        <v>1.1419891180779336E-2</v>
      </c>
      <c r="E1725" s="33">
        <v>44908</v>
      </c>
      <c r="F1725" s="34">
        <v>62533.3</v>
      </c>
      <c r="G1725" s="34">
        <f t="shared" si="53"/>
        <v>6.4610765093866696E-3</v>
      </c>
    </row>
    <row r="1726" spans="1:7" x14ac:dyDescent="0.3">
      <c r="A1726" s="33">
        <v>44909</v>
      </c>
      <c r="B1726" s="34">
        <v>1111.6500000000001</v>
      </c>
      <c r="C1726" s="34">
        <f t="shared" si="52"/>
        <v>1.8007477967394165E-3</v>
      </c>
      <c r="E1726" s="33">
        <v>44909</v>
      </c>
      <c r="F1726" s="34">
        <v>62677.91</v>
      </c>
      <c r="G1726" s="34">
        <f t="shared" si="53"/>
        <v>2.3098581076973343E-3</v>
      </c>
    </row>
    <row r="1727" spans="1:7" x14ac:dyDescent="0.3">
      <c r="A1727" s="33">
        <v>44910</v>
      </c>
      <c r="B1727" s="34">
        <v>1102.1500000000001</v>
      </c>
      <c r="C1727" s="34">
        <f t="shared" si="52"/>
        <v>-8.5825804631306044E-3</v>
      </c>
      <c r="E1727" s="33">
        <v>44910</v>
      </c>
      <c r="F1727" s="34">
        <v>61799.03</v>
      </c>
      <c r="G1727" s="34">
        <f t="shared" si="53"/>
        <v>-1.4121404414944838E-2</v>
      </c>
    </row>
    <row r="1728" spans="1:7" x14ac:dyDescent="0.3">
      <c r="A1728" s="33">
        <v>44911</v>
      </c>
      <c r="B1728" s="34">
        <v>1089.4000000000001</v>
      </c>
      <c r="C1728" s="34">
        <f t="shared" si="52"/>
        <v>-1.163573165277283E-2</v>
      </c>
      <c r="E1728" s="33">
        <v>44911</v>
      </c>
      <c r="F1728" s="34">
        <v>61337.81</v>
      </c>
      <c r="G1728" s="34">
        <f t="shared" si="53"/>
        <v>-7.4912131398508757E-3</v>
      </c>
    </row>
    <row r="1729" spans="1:7" x14ac:dyDescent="0.3">
      <c r="A1729" s="33">
        <v>44914</v>
      </c>
      <c r="B1729" s="34">
        <v>1096.3499999999999</v>
      </c>
      <c r="C1729" s="34">
        <f t="shared" si="52"/>
        <v>6.3593946449360993E-3</v>
      </c>
      <c r="E1729" s="33">
        <v>44914</v>
      </c>
      <c r="F1729" s="34">
        <v>61806.19</v>
      </c>
      <c r="G1729" s="34">
        <f t="shared" si="53"/>
        <v>7.6070658523497018E-3</v>
      </c>
    </row>
    <row r="1730" spans="1:7" x14ac:dyDescent="0.3">
      <c r="A1730" s="33">
        <v>44915</v>
      </c>
      <c r="B1730" s="34">
        <v>1090.7</v>
      </c>
      <c r="C1730" s="34">
        <f t="shared" si="52"/>
        <v>-5.1667886598130023E-3</v>
      </c>
      <c r="E1730" s="33">
        <v>44915</v>
      </c>
      <c r="F1730" s="34">
        <v>61702.29</v>
      </c>
      <c r="G1730" s="34">
        <f t="shared" si="53"/>
        <v>-1.6824759645550644E-3</v>
      </c>
    </row>
    <row r="1731" spans="1:7" x14ac:dyDescent="0.3">
      <c r="A1731" s="33">
        <v>44916</v>
      </c>
      <c r="B1731" s="34">
        <v>1127.55</v>
      </c>
      <c r="C1731" s="34">
        <f t="shared" si="52"/>
        <v>3.3227445356890345E-2</v>
      </c>
      <c r="E1731" s="33">
        <v>44916</v>
      </c>
      <c r="F1731" s="34">
        <v>61067.24</v>
      </c>
      <c r="G1731" s="34">
        <f t="shared" si="53"/>
        <v>-1.0345493121393134E-2</v>
      </c>
    </row>
    <row r="1732" spans="1:7" x14ac:dyDescent="0.3">
      <c r="A1732" s="33">
        <v>44917</v>
      </c>
      <c r="B1732" s="34">
        <v>1122.5</v>
      </c>
      <c r="C1732" s="34">
        <f t="shared" si="52"/>
        <v>-4.4887966751782134E-3</v>
      </c>
      <c r="E1732" s="33">
        <v>44917</v>
      </c>
      <c r="F1732" s="34">
        <v>60826.22</v>
      </c>
      <c r="G1732" s="34">
        <f t="shared" si="53"/>
        <v>-3.9546061635697474E-3</v>
      </c>
    </row>
    <row r="1733" spans="1:7" x14ac:dyDescent="0.3">
      <c r="A1733" s="33">
        <v>44918</v>
      </c>
      <c r="B1733" s="34">
        <v>1118.55</v>
      </c>
      <c r="C1733" s="34">
        <f t="shared" si="52"/>
        <v>-3.5251369584958395E-3</v>
      </c>
      <c r="E1733" s="33">
        <v>44918</v>
      </c>
      <c r="F1733" s="34">
        <v>59845.29</v>
      </c>
      <c r="G1733" s="34">
        <f t="shared" si="53"/>
        <v>-1.6258213845189131E-2</v>
      </c>
    </row>
    <row r="1734" spans="1:7" x14ac:dyDescent="0.3">
      <c r="A1734" s="33">
        <v>44921</v>
      </c>
      <c r="B1734" s="34">
        <v>1096.3</v>
      </c>
      <c r="C1734" s="34">
        <f t="shared" si="52"/>
        <v>-2.00923299774192E-2</v>
      </c>
      <c r="E1734" s="33">
        <v>44921</v>
      </c>
      <c r="F1734" s="34">
        <v>60566.42</v>
      </c>
      <c r="G1734" s="34">
        <f t="shared" si="53"/>
        <v>1.1977881913125446E-2</v>
      </c>
    </row>
    <row r="1735" spans="1:7" x14ac:dyDescent="0.3">
      <c r="A1735" s="33">
        <v>44922</v>
      </c>
      <c r="B1735" s="34">
        <v>1096</v>
      </c>
      <c r="C1735" s="34">
        <f t="shared" ref="C1735:C1798" si="54">LN(B1735/B1734)</f>
        <v>-2.7368517253345065E-4</v>
      </c>
      <c r="E1735" s="33">
        <v>44922</v>
      </c>
      <c r="F1735" s="34">
        <v>60927.43</v>
      </c>
      <c r="G1735" s="34">
        <f t="shared" ref="G1735:G1798" si="55">LN(F1735/F1734)</f>
        <v>5.9428697420153527E-3</v>
      </c>
    </row>
    <row r="1736" spans="1:7" x14ac:dyDescent="0.3">
      <c r="A1736" s="33">
        <v>44923</v>
      </c>
      <c r="B1736" s="34">
        <v>1085.5</v>
      </c>
      <c r="C1736" s="34">
        <f t="shared" si="54"/>
        <v>-9.6264781896142904E-3</v>
      </c>
      <c r="E1736" s="33">
        <v>44923</v>
      </c>
      <c r="F1736" s="34">
        <v>60910.28</v>
      </c>
      <c r="G1736" s="34">
        <f t="shared" si="55"/>
        <v>-2.8152203637557685E-4</v>
      </c>
    </row>
    <row r="1737" spans="1:7" x14ac:dyDescent="0.3">
      <c r="A1737" s="33">
        <v>44924</v>
      </c>
      <c r="B1737" s="34">
        <v>1087.3</v>
      </c>
      <c r="C1737" s="34">
        <f t="shared" si="54"/>
        <v>1.6568486853572252E-3</v>
      </c>
      <c r="E1737" s="33">
        <v>44924</v>
      </c>
      <c r="F1737" s="34">
        <v>61133.88</v>
      </c>
      <c r="G1737" s="34">
        <f t="shared" si="55"/>
        <v>3.6642515329672882E-3</v>
      </c>
    </row>
    <row r="1738" spans="1:7" x14ac:dyDescent="0.3">
      <c r="A1738" s="33">
        <v>44925</v>
      </c>
      <c r="B1738" s="34">
        <v>1075.05</v>
      </c>
      <c r="C1738" s="34">
        <f t="shared" si="54"/>
        <v>-1.1330386895665869E-2</v>
      </c>
      <c r="E1738" s="33">
        <v>44925</v>
      </c>
      <c r="F1738" s="34">
        <v>60840.74</v>
      </c>
      <c r="G1738" s="34">
        <f t="shared" si="55"/>
        <v>-4.8065829493614542E-3</v>
      </c>
    </row>
    <row r="1739" spans="1:7" x14ac:dyDescent="0.3">
      <c r="A1739" s="33">
        <v>44928</v>
      </c>
      <c r="B1739" s="34">
        <v>1070.95</v>
      </c>
      <c r="C1739" s="34">
        <f t="shared" si="54"/>
        <v>-3.8210670908864507E-3</v>
      </c>
      <c r="E1739" s="33">
        <v>44928</v>
      </c>
      <c r="F1739" s="34">
        <v>61167.79</v>
      </c>
      <c r="G1739" s="34">
        <f t="shared" si="55"/>
        <v>5.361113412746905E-3</v>
      </c>
    </row>
    <row r="1740" spans="1:7" x14ac:dyDescent="0.3">
      <c r="A1740" s="33">
        <v>44929</v>
      </c>
      <c r="B1740" s="34">
        <v>1075.4000000000001</v>
      </c>
      <c r="C1740" s="34">
        <f t="shared" si="54"/>
        <v>4.1465803584263142E-3</v>
      </c>
      <c r="E1740" s="33">
        <v>44929</v>
      </c>
      <c r="F1740" s="34">
        <v>61294.2</v>
      </c>
      <c r="G1740" s="34">
        <f t="shared" si="55"/>
        <v>2.0644780457567901E-3</v>
      </c>
    </row>
    <row r="1741" spans="1:7" x14ac:dyDescent="0.3">
      <c r="A1741" s="33">
        <v>44930</v>
      </c>
      <c r="B1741" s="34">
        <v>1067.3499999999999</v>
      </c>
      <c r="C1741" s="34">
        <f t="shared" si="54"/>
        <v>-7.5137443684694253E-3</v>
      </c>
      <c r="E1741" s="33">
        <v>44930</v>
      </c>
      <c r="F1741" s="34">
        <v>60657.45</v>
      </c>
      <c r="G1741" s="34">
        <f t="shared" si="55"/>
        <v>-1.0442758035968112E-2</v>
      </c>
    </row>
    <row r="1742" spans="1:7" x14ac:dyDescent="0.3">
      <c r="A1742" s="33">
        <v>44931</v>
      </c>
      <c r="B1742" s="34">
        <v>1088.2</v>
      </c>
      <c r="C1742" s="34">
        <f t="shared" si="54"/>
        <v>1.9346014044716742E-2</v>
      </c>
      <c r="E1742" s="33">
        <v>44931</v>
      </c>
      <c r="F1742" s="34">
        <v>60353.27</v>
      </c>
      <c r="G1742" s="34">
        <f t="shared" si="55"/>
        <v>-5.0273337875464414E-3</v>
      </c>
    </row>
    <row r="1743" spans="1:7" x14ac:dyDescent="0.3">
      <c r="A1743" s="33">
        <v>44932</v>
      </c>
      <c r="B1743" s="34">
        <v>1076.45</v>
      </c>
      <c r="C1743" s="34">
        <f t="shared" si="54"/>
        <v>-1.0856365144487059E-2</v>
      </c>
      <c r="E1743" s="33">
        <v>44932</v>
      </c>
      <c r="F1743" s="34">
        <v>59900.37</v>
      </c>
      <c r="G1743" s="34">
        <f t="shared" si="55"/>
        <v>-7.5324479388074609E-3</v>
      </c>
    </row>
    <row r="1744" spans="1:7" x14ac:dyDescent="0.3">
      <c r="A1744" s="33">
        <v>44935</v>
      </c>
      <c r="B1744" s="34">
        <v>1087.3</v>
      </c>
      <c r="C1744" s="34">
        <f t="shared" si="54"/>
        <v>1.0028969096365761E-2</v>
      </c>
      <c r="E1744" s="33">
        <v>44935</v>
      </c>
      <c r="F1744" s="34">
        <v>60747.31</v>
      </c>
      <c r="G1744" s="34">
        <f t="shared" si="55"/>
        <v>1.4040119340956957E-2</v>
      </c>
    </row>
    <row r="1745" spans="1:7" x14ac:dyDescent="0.3">
      <c r="A1745" s="33">
        <v>44936</v>
      </c>
      <c r="B1745" s="34">
        <v>1078.8499999999999</v>
      </c>
      <c r="C1745" s="34">
        <f t="shared" si="54"/>
        <v>-7.8019000183097735E-3</v>
      </c>
      <c r="E1745" s="33">
        <v>44936</v>
      </c>
      <c r="F1745" s="34">
        <v>60115.48</v>
      </c>
      <c r="G1745" s="34">
        <f t="shared" si="55"/>
        <v>-1.0455422313891682E-2</v>
      </c>
    </row>
    <row r="1746" spans="1:7" x14ac:dyDescent="0.3">
      <c r="A1746" s="33">
        <v>44937</v>
      </c>
      <c r="B1746" s="34">
        <v>1047.75</v>
      </c>
      <c r="C1746" s="34">
        <f t="shared" si="54"/>
        <v>-2.925065118021309E-2</v>
      </c>
      <c r="E1746" s="33">
        <v>44937</v>
      </c>
      <c r="F1746" s="34">
        <v>60105.5</v>
      </c>
      <c r="G1746" s="34">
        <f t="shared" si="55"/>
        <v>-1.6602759390126941E-4</v>
      </c>
    </row>
    <row r="1747" spans="1:7" x14ac:dyDescent="0.3">
      <c r="A1747" s="33">
        <v>44938</v>
      </c>
      <c r="B1747" s="34">
        <v>1061.55</v>
      </c>
      <c r="C1747" s="34">
        <f t="shared" si="54"/>
        <v>1.3085096384722415E-2</v>
      </c>
      <c r="E1747" s="33">
        <v>44938</v>
      </c>
      <c r="F1747" s="34">
        <v>59958.03</v>
      </c>
      <c r="G1747" s="34">
        <f t="shared" si="55"/>
        <v>-2.4565340392656817E-3</v>
      </c>
    </row>
    <row r="1748" spans="1:7" x14ac:dyDescent="0.3">
      <c r="A1748" s="33">
        <v>44939</v>
      </c>
      <c r="B1748" s="34">
        <v>1068.25</v>
      </c>
      <c r="C1748" s="34">
        <f t="shared" si="54"/>
        <v>6.2916913342310303E-3</v>
      </c>
      <c r="E1748" s="33">
        <v>44939</v>
      </c>
      <c r="F1748" s="34">
        <v>60261.18</v>
      </c>
      <c r="G1748" s="34">
        <f t="shared" si="55"/>
        <v>5.043297864754011E-3</v>
      </c>
    </row>
    <row r="1749" spans="1:7" x14ac:dyDescent="0.3">
      <c r="A1749" s="33">
        <v>44942</v>
      </c>
      <c r="B1749" s="34">
        <v>1060</v>
      </c>
      <c r="C1749" s="34">
        <f t="shared" si="54"/>
        <v>-7.7528874180215505E-3</v>
      </c>
      <c r="E1749" s="33">
        <v>44942</v>
      </c>
      <c r="F1749" s="34">
        <v>60092.97</v>
      </c>
      <c r="G1749" s="34">
        <f t="shared" si="55"/>
        <v>-2.7952523369542486E-3</v>
      </c>
    </row>
    <row r="1750" spans="1:7" x14ac:dyDescent="0.3">
      <c r="A1750" s="33">
        <v>44943</v>
      </c>
      <c r="B1750" s="34">
        <v>1068.95</v>
      </c>
      <c r="C1750" s="34">
        <f t="shared" si="54"/>
        <v>8.4079501403042812E-3</v>
      </c>
      <c r="E1750" s="33">
        <v>44943</v>
      </c>
      <c r="F1750" s="34">
        <v>60655.72</v>
      </c>
      <c r="G1750" s="34">
        <f t="shared" si="55"/>
        <v>9.321079581443013E-3</v>
      </c>
    </row>
    <row r="1751" spans="1:7" x14ac:dyDescent="0.3">
      <c r="A1751" s="33">
        <v>44944</v>
      </c>
      <c r="B1751" s="34">
        <v>1063.5999999999999</v>
      </c>
      <c r="C1751" s="34">
        <f t="shared" si="54"/>
        <v>-5.0174778775523314E-3</v>
      </c>
      <c r="E1751" s="33">
        <v>44944</v>
      </c>
      <c r="F1751" s="34">
        <v>61045.74</v>
      </c>
      <c r="G1751" s="34">
        <f t="shared" si="55"/>
        <v>6.4094766852060879E-3</v>
      </c>
    </row>
    <row r="1752" spans="1:7" x14ac:dyDescent="0.3">
      <c r="A1752" s="33">
        <v>44945</v>
      </c>
      <c r="B1752" s="34">
        <v>1065</v>
      </c>
      <c r="C1752" s="34">
        <f t="shared" si="54"/>
        <v>1.3154187746607757E-3</v>
      </c>
      <c r="E1752" s="33">
        <v>44945</v>
      </c>
      <c r="F1752" s="34">
        <v>60858.43</v>
      </c>
      <c r="G1752" s="34">
        <f t="shared" si="55"/>
        <v>-3.0730720271403052E-3</v>
      </c>
    </row>
    <row r="1753" spans="1:7" x14ac:dyDescent="0.3">
      <c r="A1753" s="33">
        <v>44946</v>
      </c>
      <c r="B1753" s="34">
        <v>1053.8</v>
      </c>
      <c r="C1753" s="34">
        <f t="shared" si="54"/>
        <v>-1.0572120368340173E-2</v>
      </c>
      <c r="E1753" s="33">
        <v>44946</v>
      </c>
      <c r="F1753" s="34">
        <v>60621.77</v>
      </c>
      <c r="G1753" s="34">
        <f t="shared" si="55"/>
        <v>-3.8962777373458789E-3</v>
      </c>
    </row>
    <row r="1754" spans="1:7" x14ac:dyDescent="0.3">
      <c r="A1754" s="33">
        <v>44949</v>
      </c>
      <c r="B1754" s="34">
        <v>1062.5999999999999</v>
      </c>
      <c r="C1754" s="34">
        <f t="shared" si="54"/>
        <v>8.3160562416573856E-3</v>
      </c>
      <c r="E1754" s="33">
        <v>44949</v>
      </c>
      <c r="F1754" s="34">
        <v>60941.67</v>
      </c>
      <c r="G1754" s="34">
        <f t="shared" si="55"/>
        <v>5.2631076982284667E-3</v>
      </c>
    </row>
    <row r="1755" spans="1:7" x14ac:dyDescent="0.3">
      <c r="A1755" s="33">
        <v>44950</v>
      </c>
      <c r="B1755" s="34">
        <v>1061.5</v>
      </c>
      <c r="C1755" s="34">
        <f t="shared" si="54"/>
        <v>-1.0357328735319795E-3</v>
      </c>
      <c r="E1755" s="33">
        <v>44950</v>
      </c>
      <c r="F1755" s="34">
        <v>60978.75</v>
      </c>
      <c r="G1755" s="34">
        <f t="shared" si="55"/>
        <v>6.0826563988650563E-4</v>
      </c>
    </row>
    <row r="1756" spans="1:7" x14ac:dyDescent="0.3">
      <c r="A1756" s="33">
        <v>44951</v>
      </c>
      <c r="B1756" s="34">
        <v>1034.4000000000001</v>
      </c>
      <c r="C1756" s="34">
        <f t="shared" si="54"/>
        <v>-2.5861453685662953E-2</v>
      </c>
      <c r="E1756" s="33">
        <v>44951</v>
      </c>
      <c r="F1756" s="34">
        <v>60205.06</v>
      </c>
      <c r="G1756" s="34">
        <f t="shared" si="55"/>
        <v>-1.2769040887251892E-2</v>
      </c>
    </row>
    <row r="1757" spans="1:7" x14ac:dyDescent="0.3">
      <c r="A1757" s="33">
        <v>44953</v>
      </c>
      <c r="B1757" s="34">
        <v>1047.05</v>
      </c>
      <c r="C1757" s="34">
        <f t="shared" si="54"/>
        <v>1.2155137764513367E-2</v>
      </c>
      <c r="E1757" s="33">
        <v>44953</v>
      </c>
      <c r="F1757" s="34">
        <v>59330.9</v>
      </c>
      <c r="G1757" s="34">
        <f t="shared" si="55"/>
        <v>-1.4626152391616199E-2</v>
      </c>
    </row>
    <row r="1758" spans="1:7" x14ac:dyDescent="0.3">
      <c r="A1758" s="33">
        <v>44956</v>
      </c>
      <c r="B1758" s="34">
        <v>1034.8</v>
      </c>
      <c r="C1758" s="34">
        <f t="shared" si="54"/>
        <v>-1.1768514910287154E-2</v>
      </c>
      <c r="E1758" s="33">
        <v>44956</v>
      </c>
      <c r="F1758" s="34">
        <v>59500.41</v>
      </c>
      <c r="G1758" s="34">
        <f t="shared" si="55"/>
        <v>2.8529537371088467E-3</v>
      </c>
    </row>
    <row r="1759" spans="1:7" x14ac:dyDescent="0.3">
      <c r="A1759" s="33">
        <v>44957</v>
      </c>
      <c r="B1759" s="34">
        <v>1017</v>
      </c>
      <c r="C1759" s="34">
        <f t="shared" si="54"/>
        <v>-1.735105426331409E-2</v>
      </c>
      <c r="E1759" s="33">
        <v>44957</v>
      </c>
      <c r="F1759" s="34">
        <v>59549.9</v>
      </c>
      <c r="G1759" s="34">
        <f t="shared" si="55"/>
        <v>8.3141325462863678E-4</v>
      </c>
    </row>
    <row r="1760" spans="1:7" x14ac:dyDescent="0.3">
      <c r="A1760" s="33">
        <v>44958</v>
      </c>
      <c r="B1760" s="34">
        <v>1032.3</v>
      </c>
      <c r="C1760" s="34">
        <f t="shared" si="54"/>
        <v>1.4932205422984308E-2</v>
      </c>
      <c r="E1760" s="33">
        <v>44958</v>
      </c>
      <c r="F1760" s="34">
        <v>59708.08</v>
      </c>
      <c r="G1760" s="34">
        <f t="shared" si="55"/>
        <v>2.652738085277519E-3</v>
      </c>
    </row>
    <row r="1761" spans="1:7" x14ac:dyDescent="0.3">
      <c r="A1761" s="33">
        <v>44959</v>
      </c>
      <c r="B1761" s="34">
        <v>1024.95</v>
      </c>
      <c r="C1761" s="34">
        <f t="shared" si="54"/>
        <v>-7.1454915766473691E-3</v>
      </c>
      <c r="E1761" s="33">
        <v>44959</v>
      </c>
      <c r="F1761" s="34">
        <v>59932.24</v>
      </c>
      <c r="G1761" s="34">
        <f t="shared" si="55"/>
        <v>3.7472360873048874E-3</v>
      </c>
    </row>
    <row r="1762" spans="1:7" x14ac:dyDescent="0.3">
      <c r="A1762" s="33">
        <v>44960</v>
      </c>
      <c r="B1762" s="34">
        <v>1023</v>
      </c>
      <c r="C1762" s="34">
        <f t="shared" si="54"/>
        <v>-1.9043439432704979E-3</v>
      </c>
      <c r="E1762" s="33">
        <v>44960</v>
      </c>
      <c r="F1762" s="34">
        <v>60841.88</v>
      </c>
      <c r="G1762" s="34">
        <f t="shared" si="55"/>
        <v>1.5063776925526557E-2</v>
      </c>
    </row>
    <row r="1763" spans="1:7" x14ac:dyDescent="0.3">
      <c r="A1763" s="33">
        <v>44963</v>
      </c>
      <c r="B1763" s="34">
        <v>1029.75</v>
      </c>
      <c r="C1763" s="34">
        <f t="shared" si="54"/>
        <v>6.5765673645636347E-3</v>
      </c>
      <c r="E1763" s="33">
        <v>44963</v>
      </c>
      <c r="F1763" s="34">
        <v>60506.9</v>
      </c>
      <c r="G1763" s="34">
        <f t="shared" si="55"/>
        <v>-5.5209595164699846E-3</v>
      </c>
    </row>
    <row r="1764" spans="1:7" x14ac:dyDescent="0.3">
      <c r="A1764" s="33">
        <v>44964</v>
      </c>
      <c r="B1764" s="34">
        <v>1031.3499999999999</v>
      </c>
      <c r="C1764" s="34">
        <f t="shared" si="54"/>
        <v>1.5525693284131764E-3</v>
      </c>
      <c r="E1764" s="33">
        <v>44964</v>
      </c>
      <c r="F1764" s="34">
        <v>60286.04</v>
      </c>
      <c r="G1764" s="34">
        <f t="shared" si="55"/>
        <v>-3.6568403107079405E-3</v>
      </c>
    </row>
    <row r="1765" spans="1:7" x14ac:dyDescent="0.3">
      <c r="A1765" s="33">
        <v>44965</v>
      </c>
      <c r="B1765" s="34">
        <v>1039.3</v>
      </c>
      <c r="C1765" s="34">
        <f t="shared" si="54"/>
        <v>7.6787859497726724E-3</v>
      </c>
      <c r="E1765" s="33">
        <v>44965</v>
      </c>
      <c r="F1765" s="34">
        <v>60663.79</v>
      </c>
      <c r="G1765" s="34">
        <f t="shared" si="55"/>
        <v>6.2464118923139062E-3</v>
      </c>
    </row>
    <row r="1766" spans="1:7" x14ac:dyDescent="0.3">
      <c r="A1766" s="33">
        <v>44966</v>
      </c>
      <c r="B1766" s="34">
        <v>1021</v>
      </c>
      <c r="C1766" s="34">
        <f t="shared" si="54"/>
        <v>-1.776487042971037E-2</v>
      </c>
      <c r="E1766" s="33">
        <v>44966</v>
      </c>
      <c r="F1766" s="34">
        <v>60806.22</v>
      </c>
      <c r="G1766" s="34">
        <f t="shared" si="55"/>
        <v>2.3451066691240275E-3</v>
      </c>
    </row>
    <row r="1767" spans="1:7" x14ac:dyDescent="0.3">
      <c r="A1767" s="33">
        <v>44967</v>
      </c>
      <c r="B1767" s="34">
        <v>1032.95</v>
      </c>
      <c r="C1767" s="34">
        <f t="shared" si="54"/>
        <v>1.1636247072972165E-2</v>
      </c>
      <c r="E1767" s="33">
        <v>44967</v>
      </c>
      <c r="F1767" s="34">
        <v>60682.7</v>
      </c>
      <c r="G1767" s="34">
        <f t="shared" si="55"/>
        <v>-2.0334371654890135E-3</v>
      </c>
    </row>
    <row r="1768" spans="1:7" x14ac:dyDescent="0.3">
      <c r="A1768" s="33">
        <v>44970</v>
      </c>
      <c r="B1768" s="34">
        <v>1021.85</v>
      </c>
      <c r="C1768" s="34">
        <f t="shared" si="54"/>
        <v>-1.0804076283092762E-2</v>
      </c>
      <c r="E1768" s="33">
        <v>44970</v>
      </c>
      <c r="F1768" s="34">
        <v>60431.839999999997</v>
      </c>
      <c r="G1768" s="34">
        <f t="shared" si="55"/>
        <v>-4.1425308429762697E-3</v>
      </c>
    </row>
    <row r="1769" spans="1:7" x14ac:dyDescent="0.3">
      <c r="A1769" s="33">
        <v>44971</v>
      </c>
      <c r="B1769" s="34">
        <v>1028.55</v>
      </c>
      <c r="C1769" s="34">
        <f t="shared" si="54"/>
        <v>6.5353334439380946E-3</v>
      </c>
      <c r="E1769" s="33">
        <v>44971</v>
      </c>
      <c r="F1769" s="34">
        <v>61032.26</v>
      </c>
      <c r="G1769" s="34">
        <f t="shared" si="55"/>
        <v>9.8864584764729157E-3</v>
      </c>
    </row>
    <row r="1770" spans="1:7" x14ac:dyDescent="0.3">
      <c r="A1770" s="33">
        <v>44972</v>
      </c>
      <c r="B1770" s="34">
        <v>1030.4000000000001</v>
      </c>
      <c r="C1770" s="34">
        <f t="shared" si="54"/>
        <v>1.7970329516060826E-3</v>
      </c>
      <c r="E1770" s="33">
        <v>44972</v>
      </c>
      <c r="F1770" s="34">
        <v>61275.09</v>
      </c>
      <c r="G1770" s="34">
        <f t="shared" si="55"/>
        <v>3.9708213621967615E-3</v>
      </c>
    </row>
    <row r="1771" spans="1:7" x14ac:dyDescent="0.3">
      <c r="A1771" s="33">
        <v>44973</v>
      </c>
      <c r="B1771" s="34">
        <v>1035.8</v>
      </c>
      <c r="C1771" s="34">
        <f t="shared" si="54"/>
        <v>5.2269986397017803E-3</v>
      </c>
      <c r="E1771" s="33">
        <v>44973</v>
      </c>
      <c r="F1771" s="34">
        <v>61319.51</v>
      </c>
      <c r="G1771" s="34">
        <f t="shared" si="55"/>
        <v>7.2466490275919864E-4</v>
      </c>
    </row>
    <row r="1772" spans="1:7" x14ac:dyDescent="0.3">
      <c r="A1772" s="33">
        <v>44974</v>
      </c>
      <c r="B1772" s="34">
        <v>1025.8</v>
      </c>
      <c r="C1772" s="34">
        <f t="shared" si="54"/>
        <v>-9.7012790346229592E-3</v>
      </c>
      <c r="E1772" s="33">
        <v>44974</v>
      </c>
      <c r="F1772" s="34">
        <v>61002.57</v>
      </c>
      <c r="G1772" s="34">
        <f t="shared" si="55"/>
        <v>-5.1820686707459819E-3</v>
      </c>
    </row>
    <row r="1773" spans="1:7" x14ac:dyDescent="0.3">
      <c r="A1773" s="33">
        <v>44977</v>
      </c>
      <c r="B1773" s="34">
        <v>964.05</v>
      </c>
      <c r="C1773" s="34">
        <f t="shared" si="54"/>
        <v>-6.2084914469763157E-2</v>
      </c>
      <c r="E1773" s="33">
        <v>44977</v>
      </c>
      <c r="F1773" s="34">
        <v>60691.54</v>
      </c>
      <c r="G1773" s="34">
        <f t="shared" si="55"/>
        <v>-5.111680051708048E-3</v>
      </c>
    </row>
    <row r="1774" spans="1:7" x14ac:dyDescent="0.3">
      <c r="A1774" s="33">
        <v>44978</v>
      </c>
      <c r="B1774" s="34">
        <v>965.95</v>
      </c>
      <c r="C1774" s="34">
        <f t="shared" si="54"/>
        <v>1.9689125531581579E-3</v>
      </c>
      <c r="E1774" s="33">
        <v>44978</v>
      </c>
      <c r="F1774" s="34">
        <v>60672.72</v>
      </c>
      <c r="G1774" s="34">
        <f t="shared" si="55"/>
        <v>-3.101407309014059E-4</v>
      </c>
    </row>
    <row r="1775" spans="1:7" x14ac:dyDescent="0.3">
      <c r="A1775" s="33">
        <v>44979</v>
      </c>
      <c r="B1775" s="34">
        <v>963.15</v>
      </c>
      <c r="C1775" s="34">
        <f t="shared" si="54"/>
        <v>-2.9029101303960306E-3</v>
      </c>
      <c r="E1775" s="33">
        <v>44979</v>
      </c>
      <c r="F1775" s="34">
        <v>59744.98</v>
      </c>
      <c r="G1775" s="34">
        <f t="shared" si="55"/>
        <v>-1.5409003105136203E-2</v>
      </c>
    </row>
    <row r="1776" spans="1:7" x14ac:dyDescent="0.3">
      <c r="A1776" s="33">
        <v>44980</v>
      </c>
      <c r="B1776" s="34">
        <v>960.5</v>
      </c>
      <c r="C1776" s="34">
        <f t="shared" si="54"/>
        <v>-2.7551806995557131E-3</v>
      </c>
      <c r="E1776" s="33">
        <v>44980</v>
      </c>
      <c r="F1776" s="34">
        <v>59605.8</v>
      </c>
      <c r="G1776" s="34">
        <f t="shared" si="55"/>
        <v>-2.3322857729088488E-3</v>
      </c>
    </row>
    <row r="1777" spans="1:7" x14ac:dyDescent="0.3">
      <c r="A1777" s="33">
        <v>44981</v>
      </c>
      <c r="B1777" s="34">
        <v>963.2</v>
      </c>
      <c r="C1777" s="34">
        <f t="shared" si="54"/>
        <v>2.8070923459452383E-3</v>
      </c>
      <c r="E1777" s="33">
        <v>44981</v>
      </c>
      <c r="F1777" s="34">
        <v>59463.93</v>
      </c>
      <c r="G1777" s="34">
        <f t="shared" si="55"/>
        <v>-2.3829745332396937E-3</v>
      </c>
    </row>
    <row r="1778" spans="1:7" x14ac:dyDescent="0.3">
      <c r="A1778" s="33">
        <v>44984</v>
      </c>
      <c r="B1778" s="34">
        <v>950.35</v>
      </c>
      <c r="C1778" s="34">
        <f t="shared" si="54"/>
        <v>-1.343073675771009E-2</v>
      </c>
      <c r="E1778" s="33">
        <v>44984</v>
      </c>
      <c r="F1778" s="34">
        <v>59288.35</v>
      </c>
      <c r="G1778" s="34">
        <f t="shared" si="55"/>
        <v>-2.9570822209760142E-3</v>
      </c>
    </row>
    <row r="1779" spans="1:7" x14ac:dyDescent="0.3">
      <c r="A1779" s="33">
        <v>44985</v>
      </c>
      <c r="B1779" s="34">
        <v>906.05</v>
      </c>
      <c r="C1779" s="34">
        <f t="shared" si="54"/>
        <v>-4.7735845638679879E-2</v>
      </c>
      <c r="E1779" s="33">
        <v>44985</v>
      </c>
      <c r="F1779" s="34">
        <v>58962.12</v>
      </c>
      <c r="G1779" s="34">
        <f t="shared" si="55"/>
        <v>-5.5176242030985853E-3</v>
      </c>
    </row>
    <row r="1780" spans="1:7" x14ac:dyDescent="0.3">
      <c r="A1780" s="33">
        <v>44986</v>
      </c>
      <c r="B1780" s="34">
        <v>899.85</v>
      </c>
      <c r="C1780" s="34">
        <f t="shared" si="54"/>
        <v>-6.8664093909549025E-3</v>
      </c>
      <c r="E1780" s="33">
        <v>44986</v>
      </c>
      <c r="F1780" s="34">
        <v>59411.08</v>
      </c>
      <c r="G1780" s="34">
        <f t="shared" si="55"/>
        <v>7.5855371448118377E-3</v>
      </c>
    </row>
    <row r="1781" spans="1:7" x14ac:dyDescent="0.3">
      <c r="A1781" s="33">
        <v>44987</v>
      </c>
      <c r="B1781" s="34">
        <v>886.7</v>
      </c>
      <c r="C1781" s="34">
        <f t="shared" si="54"/>
        <v>-1.4721376381250454E-2</v>
      </c>
      <c r="E1781" s="33">
        <v>44987</v>
      </c>
      <c r="F1781" s="34">
        <v>58909.35</v>
      </c>
      <c r="G1781" s="34">
        <f t="shared" si="55"/>
        <v>-8.4809192678229183E-3</v>
      </c>
    </row>
    <row r="1782" spans="1:7" x14ac:dyDescent="0.3">
      <c r="A1782" s="33">
        <v>44988</v>
      </c>
      <c r="B1782" s="34">
        <v>878.85</v>
      </c>
      <c r="C1782" s="34">
        <f t="shared" si="54"/>
        <v>-8.8924717270540219E-3</v>
      </c>
      <c r="E1782" s="33">
        <v>44988</v>
      </c>
      <c r="F1782" s="34">
        <v>59808.97</v>
      </c>
      <c r="G1782" s="34">
        <f t="shared" si="55"/>
        <v>1.5155828015330539E-2</v>
      </c>
    </row>
    <row r="1783" spans="1:7" x14ac:dyDescent="0.3">
      <c r="A1783" s="33">
        <v>44991</v>
      </c>
      <c r="B1783" s="34">
        <v>881.05</v>
      </c>
      <c r="C1783" s="34">
        <f t="shared" si="54"/>
        <v>2.5001433558322367E-3</v>
      </c>
      <c r="E1783" s="33">
        <v>44991</v>
      </c>
      <c r="F1783" s="34">
        <v>60224.46</v>
      </c>
      <c r="G1783" s="34">
        <f t="shared" si="55"/>
        <v>6.9229323769361807E-3</v>
      </c>
    </row>
    <row r="1784" spans="1:7" x14ac:dyDescent="0.3">
      <c r="A1784" s="33">
        <v>44993</v>
      </c>
      <c r="B1784" s="34">
        <v>877.55</v>
      </c>
      <c r="C1784" s="34">
        <f t="shared" si="54"/>
        <v>-3.9804442410404641E-3</v>
      </c>
      <c r="E1784" s="33">
        <v>44993</v>
      </c>
      <c r="F1784" s="34">
        <v>60348.09</v>
      </c>
      <c r="G1784" s="34">
        <f t="shared" si="55"/>
        <v>2.0507162422376641E-3</v>
      </c>
    </row>
    <row r="1785" spans="1:7" x14ac:dyDescent="0.3">
      <c r="A1785" s="33">
        <v>44994</v>
      </c>
      <c r="B1785" s="34">
        <v>881.3</v>
      </c>
      <c r="C1785" s="34">
        <f t="shared" si="54"/>
        <v>4.26415633191554E-3</v>
      </c>
      <c r="E1785" s="33">
        <v>44994</v>
      </c>
      <c r="F1785" s="34">
        <v>59806.28</v>
      </c>
      <c r="G1785" s="34">
        <f t="shared" si="55"/>
        <v>-9.0186261617607767E-3</v>
      </c>
    </row>
    <row r="1786" spans="1:7" x14ac:dyDescent="0.3">
      <c r="A1786" s="33">
        <v>44995</v>
      </c>
      <c r="B1786" s="34">
        <v>881.6</v>
      </c>
      <c r="C1786" s="34">
        <f t="shared" si="54"/>
        <v>3.4034829303528893E-4</v>
      </c>
      <c r="E1786" s="33">
        <v>44995</v>
      </c>
      <c r="F1786" s="34">
        <v>59135.13</v>
      </c>
      <c r="G1786" s="34">
        <f t="shared" si="55"/>
        <v>-1.1285508104774833E-2</v>
      </c>
    </row>
    <row r="1787" spans="1:7" x14ac:dyDescent="0.3">
      <c r="A1787" s="33">
        <v>44998</v>
      </c>
      <c r="B1787" s="34">
        <v>875.15</v>
      </c>
      <c r="C1787" s="34">
        <f t="shared" si="54"/>
        <v>-7.3431381618055697E-3</v>
      </c>
      <c r="E1787" s="33">
        <v>44998</v>
      </c>
      <c r="F1787" s="34">
        <v>58237.85</v>
      </c>
      <c r="G1787" s="34">
        <f t="shared" si="55"/>
        <v>-1.5289677062129931E-2</v>
      </c>
    </row>
    <row r="1788" spans="1:7" x14ac:dyDescent="0.3">
      <c r="A1788" s="33">
        <v>44999</v>
      </c>
      <c r="B1788" s="34">
        <v>872.2</v>
      </c>
      <c r="C1788" s="34">
        <f t="shared" si="54"/>
        <v>-3.3765448281784321E-3</v>
      </c>
      <c r="E1788" s="33">
        <v>44999</v>
      </c>
      <c r="F1788" s="34">
        <v>57900.19</v>
      </c>
      <c r="G1788" s="34">
        <f t="shared" si="55"/>
        <v>-5.8148209047920495E-3</v>
      </c>
    </row>
    <row r="1789" spans="1:7" x14ac:dyDescent="0.3">
      <c r="A1789" s="33">
        <v>45000</v>
      </c>
      <c r="B1789" s="34">
        <v>878.15</v>
      </c>
      <c r="C1789" s="34">
        <f t="shared" si="54"/>
        <v>6.7986664590783926E-3</v>
      </c>
      <c r="E1789" s="33">
        <v>45000</v>
      </c>
      <c r="F1789" s="34">
        <v>57555.9</v>
      </c>
      <c r="G1789" s="34">
        <f t="shared" si="55"/>
        <v>-5.9640166320863346E-3</v>
      </c>
    </row>
    <row r="1790" spans="1:7" x14ac:dyDescent="0.3">
      <c r="A1790" s="33">
        <v>45001</v>
      </c>
      <c r="B1790" s="34">
        <v>883.8</v>
      </c>
      <c r="C1790" s="34">
        <f t="shared" si="54"/>
        <v>6.4133708288948545E-3</v>
      </c>
      <c r="E1790" s="33">
        <v>45001</v>
      </c>
      <c r="F1790" s="34">
        <v>57634.84</v>
      </c>
      <c r="G1790" s="34">
        <f t="shared" si="55"/>
        <v>1.3705964968646139E-3</v>
      </c>
    </row>
    <row r="1791" spans="1:7" x14ac:dyDescent="0.3">
      <c r="A1791" s="33">
        <v>45002</v>
      </c>
      <c r="B1791" s="34">
        <v>874.3</v>
      </c>
      <c r="C1791" s="34">
        <f t="shared" si="54"/>
        <v>-1.0807226509794269E-2</v>
      </c>
      <c r="E1791" s="33">
        <v>45002</v>
      </c>
      <c r="F1791" s="34">
        <v>57989.9</v>
      </c>
      <c r="G1791" s="34">
        <f t="shared" si="55"/>
        <v>6.1416114934094513E-3</v>
      </c>
    </row>
    <row r="1792" spans="1:7" x14ac:dyDescent="0.3">
      <c r="A1792" s="33">
        <v>45005</v>
      </c>
      <c r="B1792" s="34">
        <v>867.25</v>
      </c>
      <c r="C1792" s="34">
        <f t="shared" si="54"/>
        <v>-8.0962803369861499E-3</v>
      </c>
      <c r="E1792" s="33">
        <v>45005</v>
      </c>
      <c r="F1792" s="34">
        <v>57628.95</v>
      </c>
      <c r="G1792" s="34">
        <f t="shared" si="55"/>
        <v>-6.2438118462718219E-3</v>
      </c>
    </row>
    <row r="1793" spans="1:7" x14ac:dyDescent="0.3">
      <c r="A1793" s="33">
        <v>45006</v>
      </c>
      <c r="B1793" s="34">
        <v>862.7</v>
      </c>
      <c r="C1793" s="34">
        <f t="shared" si="54"/>
        <v>-5.2602797673259255E-3</v>
      </c>
      <c r="E1793" s="33">
        <v>45006</v>
      </c>
      <c r="F1793" s="34">
        <v>58074.68</v>
      </c>
      <c r="G1793" s="34">
        <f t="shared" si="55"/>
        <v>7.7047229197198903E-3</v>
      </c>
    </row>
    <row r="1794" spans="1:7" x14ac:dyDescent="0.3">
      <c r="A1794" s="33">
        <v>45007</v>
      </c>
      <c r="B1794" s="34">
        <v>863.4</v>
      </c>
      <c r="C1794" s="34">
        <f t="shared" si="54"/>
        <v>8.1107703884388286E-4</v>
      </c>
      <c r="E1794" s="33">
        <v>45007</v>
      </c>
      <c r="F1794" s="34">
        <v>58214.59</v>
      </c>
      <c r="G1794" s="34">
        <f t="shared" si="55"/>
        <v>2.4062420807453053E-3</v>
      </c>
    </row>
    <row r="1795" spans="1:7" x14ac:dyDescent="0.3">
      <c r="A1795" s="33">
        <v>45008</v>
      </c>
      <c r="B1795" s="34">
        <v>869.5</v>
      </c>
      <c r="C1795" s="34">
        <f t="shared" si="54"/>
        <v>7.0402506729606486E-3</v>
      </c>
      <c r="E1795" s="33">
        <v>45008</v>
      </c>
      <c r="F1795" s="34">
        <v>57925.279999999999</v>
      </c>
      <c r="G1795" s="34">
        <f t="shared" si="55"/>
        <v>-4.9821064621934441E-3</v>
      </c>
    </row>
    <row r="1796" spans="1:7" x14ac:dyDescent="0.3">
      <c r="A1796" s="33">
        <v>45009</v>
      </c>
      <c r="B1796" s="34">
        <v>877</v>
      </c>
      <c r="C1796" s="34">
        <f t="shared" si="54"/>
        <v>8.5886585778453574E-3</v>
      </c>
      <c r="E1796" s="33">
        <v>45009</v>
      </c>
      <c r="F1796" s="34">
        <v>57527.1</v>
      </c>
      <c r="G1796" s="34">
        <f t="shared" si="55"/>
        <v>-6.8977630214939866E-3</v>
      </c>
    </row>
    <row r="1797" spans="1:7" x14ac:dyDescent="0.3">
      <c r="A1797" s="33">
        <v>45012</v>
      </c>
      <c r="B1797" s="34">
        <v>889.45</v>
      </c>
      <c r="C1797" s="34">
        <f t="shared" si="54"/>
        <v>1.4096301799095779E-2</v>
      </c>
      <c r="E1797" s="33">
        <v>45012</v>
      </c>
      <c r="F1797" s="34">
        <v>57653.86</v>
      </c>
      <c r="G1797" s="34">
        <f t="shared" si="55"/>
        <v>2.2010591190725834E-3</v>
      </c>
    </row>
    <row r="1798" spans="1:7" x14ac:dyDescent="0.3">
      <c r="A1798" s="33">
        <v>45013</v>
      </c>
      <c r="B1798" s="34">
        <v>889.55</v>
      </c>
      <c r="C1798" s="34">
        <f t="shared" si="54"/>
        <v>1.1242270950555841E-4</v>
      </c>
      <c r="E1798" s="33">
        <v>45013</v>
      </c>
      <c r="F1798" s="34">
        <v>57613.72</v>
      </c>
      <c r="G1798" s="34">
        <f t="shared" si="55"/>
        <v>-6.9646645869621889E-4</v>
      </c>
    </row>
    <row r="1799" spans="1:7" x14ac:dyDescent="0.3">
      <c r="A1799" s="33">
        <v>45014</v>
      </c>
      <c r="B1799" s="34">
        <v>887.85</v>
      </c>
      <c r="C1799" s="34">
        <f t="shared" ref="C1799:C1862" si="56">LN(B1799/B1798)</f>
        <v>-1.912907075940691E-3</v>
      </c>
      <c r="E1799" s="33">
        <v>45014</v>
      </c>
      <c r="F1799" s="34">
        <v>57960.09</v>
      </c>
      <c r="G1799" s="34">
        <f t="shared" ref="G1799:G1862" si="57">LN(F1799/F1798)</f>
        <v>5.993936463809804E-3</v>
      </c>
    </row>
    <row r="1800" spans="1:7" x14ac:dyDescent="0.3">
      <c r="A1800" s="33">
        <v>45016</v>
      </c>
      <c r="B1800" s="34">
        <v>900.65</v>
      </c>
      <c r="C1800" s="34">
        <f t="shared" si="56"/>
        <v>1.4313915064723667E-2</v>
      </c>
      <c r="E1800" s="33">
        <v>45016</v>
      </c>
      <c r="F1800" s="34">
        <v>58991.519999999997</v>
      </c>
      <c r="G1800" s="34">
        <f t="shared" si="57"/>
        <v>1.763903451587736E-2</v>
      </c>
    </row>
    <row r="1801" spans="1:7" x14ac:dyDescent="0.3">
      <c r="A1801" s="33">
        <v>45019</v>
      </c>
      <c r="B1801" s="34">
        <v>891.5</v>
      </c>
      <c r="C1801" s="34">
        <f t="shared" si="56"/>
        <v>-1.0211287566372259E-2</v>
      </c>
      <c r="E1801" s="33">
        <v>45019</v>
      </c>
      <c r="F1801" s="34">
        <v>59106.44</v>
      </c>
      <c r="G1801" s="34">
        <f t="shared" si="57"/>
        <v>1.9461815644029961E-3</v>
      </c>
    </row>
    <row r="1802" spans="1:7" x14ac:dyDescent="0.3">
      <c r="A1802" s="33">
        <v>45021</v>
      </c>
      <c r="B1802" s="34">
        <v>895.65</v>
      </c>
      <c r="C1802" s="34">
        <f t="shared" si="56"/>
        <v>4.6442743579160331E-3</v>
      </c>
      <c r="E1802" s="33">
        <v>45021</v>
      </c>
      <c r="F1802" s="34">
        <v>59689.31</v>
      </c>
      <c r="G1802" s="34">
        <f t="shared" si="57"/>
        <v>9.8130560619098701E-3</v>
      </c>
    </row>
    <row r="1803" spans="1:7" x14ac:dyDescent="0.3">
      <c r="A1803" s="33">
        <v>45022</v>
      </c>
      <c r="B1803" s="34">
        <v>892.7</v>
      </c>
      <c r="C1803" s="34">
        <f t="shared" si="56"/>
        <v>-3.2991334757946607E-3</v>
      </c>
      <c r="E1803" s="33">
        <v>45022</v>
      </c>
      <c r="F1803" s="34">
        <v>59832.97</v>
      </c>
      <c r="G1803" s="34">
        <f t="shared" si="57"/>
        <v>2.4039044298910413E-3</v>
      </c>
    </row>
    <row r="1804" spans="1:7" x14ac:dyDescent="0.3">
      <c r="A1804" s="33">
        <v>45026</v>
      </c>
      <c r="B1804" s="34">
        <v>901.85</v>
      </c>
      <c r="C1804" s="34">
        <f t="shared" si="56"/>
        <v>1.0197630930891821E-2</v>
      </c>
      <c r="E1804" s="33">
        <v>45026</v>
      </c>
      <c r="F1804" s="34">
        <v>59846.51</v>
      </c>
      <c r="G1804" s="34">
        <f t="shared" si="57"/>
        <v>2.2627103757079853E-4</v>
      </c>
    </row>
    <row r="1805" spans="1:7" x14ac:dyDescent="0.3">
      <c r="A1805" s="33">
        <v>45027</v>
      </c>
      <c r="B1805" s="34">
        <v>907.2</v>
      </c>
      <c r="C1805" s="34">
        <f t="shared" si="56"/>
        <v>5.9147238572793848E-3</v>
      </c>
      <c r="E1805" s="33">
        <v>45027</v>
      </c>
      <c r="F1805" s="34">
        <v>60157.72</v>
      </c>
      <c r="G1805" s="34">
        <f t="shared" si="57"/>
        <v>5.1866621312722542E-3</v>
      </c>
    </row>
    <row r="1806" spans="1:7" x14ac:dyDescent="0.3">
      <c r="A1806" s="33">
        <v>45028</v>
      </c>
      <c r="B1806" s="34">
        <v>918.15</v>
      </c>
      <c r="C1806" s="34">
        <f t="shared" si="56"/>
        <v>1.1997842991700909E-2</v>
      </c>
      <c r="E1806" s="33">
        <v>45028</v>
      </c>
      <c r="F1806" s="34">
        <v>60392.77</v>
      </c>
      <c r="G1806" s="34">
        <f t="shared" si="57"/>
        <v>3.8996158019283132E-3</v>
      </c>
    </row>
    <row r="1807" spans="1:7" x14ac:dyDescent="0.3">
      <c r="A1807" s="33">
        <v>45029</v>
      </c>
      <c r="B1807" s="34">
        <v>915.65</v>
      </c>
      <c r="C1807" s="34">
        <f t="shared" si="56"/>
        <v>-2.7265803782308843E-3</v>
      </c>
      <c r="E1807" s="33">
        <v>45029</v>
      </c>
      <c r="F1807" s="34">
        <v>60431</v>
      </c>
      <c r="G1807" s="34">
        <f t="shared" si="57"/>
        <v>6.3282251953927597E-4</v>
      </c>
    </row>
    <row r="1808" spans="1:7" x14ac:dyDescent="0.3">
      <c r="A1808" s="33">
        <v>45033</v>
      </c>
      <c r="B1808" s="34">
        <v>906.95</v>
      </c>
      <c r="C1808" s="34">
        <f t="shared" si="56"/>
        <v>-9.5468737829790904E-3</v>
      </c>
      <c r="E1808" s="33">
        <v>45033</v>
      </c>
      <c r="F1808" s="34">
        <v>59910.75</v>
      </c>
      <c r="G1808" s="34">
        <f t="shared" si="57"/>
        <v>-8.6462635130574259E-3</v>
      </c>
    </row>
    <row r="1809" spans="1:7" x14ac:dyDescent="0.3">
      <c r="A1809" s="33">
        <v>45034</v>
      </c>
      <c r="B1809" s="34">
        <v>924.5</v>
      </c>
      <c r="C1809" s="34">
        <f t="shared" si="56"/>
        <v>1.9165729023201038E-2</v>
      </c>
      <c r="E1809" s="33">
        <v>45034</v>
      </c>
      <c r="F1809" s="34">
        <v>59727.01</v>
      </c>
      <c r="G1809" s="34">
        <f t="shared" si="57"/>
        <v>-3.0716079014202324E-3</v>
      </c>
    </row>
    <row r="1810" spans="1:7" x14ac:dyDescent="0.3">
      <c r="A1810" s="33">
        <v>45035</v>
      </c>
      <c r="B1810" s="34">
        <v>911.7</v>
      </c>
      <c r="C1810" s="34">
        <f t="shared" si="56"/>
        <v>-1.3942062236322366E-2</v>
      </c>
      <c r="E1810" s="33">
        <v>45035</v>
      </c>
      <c r="F1810" s="34">
        <v>59567.8</v>
      </c>
      <c r="G1810" s="34">
        <f t="shared" si="57"/>
        <v>-2.6691872768831904E-3</v>
      </c>
    </row>
    <row r="1811" spans="1:7" x14ac:dyDescent="0.3">
      <c r="A1811" s="33">
        <v>45036</v>
      </c>
      <c r="B1811" s="34">
        <v>903.6</v>
      </c>
      <c r="C1811" s="34">
        <f t="shared" si="56"/>
        <v>-8.9242039970088907E-3</v>
      </c>
      <c r="E1811" s="33">
        <v>45036</v>
      </c>
      <c r="F1811" s="34">
        <v>59632.35</v>
      </c>
      <c r="G1811" s="34">
        <f t="shared" si="57"/>
        <v>1.0830524342423486E-3</v>
      </c>
    </row>
    <row r="1812" spans="1:7" x14ac:dyDescent="0.3">
      <c r="A1812" s="33">
        <v>45037</v>
      </c>
      <c r="B1812" s="34">
        <v>915.2</v>
      </c>
      <c r="C1812" s="34">
        <f t="shared" si="56"/>
        <v>1.2755836031685164E-2</v>
      </c>
      <c r="E1812" s="33">
        <v>45037</v>
      </c>
      <c r="F1812" s="34">
        <v>59655.06</v>
      </c>
      <c r="G1812" s="34">
        <f t="shared" si="57"/>
        <v>3.8076105893103802E-4</v>
      </c>
    </row>
    <row r="1813" spans="1:7" x14ac:dyDescent="0.3">
      <c r="A1813" s="33">
        <v>45040</v>
      </c>
      <c r="B1813" s="34">
        <v>903</v>
      </c>
      <c r="C1813" s="34">
        <f t="shared" si="56"/>
        <v>-1.3420067208548036E-2</v>
      </c>
      <c r="E1813" s="33">
        <v>45040</v>
      </c>
      <c r="F1813" s="34">
        <v>60056.1</v>
      </c>
      <c r="G1813" s="34">
        <f t="shared" si="57"/>
        <v>6.7001522713650841E-3</v>
      </c>
    </row>
    <row r="1814" spans="1:7" x14ac:dyDescent="0.3">
      <c r="A1814" s="33">
        <v>45041</v>
      </c>
      <c r="B1814" s="34">
        <v>910.9</v>
      </c>
      <c r="C1814" s="34">
        <f t="shared" si="56"/>
        <v>8.710568333778616E-3</v>
      </c>
      <c r="E1814" s="33">
        <v>45041</v>
      </c>
      <c r="F1814" s="34">
        <v>60130.71</v>
      </c>
      <c r="G1814" s="34">
        <f t="shared" si="57"/>
        <v>1.241567349765141E-3</v>
      </c>
    </row>
    <row r="1815" spans="1:7" x14ac:dyDescent="0.3">
      <c r="A1815" s="33">
        <v>45042</v>
      </c>
      <c r="B1815" s="34">
        <v>912</v>
      </c>
      <c r="C1815" s="34">
        <f t="shared" si="56"/>
        <v>1.2068683235673262E-3</v>
      </c>
      <c r="E1815" s="33">
        <v>45042</v>
      </c>
      <c r="F1815" s="34">
        <v>60300.58</v>
      </c>
      <c r="G1815" s="34">
        <f t="shared" si="57"/>
        <v>2.821029529037569E-3</v>
      </c>
    </row>
    <row r="1816" spans="1:7" x14ac:dyDescent="0.3">
      <c r="A1816" s="33">
        <v>45043</v>
      </c>
      <c r="B1816" s="34">
        <v>913.95</v>
      </c>
      <c r="C1816" s="34">
        <f t="shared" si="56"/>
        <v>2.135875288281657E-3</v>
      </c>
      <c r="E1816" s="33">
        <v>45043</v>
      </c>
      <c r="F1816" s="34">
        <v>60649.38</v>
      </c>
      <c r="G1816" s="34">
        <f t="shared" si="57"/>
        <v>5.7676904885056602E-3</v>
      </c>
    </row>
    <row r="1817" spans="1:7" x14ac:dyDescent="0.3">
      <c r="A1817" s="33">
        <v>45044</v>
      </c>
      <c r="B1817" s="34">
        <v>907.7</v>
      </c>
      <c r="C1817" s="34">
        <f t="shared" si="56"/>
        <v>-6.8619378300314657E-3</v>
      </c>
      <c r="E1817" s="33">
        <v>45044</v>
      </c>
      <c r="F1817" s="34">
        <v>61112.44</v>
      </c>
      <c r="G1817" s="34">
        <f t="shared" si="57"/>
        <v>7.6060333592288124E-3</v>
      </c>
    </row>
    <row r="1818" spans="1:7" x14ac:dyDescent="0.3">
      <c r="A1818" s="33">
        <v>45048</v>
      </c>
      <c r="B1818" s="34">
        <v>916.15</v>
      </c>
      <c r="C1818" s="34">
        <f t="shared" si="56"/>
        <v>9.2661791936023974E-3</v>
      </c>
      <c r="E1818" s="33">
        <v>45048</v>
      </c>
      <c r="F1818" s="34">
        <v>61354.71</v>
      </c>
      <c r="G1818" s="34">
        <f t="shared" si="57"/>
        <v>3.9564947177770822E-3</v>
      </c>
    </row>
    <row r="1819" spans="1:7" x14ac:dyDescent="0.3">
      <c r="A1819" s="33">
        <v>45049</v>
      </c>
      <c r="B1819" s="34">
        <v>921</v>
      </c>
      <c r="C1819" s="34">
        <f t="shared" si="56"/>
        <v>5.2799295291227578E-3</v>
      </c>
      <c r="E1819" s="33">
        <v>45049</v>
      </c>
      <c r="F1819" s="34">
        <v>61193.3</v>
      </c>
      <c r="G1819" s="34">
        <f t="shared" si="57"/>
        <v>-2.6342344251512107E-3</v>
      </c>
    </row>
    <row r="1820" spans="1:7" x14ac:dyDescent="0.3">
      <c r="A1820" s="33">
        <v>45050</v>
      </c>
      <c r="B1820" s="34">
        <v>933.95</v>
      </c>
      <c r="C1820" s="34">
        <f t="shared" si="56"/>
        <v>1.3962867350005214E-2</v>
      </c>
      <c r="E1820" s="33">
        <v>45050</v>
      </c>
      <c r="F1820" s="34">
        <v>61749.25</v>
      </c>
      <c r="G1820" s="34">
        <f t="shared" si="57"/>
        <v>9.0441232842987957E-3</v>
      </c>
    </row>
    <row r="1821" spans="1:7" x14ac:dyDescent="0.3">
      <c r="A1821" s="33">
        <v>45051</v>
      </c>
      <c r="B1821" s="34">
        <v>924.5</v>
      </c>
      <c r="C1821" s="34">
        <f t="shared" si="56"/>
        <v>-1.0169852778132631E-2</v>
      </c>
      <c r="E1821" s="33">
        <v>45051</v>
      </c>
      <c r="F1821" s="34">
        <v>61054.29</v>
      </c>
      <c r="G1821" s="34">
        <f t="shared" si="57"/>
        <v>-1.1318361327194357E-2</v>
      </c>
    </row>
    <row r="1822" spans="1:7" x14ac:dyDescent="0.3">
      <c r="A1822" s="33">
        <v>45054</v>
      </c>
      <c r="B1822" s="34">
        <v>932.7</v>
      </c>
      <c r="C1822" s="34">
        <f t="shared" si="56"/>
        <v>8.8305549056382805E-3</v>
      </c>
      <c r="E1822" s="33">
        <v>45054</v>
      </c>
      <c r="F1822" s="34">
        <v>61764.25</v>
      </c>
      <c r="G1822" s="34">
        <f t="shared" si="57"/>
        <v>1.1561249757588515E-2</v>
      </c>
    </row>
    <row r="1823" spans="1:7" x14ac:dyDescent="0.3">
      <c r="A1823" s="33">
        <v>45055</v>
      </c>
      <c r="B1823" s="34">
        <v>939.05</v>
      </c>
      <c r="C1823" s="34">
        <f t="shared" si="56"/>
        <v>6.7851201941285348E-3</v>
      </c>
      <c r="E1823" s="33">
        <v>45055</v>
      </c>
      <c r="F1823" s="34">
        <v>61761.33</v>
      </c>
      <c r="G1823" s="34">
        <f t="shared" si="57"/>
        <v>-4.7277656992860826E-5</v>
      </c>
    </row>
    <row r="1824" spans="1:7" x14ac:dyDescent="0.3">
      <c r="A1824" s="33">
        <v>45056</v>
      </c>
      <c r="B1824" s="34">
        <v>943.95</v>
      </c>
      <c r="C1824" s="34">
        <f t="shared" si="56"/>
        <v>5.2044727141058802E-3</v>
      </c>
      <c r="E1824" s="33">
        <v>45056</v>
      </c>
      <c r="F1824" s="34">
        <v>61940.2</v>
      </c>
      <c r="G1824" s="34">
        <f t="shared" si="57"/>
        <v>2.8919630123275591E-3</v>
      </c>
    </row>
    <row r="1825" spans="1:7" x14ac:dyDescent="0.3">
      <c r="A1825" s="33">
        <v>45057</v>
      </c>
      <c r="B1825" s="34">
        <v>943.7</v>
      </c>
      <c r="C1825" s="34">
        <f t="shared" si="56"/>
        <v>-2.6487961376491182E-4</v>
      </c>
      <c r="E1825" s="33">
        <v>45057</v>
      </c>
      <c r="F1825" s="34">
        <v>61904.52</v>
      </c>
      <c r="G1825" s="34">
        <f t="shared" si="57"/>
        <v>-5.7620544480511992E-4</v>
      </c>
    </row>
    <row r="1826" spans="1:7" x14ac:dyDescent="0.3">
      <c r="A1826" s="33">
        <v>45058</v>
      </c>
      <c r="B1826" s="34">
        <v>934.9</v>
      </c>
      <c r="C1826" s="34">
        <f t="shared" si="56"/>
        <v>-9.3687473300174511E-3</v>
      </c>
      <c r="E1826" s="33">
        <v>45058</v>
      </c>
      <c r="F1826" s="34">
        <v>62027.9</v>
      </c>
      <c r="G1826" s="34">
        <f t="shared" si="57"/>
        <v>1.9910857991940786E-3</v>
      </c>
    </row>
    <row r="1827" spans="1:7" x14ac:dyDescent="0.3">
      <c r="A1827" s="33">
        <v>45061</v>
      </c>
      <c r="B1827" s="34">
        <v>922.8</v>
      </c>
      <c r="C1827" s="34">
        <f t="shared" si="56"/>
        <v>-1.3027045397671383E-2</v>
      </c>
      <c r="E1827" s="33">
        <v>45061</v>
      </c>
      <c r="F1827" s="34">
        <v>62345.71</v>
      </c>
      <c r="G1827" s="34">
        <f t="shared" si="57"/>
        <v>5.1105808010898758E-3</v>
      </c>
    </row>
    <row r="1828" spans="1:7" x14ac:dyDescent="0.3">
      <c r="A1828" s="33">
        <v>45062</v>
      </c>
      <c r="B1828" s="34">
        <v>922</v>
      </c>
      <c r="C1828" s="34">
        <f t="shared" si="56"/>
        <v>-8.6730274300472114E-4</v>
      </c>
      <c r="E1828" s="33">
        <v>45062</v>
      </c>
      <c r="F1828" s="34">
        <v>61932.47</v>
      </c>
      <c r="G1828" s="34">
        <f t="shared" si="57"/>
        <v>-6.6502667322057198E-3</v>
      </c>
    </row>
    <row r="1829" spans="1:7" x14ac:dyDescent="0.3">
      <c r="A1829" s="33">
        <v>45063</v>
      </c>
      <c r="B1829" s="34">
        <v>923.45</v>
      </c>
      <c r="C1829" s="34">
        <f t="shared" si="56"/>
        <v>1.5714327653266035E-3</v>
      </c>
      <c r="E1829" s="33">
        <v>45063</v>
      </c>
      <c r="F1829" s="34">
        <v>61560.639999999999</v>
      </c>
      <c r="G1829" s="34">
        <f t="shared" si="57"/>
        <v>-6.0218926164302498E-3</v>
      </c>
    </row>
    <row r="1830" spans="1:7" x14ac:dyDescent="0.3">
      <c r="A1830" s="33">
        <v>45064</v>
      </c>
      <c r="B1830" s="34">
        <v>914.35</v>
      </c>
      <c r="C1830" s="34">
        <f t="shared" si="56"/>
        <v>-9.9032260012784732E-3</v>
      </c>
      <c r="E1830" s="33">
        <v>45064</v>
      </c>
      <c r="F1830" s="34">
        <v>61431.74</v>
      </c>
      <c r="G1830" s="34">
        <f t="shared" si="57"/>
        <v>-2.0960655805410716E-3</v>
      </c>
    </row>
    <row r="1831" spans="1:7" x14ac:dyDescent="0.3">
      <c r="A1831" s="33">
        <v>45065</v>
      </c>
      <c r="B1831" s="34">
        <v>916.15</v>
      </c>
      <c r="C1831" s="34">
        <f t="shared" si="56"/>
        <v>1.9666764055420497E-3</v>
      </c>
      <c r="E1831" s="33">
        <v>45065</v>
      </c>
      <c r="F1831" s="34">
        <v>61729.68</v>
      </c>
      <c r="G1831" s="34">
        <f t="shared" si="57"/>
        <v>4.8382128297795052E-3</v>
      </c>
    </row>
    <row r="1832" spans="1:7" x14ac:dyDescent="0.3">
      <c r="A1832" s="33">
        <v>45068</v>
      </c>
      <c r="B1832" s="34">
        <v>925.1</v>
      </c>
      <c r="C1832" s="34">
        <f t="shared" si="56"/>
        <v>9.7217330510889106E-3</v>
      </c>
      <c r="E1832" s="33">
        <v>45068</v>
      </c>
      <c r="F1832" s="34">
        <v>61963.68</v>
      </c>
      <c r="G1832" s="34">
        <f t="shared" si="57"/>
        <v>3.7835544146908877E-3</v>
      </c>
    </row>
    <row r="1833" spans="1:7" x14ac:dyDescent="0.3">
      <c r="A1833" s="33">
        <v>45069</v>
      </c>
      <c r="B1833" s="34">
        <v>930.65</v>
      </c>
      <c r="C1833" s="34">
        <f t="shared" si="56"/>
        <v>5.9814269670690531E-3</v>
      </c>
      <c r="E1833" s="33">
        <v>45069</v>
      </c>
      <c r="F1833" s="34">
        <v>61981.79</v>
      </c>
      <c r="G1833" s="34">
        <f t="shared" si="57"/>
        <v>2.9222528469776765E-4</v>
      </c>
    </row>
    <row r="1834" spans="1:7" x14ac:dyDescent="0.3">
      <c r="A1834" s="33">
        <v>45070</v>
      </c>
      <c r="B1834" s="34">
        <v>937.9</v>
      </c>
      <c r="C1834" s="34">
        <f t="shared" si="56"/>
        <v>7.7600667705506029E-3</v>
      </c>
      <c r="E1834" s="33">
        <v>45070</v>
      </c>
      <c r="F1834" s="34">
        <v>61773.78</v>
      </c>
      <c r="G1834" s="34">
        <f t="shared" si="57"/>
        <v>-3.3616296363169402E-3</v>
      </c>
    </row>
    <row r="1835" spans="1:7" x14ac:dyDescent="0.3">
      <c r="A1835" s="33">
        <v>45071</v>
      </c>
      <c r="B1835" s="34">
        <v>944.5</v>
      </c>
      <c r="C1835" s="34">
        <f t="shared" si="56"/>
        <v>7.0123534266713795E-3</v>
      </c>
      <c r="E1835" s="33">
        <v>45071</v>
      </c>
      <c r="F1835" s="34">
        <v>61872.62</v>
      </c>
      <c r="G1835" s="34">
        <f t="shared" si="57"/>
        <v>1.598752912385734E-3</v>
      </c>
    </row>
    <row r="1836" spans="1:7" x14ac:dyDescent="0.3">
      <c r="A1836" s="33">
        <v>45072</v>
      </c>
      <c r="B1836" s="34">
        <v>951</v>
      </c>
      <c r="C1836" s="34">
        <f t="shared" si="56"/>
        <v>6.8583756038260359E-3</v>
      </c>
      <c r="E1836" s="33">
        <v>45072</v>
      </c>
      <c r="F1836" s="34">
        <v>62501.69</v>
      </c>
      <c r="G1836" s="34">
        <f t="shared" si="57"/>
        <v>1.0115840874175455E-2</v>
      </c>
    </row>
    <row r="1837" spans="1:7" x14ac:dyDescent="0.3">
      <c r="A1837" s="33">
        <v>45075</v>
      </c>
      <c r="B1837" s="34">
        <v>955.65</v>
      </c>
      <c r="C1837" s="34">
        <f t="shared" si="56"/>
        <v>4.8776746852165088E-3</v>
      </c>
      <c r="E1837" s="33">
        <v>45075</v>
      </c>
      <c r="F1837" s="34">
        <v>62846.38</v>
      </c>
      <c r="G1837" s="34">
        <f t="shared" si="57"/>
        <v>5.4997395464214949E-3</v>
      </c>
    </row>
    <row r="1838" spans="1:7" x14ac:dyDescent="0.3">
      <c r="A1838" s="33">
        <v>45076</v>
      </c>
      <c r="B1838" s="34">
        <v>959.85</v>
      </c>
      <c r="C1838" s="34">
        <f t="shared" si="56"/>
        <v>4.3852850229720063E-3</v>
      </c>
      <c r="E1838" s="33">
        <v>45076</v>
      </c>
      <c r="F1838" s="34">
        <v>62969.13</v>
      </c>
      <c r="G1838" s="34">
        <f t="shared" si="57"/>
        <v>1.9512703790986754E-3</v>
      </c>
    </row>
    <row r="1839" spans="1:7" x14ac:dyDescent="0.3">
      <c r="A1839" s="33">
        <v>45077</v>
      </c>
      <c r="B1839" s="34">
        <v>954.2</v>
      </c>
      <c r="C1839" s="34">
        <f t="shared" si="56"/>
        <v>-5.9037291715723032E-3</v>
      </c>
      <c r="E1839" s="33">
        <v>45077</v>
      </c>
      <c r="F1839" s="34">
        <v>62622.239999999998</v>
      </c>
      <c r="G1839" s="34">
        <f t="shared" si="57"/>
        <v>-5.5241197247532341E-3</v>
      </c>
    </row>
    <row r="1840" spans="1:7" x14ac:dyDescent="0.3">
      <c r="A1840" s="33">
        <v>45078</v>
      </c>
      <c r="B1840" s="34">
        <v>964.25</v>
      </c>
      <c r="C1840" s="34">
        <f t="shared" si="56"/>
        <v>1.0477304006330519E-2</v>
      </c>
      <c r="E1840" s="33">
        <v>45078</v>
      </c>
      <c r="F1840" s="34">
        <v>62428.54</v>
      </c>
      <c r="G1840" s="34">
        <f t="shared" si="57"/>
        <v>-3.0979439698927353E-3</v>
      </c>
    </row>
    <row r="1841" spans="1:7" x14ac:dyDescent="0.3">
      <c r="A1841" s="33">
        <v>45079</v>
      </c>
      <c r="B1841" s="34">
        <v>965.25</v>
      </c>
      <c r="C1841" s="34">
        <f t="shared" si="56"/>
        <v>1.0365380560086307E-3</v>
      </c>
      <c r="E1841" s="33">
        <v>45079</v>
      </c>
      <c r="F1841" s="34">
        <v>62547.11</v>
      </c>
      <c r="G1841" s="34">
        <f t="shared" si="57"/>
        <v>1.8974902003012141E-3</v>
      </c>
    </row>
    <row r="1842" spans="1:7" x14ac:dyDescent="0.3">
      <c r="A1842" s="33">
        <v>45082</v>
      </c>
      <c r="B1842" s="34">
        <v>974.7</v>
      </c>
      <c r="C1842" s="34">
        <f t="shared" si="56"/>
        <v>9.7425961988186205E-3</v>
      </c>
      <c r="E1842" s="33">
        <v>45082</v>
      </c>
      <c r="F1842" s="34">
        <v>62787.47</v>
      </c>
      <c r="G1842" s="34">
        <f t="shared" si="57"/>
        <v>3.8354984659817494E-3</v>
      </c>
    </row>
    <row r="1843" spans="1:7" x14ac:dyDescent="0.3">
      <c r="A1843" s="33">
        <v>45083</v>
      </c>
      <c r="B1843" s="34">
        <v>972.25</v>
      </c>
      <c r="C1843" s="34">
        <f t="shared" si="56"/>
        <v>-2.5167583073076555E-3</v>
      </c>
      <c r="E1843" s="33">
        <v>45083</v>
      </c>
      <c r="F1843" s="34">
        <v>62792.88</v>
      </c>
      <c r="G1843" s="34">
        <f t="shared" si="57"/>
        <v>8.6159976514601697E-5</v>
      </c>
    </row>
    <row r="1844" spans="1:7" x14ac:dyDescent="0.3">
      <c r="A1844" s="33">
        <v>45084</v>
      </c>
      <c r="B1844" s="34">
        <v>960.5</v>
      </c>
      <c r="C1844" s="34">
        <f t="shared" si="56"/>
        <v>-1.2158990827245329E-2</v>
      </c>
      <c r="E1844" s="33">
        <v>45084</v>
      </c>
      <c r="F1844" s="34">
        <v>63142.96</v>
      </c>
      <c r="G1844" s="34">
        <f t="shared" si="57"/>
        <v>5.5596707298809379E-3</v>
      </c>
    </row>
    <row r="1845" spans="1:7" x14ac:dyDescent="0.3">
      <c r="A1845" s="33">
        <v>45085</v>
      </c>
      <c r="B1845" s="34">
        <v>965.45</v>
      </c>
      <c r="C1845" s="34">
        <f t="shared" si="56"/>
        <v>5.1403316799364272E-3</v>
      </c>
      <c r="E1845" s="33">
        <v>45085</v>
      </c>
      <c r="F1845" s="34">
        <v>62848.639999999999</v>
      </c>
      <c r="G1845" s="34">
        <f t="shared" si="57"/>
        <v>-4.672066000793812E-3</v>
      </c>
    </row>
    <row r="1846" spans="1:7" x14ac:dyDescent="0.3">
      <c r="A1846" s="33">
        <v>45086</v>
      </c>
      <c r="B1846" s="34">
        <v>968.65</v>
      </c>
      <c r="C1846" s="34">
        <f t="shared" si="56"/>
        <v>3.3090356444070239E-3</v>
      </c>
      <c r="E1846" s="33">
        <v>45086</v>
      </c>
      <c r="F1846" s="34">
        <v>62625.63</v>
      </c>
      <c r="G1846" s="34">
        <f t="shared" si="57"/>
        <v>-3.554676744872096E-3</v>
      </c>
    </row>
    <row r="1847" spans="1:7" x14ac:dyDescent="0.3">
      <c r="A1847" s="33">
        <v>45089</v>
      </c>
      <c r="B1847" s="34">
        <v>959.85</v>
      </c>
      <c r="C1847" s="34">
        <f t="shared" si="56"/>
        <v>-9.1263272793759339E-3</v>
      </c>
      <c r="E1847" s="33">
        <v>45089</v>
      </c>
      <c r="F1847" s="34">
        <v>62724.71</v>
      </c>
      <c r="G1847" s="34">
        <f t="shared" si="57"/>
        <v>1.5808496512114438E-3</v>
      </c>
    </row>
    <row r="1848" spans="1:7" x14ac:dyDescent="0.3">
      <c r="A1848" s="33">
        <v>45090</v>
      </c>
      <c r="B1848" s="34">
        <v>981.4</v>
      </c>
      <c r="C1848" s="34">
        <f t="shared" si="56"/>
        <v>2.2203101402223938E-2</v>
      </c>
      <c r="E1848" s="33">
        <v>45090</v>
      </c>
      <c r="F1848" s="34">
        <v>63143.16</v>
      </c>
      <c r="G1848" s="34">
        <f t="shared" si="57"/>
        <v>6.6490605050932546E-3</v>
      </c>
    </row>
    <row r="1849" spans="1:7" x14ac:dyDescent="0.3">
      <c r="A1849" s="33">
        <v>45091</v>
      </c>
      <c r="B1849" s="34">
        <v>978.55</v>
      </c>
      <c r="C1849" s="34">
        <f t="shared" si="56"/>
        <v>-2.9082395048248676E-3</v>
      </c>
      <c r="E1849" s="33">
        <v>45091</v>
      </c>
      <c r="F1849" s="34">
        <v>63228.51</v>
      </c>
      <c r="G1849" s="34">
        <f t="shared" si="57"/>
        <v>1.3507776383340519E-3</v>
      </c>
    </row>
    <row r="1850" spans="1:7" x14ac:dyDescent="0.3">
      <c r="A1850" s="33">
        <v>45092</v>
      </c>
      <c r="B1850" s="34">
        <v>998.75</v>
      </c>
      <c r="C1850" s="34">
        <f t="shared" si="56"/>
        <v>2.0432612929506429E-2</v>
      </c>
      <c r="E1850" s="33">
        <v>45092</v>
      </c>
      <c r="F1850" s="34">
        <v>62917.63</v>
      </c>
      <c r="G1850" s="34">
        <f t="shared" si="57"/>
        <v>-4.9288964272205275E-3</v>
      </c>
    </row>
    <row r="1851" spans="1:7" x14ac:dyDescent="0.3">
      <c r="A1851" s="33">
        <v>45093</v>
      </c>
      <c r="B1851" s="34">
        <v>1005.55</v>
      </c>
      <c r="C1851" s="34">
        <f t="shared" si="56"/>
        <v>6.7854374001273627E-3</v>
      </c>
      <c r="E1851" s="33">
        <v>45093</v>
      </c>
      <c r="F1851" s="34">
        <v>63384.58</v>
      </c>
      <c r="G1851" s="34">
        <f t="shared" si="57"/>
        <v>7.394203593265568E-3</v>
      </c>
    </row>
    <row r="1852" spans="1:7" x14ac:dyDescent="0.3">
      <c r="A1852" s="33">
        <v>45096</v>
      </c>
      <c r="B1852" s="34">
        <v>1011.55</v>
      </c>
      <c r="C1852" s="34">
        <f t="shared" si="56"/>
        <v>5.9491524428108671E-3</v>
      </c>
      <c r="E1852" s="33">
        <v>45096</v>
      </c>
      <c r="F1852" s="34">
        <v>63168.3</v>
      </c>
      <c r="G1852" s="34">
        <f t="shared" si="57"/>
        <v>-3.41802115549155E-3</v>
      </c>
    </row>
    <row r="1853" spans="1:7" x14ac:dyDescent="0.3">
      <c r="A1853" s="33">
        <v>45097</v>
      </c>
      <c r="B1853" s="34">
        <v>1010.65</v>
      </c>
      <c r="C1853" s="34">
        <f t="shared" si="56"/>
        <v>-8.9011973041588303E-4</v>
      </c>
      <c r="E1853" s="33">
        <v>45097</v>
      </c>
      <c r="F1853" s="34">
        <v>63327.7</v>
      </c>
      <c r="G1853" s="34">
        <f t="shared" si="57"/>
        <v>2.5202391280431048E-3</v>
      </c>
    </row>
    <row r="1854" spans="1:7" x14ac:dyDescent="0.3">
      <c r="A1854" s="33">
        <v>45098</v>
      </c>
      <c r="B1854" s="34">
        <v>1008.7</v>
      </c>
      <c r="C1854" s="34">
        <f t="shared" si="56"/>
        <v>-1.9313151322171227E-3</v>
      </c>
      <c r="E1854" s="33">
        <v>45098</v>
      </c>
      <c r="F1854" s="34">
        <v>63523.15</v>
      </c>
      <c r="G1854" s="34">
        <f t="shared" si="57"/>
        <v>3.0815742215002549E-3</v>
      </c>
    </row>
    <row r="1855" spans="1:7" x14ac:dyDescent="0.3">
      <c r="A1855" s="33">
        <v>45099</v>
      </c>
      <c r="B1855" s="34">
        <v>998.65</v>
      </c>
      <c r="C1855" s="34">
        <f t="shared" si="56"/>
        <v>-1.0013285149609046E-2</v>
      </c>
      <c r="E1855" s="33">
        <v>45099</v>
      </c>
      <c r="F1855" s="34">
        <v>63238.89</v>
      </c>
      <c r="G1855" s="34">
        <f t="shared" si="57"/>
        <v>-4.484946384337195E-3</v>
      </c>
    </row>
    <row r="1856" spans="1:7" x14ac:dyDescent="0.3">
      <c r="A1856" s="33">
        <v>45100</v>
      </c>
      <c r="B1856" s="34">
        <v>991.2</v>
      </c>
      <c r="C1856" s="34">
        <f t="shared" si="56"/>
        <v>-7.488036596247972E-3</v>
      </c>
      <c r="E1856" s="33">
        <v>45100</v>
      </c>
      <c r="F1856" s="34">
        <v>62979.37</v>
      </c>
      <c r="G1856" s="34">
        <f t="shared" si="57"/>
        <v>-4.1122475578314879E-3</v>
      </c>
    </row>
    <row r="1857" spans="1:7" x14ac:dyDescent="0.3">
      <c r="A1857" s="33">
        <v>45103</v>
      </c>
      <c r="B1857" s="34">
        <v>1022.7</v>
      </c>
      <c r="C1857" s="34">
        <f t="shared" si="56"/>
        <v>3.1285137497034439E-2</v>
      </c>
      <c r="E1857" s="33">
        <v>45103</v>
      </c>
      <c r="F1857" s="34">
        <v>62970</v>
      </c>
      <c r="G1857" s="34">
        <f t="shared" si="57"/>
        <v>-1.4878994658388799E-4</v>
      </c>
    </row>
    <row r="1858" spans="1:7" x14ac:dyDescent="0.3">
      <c r="A1858" s="33">
        <v>45104</v>
      </c>
      <c r="B1858" s="34">
        <v>1009</v>
      </c>
      <c r="C1858" s="34">
        <f t="shared" si="56"/>
        <v>-1.3486447458358173E-2</v>
      </c>
      <c r="E1858" s="33">
        <v>45104</v>
      </c>
      <c r="F1858" s="34">
        <v>63416.03</v>
      </c>
      <c r="G1858" s="34">
        <f t="shared" si="57"/>
        <v>7.0582461008253687E-3</v>
      </c>
    </row>
    <row r="1859" spans="1:7" x14ac:dyDescent="0.3">
      <c r="A1859" s="33">
        <v>45105</v>
      </c>
      <c r="B1859" s="34">
        <v>1009.55</v>
      </c>
      <c r="C1859" s="34">
        <f t="shared" si="56"/>
        <v>5.4494564277421658E-4</v>
      </c>
      <c r="E1859" s="33">
        <v>45105</v>
      </c>
      <c r="F1859" s="34">
        <v>63915.42</v>
      </c>
      <c r="G1859" s="34">
        <f t="shared" si="57"/>
        <v>7.8439782243291886E-3</v>
      </c>
    </row>
    <row r="1860" spans="1:7" x14ac:dyDescent="0.3">
      <c r="A1860" s="33">
        <v>45107</v>
      </c>
      <c r="B1860" s="34">
        <v>1015.45</v>
      </c>
      <c r="C1860" s="34">
        <f t="shared" si="56"/>
        <v>5.8271769827356185E-3</v>
      </c>
      <c r="E1860" s="33">
        <v>45107</v>
      </c>
      <c r="F1860" s="34">
        <v>64718.559999999998</v>
      </c>
      <c r="G1860" s="34">
        <f t="shared" si="57"/>
        <v>1.2487375985925612E-2</v>
      </c>
    </row>
    <row r="1861" spans="1:7" x14ac:dyDescent="0.3">
      <c r="A1861" s="33">
        <v>45110</v>
      </c>
      <c r="B1861" s="34">
        <v>1001.25</v>
      </c>
      <c r="C1861" s="34">
        <f t="shared" si="56"/>
        <v>-1.4082644596549811E-2</v>
      </c>
      <c r="E1861" s="33">
        <v>45110</v>
      </c>
      <c r="F1861" s="34">
        <v>65205.05</v>
      </c>
      <c r="G1861" s="34">
        <f t="shared" si="57"/>
        <v>7.4888971092005371E-3</v>
      </c>
    </row>
    <row r="1862" spans="1:7" x14ac:dyDescent="0.3">
      <c r="A1862" s="33">
        <v>45111</v>
      </c>
      <c r="B1862" s="34">
        <v>1011.95</v>
      </c>
      <c r="C1862" s="34">
        <f t="shared" si="56"/>
        <v>1.0629943129645722E-2</v>
      </c>
      <c r="E1862" s="33">
        <v>45111</v>
      </c>
      <c r="F1862" s="34">
        <v>65479.05</v>
      </c>
      <c r="G1862" s="34">
        <f t="shared" si="57"/>
        <v>4.1933242299635404E-3</v>
      </c>
    </row>
    <row r="1863" spans="1:7" x14ac:dyDescent="0.3">
      <c r="A1863" s="33">
        <v>45112</v>
      </c>
      <c r="B1863" s="34">
        <v>1010.65</v>
      </c>
      <c r="C1863" s="34">
        <f t="shared" ref="C1863:C1926" si="58">LN(B1863/B1862)</f>
        <v>-1.2854743192078195E-3</v>
      </c>
      <c r="E1863" s="33">
        <v>45112</v>
      </c>
      <c r="F1863" s="34">
        <v>65446.04</v>
      </c>
      <c r="G1863" s="34">
        <f t="shared" ref="G1863:G1926" si="59">LN(F1863/F1862)</f>
        <v>-5.0425782712039109E-4</v>
      </c>
    </row>
    <row r="1864" spans="1:7" x14ac:dyDescent="0.3">
      <c r="A1864" s="33">
        <v>45113</v>
      </c>
      <c r="B1864" s="34">
        <v>1021</v>
      </c>
      <c r="C1864" s="34">
        <f t="shared" si="58"/>
        <v>1.0188850971658696E-2</v>
      </c>
      <c r="E1864" s="33">
        <v>45113</v>
      </c>
      <c r="F1864" s="34">
        <v>65785.64</v>
      </c>
      <c r="G1864" s="34">
        <f t="shared" si="59"/>
        <v>5.1755911082521965E-3</v>
      </c>
    </row>
    <row r="1865" spans="1:7" x14ac:dyDescent="0.3">
      <c r="A1865" s="33">
        <v>45114</v>
      </c>
      <c r="B1865" s="34">
        <v>1020.75</v>
      </c>
      <c r="C1865" s="34">
        <f t="shared" si="58"/>
        <v>-2.4488796498035848E-4</v>
      </c>
      <c r="E1865" s="33">
        <v>45114</v>
      </c>
      <c r="F1865" s="34">
        <v>65280.45</v>
      </c>
      <c r="G1865" s="34">
        <f t="shared" si="59"/>
        <v>-7.7089734175821425E-3</v>
      </c>
    </row>
    <row r="1866" spans="1:7" x14ac:dyDescent="0.3">
      <c r="A1866" s="33">
        <v>45117</v>
      </c>
      <c r="B1866" s="34">
        <v>1016.4</v>
      </c>
      <c r="C1866" s="34">
        <f t="shared" si="58"/>
        <v>-4.2706787536761388E-3</v>
      </c>
      <c r="E1866" s="33">
        <v>45117</v>
      </c>
      <c r="F1866" s="34">
        <v>65344.17</v>
      </c>
      <c r="G1866" s="34">
        <f t="shared" si="59"/>
        <v>9.7562014043352024E-4</v>
      </c>
    </row>
    <row r="1867" spans="1:7" x14ac:dyDescent="0.3">
      <c r="A1867" s="33">
        <v>45118</v>
      </c>
      <c r="B1867" s="34">
        <v>1027.45</v>
      </c>
      <c r="C1867" s="34">
        <f t="shared" si="58"/>
        <v>1.0813031939870198E-2</v>
      </c>
      <c r="E1867" s="33">
        <v>45118</v>
      </c>
      <c r="F1867" s="34">
        <v>65617.84</v>
      </c>
      <c r="G1867" s="34">
        <f t="shared" si="59"/>
        <v>4.1793860426467362E-3</v>
      </c>
    </row>
    <row r="1868" spans="1:7" x14ac:dyDescent="0.3">
      <c r="A1868" s="33">
        <v>45119</v>
      </c>
      <c r="B1868" s="34">
        <v>1022.35</v>
      </c>
      <c r="C1868" s="34">
        <f t="shared" si="58"/>
        <v>-4.976105496815938E-3</v>
      </c>
      <c r="E1868" s="33">
        <v>45119</v>
      </c>
      <c r="F1868" s="34">
        <v>65393.9</v>
      </c>
      <c r="G1868" s="34">
        <f t="shared" si="59"/>
        <v>-3.418628255745806E-3</v>
      </c>
    </row>
    <row r="1869" spans="1:7" x14ac:dyDescent="0.3">
      <c r="A1869" s="33">
        <v>45120</v>
      </c>
      <c r="B1869" s="34">
        <v>1020.9</v>
      </c>
      <c r="C1869" s="34">
        <f t="shared" si="58"/>
        <v>-1.4193077140935418E-3</v>
      </c>
      <c r="E1869" s="33">
        <v>45120</v>
      </c>
      <c r="F1869" s="34">
        <v>65558.89</v>
      </c>
      <c r="G1869" s="34">
        <f t="shared" si="59"/>
        <v>2.5198407349955698E-3</v>
      </c>
    </row>
    <row r="1870" spans="1:7" x14ac:dyDescent="0.3">
      <c r="A1870" s="33">
        <v>45121</v>
      </c>
      <c r="B1870" s="34">
        <v>1031.95</v>
      </c>
      <c r="C1870" s="34">
        <f t="shared" si="58"/>
        <v>1.0765625080414948E-2</v>
      </c>
      <c r="E1870" s="33">
        <v>45121</v>
      </c>
      <c r="F1870" s="34">
        <v>66060.899999999994</v>
      </c>
      <c r="G1870" s="34">
        <f t="shared" si="59"/>
        <v>7.6282211712641818E-3</v>
      </c>
    </row>
    <row r="1871" spans="1:7" x14ac:dyDescent="0.3">
      <c r="A1871" s="33">
        <v>45124</v>
      </c>
      <c r="B1871" s="34">
        <v>1032.5</v>
      </c>
      <c r="C1871" s="34">
        <f t="shared" si="58"/>
        <v>5.3282957980318004E-4</v>
      </c>
      <c r="E1871" s="33">
        <v>45124</v>
      </c>
      <c r="F1871" s="34">
        <v>66589.929999999993</v>
      </c>
      <c r="G1871" s="34">
        <f t="shared" si="59"/>
        <v>7.9763210650486416E-3</v>
      </c>
    </row>
    <row r="1872" spans="1:7" x14ac:dyDescent="0.3">
      <c r="A1872" s="33">
        <v>45125</v>
      </c>
      <c r="B1872" s="34">
        <v>1030.8499999999999</v>
      </c>
      <c r="C1872" s="34">
        <f t="shared" si="58"/>
        <v>-1.5993412186107575E-3</v>
      </c>
      <c r="E1872" s="33">
        <v>45125</v>
      </c>
      <c r="F1872" s="34">
        <v>66795.14</v>
      </c>
      <c r="G1872" s="34">
        <f t="shared" si="59"/>
        <v>3.0769584917575447E-3</v>
      </c>
    </row>
    <row r="1873" spans="1:7" x14ac:dyDescent="0.3">
      <c r="A1873" s="33">
        <v>45126</v>
      </c>
      <c r="B1873" s="34">
        <v>1035.6500000000001</v>
      </c>
      <c r="C1873" s="34">
        <f t="shared" si="58"/>
        <v>4.645544284955041E-3</v>
      </c>
      <c r="E1873" s="33">
        <v>45126</v>
      </c>
      <c r="F1873" s="34">
        <v>67097.440000000002</v>
      </c>
      <c r="G1873" s="34">
        <f t="shared" si="59"/>
        <v>4.5155678330613533E-3</v>
      </c>
    </row>
    <row r="1874" spans="1:7" x14ac:dyDescent="0.3">
      <c r="A1874" s="33">
        <v>45127</v>
      </c>
      <c r="B1874" s="34">
        <v>1056.2</v>
      </c>
      <c r="C1874" s="34">
        <f t="shared" si="58"/>
        <v>1.9648312371300727E-2</v>
      </c>
      <c r="E1874" s="33">
        <v>45127</v>
      </c>
      <c r="F1874" s="34">
        <v>67571.899999999994</v>
      </c>
      <c r="G1874" s="34">
        <f t="shared" si="59"/>
        <v>7.0463249185610975E-3</v>
      </c>
    </row>
    <row r="1875" spans="1:7" x14ac:dyDescent="0.3">
      <c r="A1875" s="33">
        <v>45128</v>
      </c>
      <c r="B1875" s="34">
        <v>1049.2</v>
      </c>
      <c r="C1875" s="34">
        <f t="shared" si="58"/>
        <v>-6.649592280114123E-3</v>
      </c>
      <c r="E1875" s="33">
        <v>45128</v>
      </c>
      <c r="F1875" s="34">
        <v>66684.259999999995</v>
      </c>
      <c r="G1875" s="34">
        <f t="shared" si="59"/>
        <v>-1.3223273092021287E-2</v>
      </c>
    </row>
    <row r="1876" spans="1:7" x14ac:dyDescent="0.3">
      <c r="A1876" s="33">
        <v>45131</v>
      </c>
      <c r="B1876" s="34">
        <v>1048.5999999999999</v>
      </c>
      <c r="C1876" s="34">
        <f t="shared" si="58"/>
        <v>-5.7202785428636671E-4</v>
      </c>
      <c r="E1876" s="33">
        <v>45131</v>
      </c>
      <c r="F1876" s="34">
        <v>66384.78</v>
      </c>
      <c r="G1876" s="34">
        <f t="shared" si="59"/>
        <v>-4.501129723729947E-3</v>
      </c>
    </row>
    <row r="1877" spans="1:7" x14ac:dyDescent="0.3">
      <c r="A1877" s="33">
        <v>45132</v>
      </c>
      <c r="B1877" s="34">
        <v>1054.25</v>
      </c>
      <c r="C1877" s="34">
        <f t="shared" si="58"/>
        <v>5.3736724882370076E-3</v>
      </c>
      <c r="E1877" s="33">
        <v>45132</v>
      </c>
      <c r="F1877" s="34">
        <v>66355.710000000006</v>
      </c>
      <c r="G1877" s="34">
        <f t="shared" si="59"/>
        <v>-4.3799748614348709E-4</v>
      </c>
    </row>
    <row r="1878" spans="1:7" x14ac:dyDescent="0.3">
      <c r="A1878" s="33">
        <v>45133</v>
      </c>
      <c r="B1878" s="34">
        <v>1068.7</v>
      </c>
      <c r="C1878" s="34">
        <f t="shared" si="58"/>
        <v>1.3613342904181895E-2</v>
      </c>
      <c r="E1878" s="33">
        <v>45133</v>
      </c>
      <c r="F1878" s="34">
        <v>66707.199999999997</v>
      </c>
      <c r="G1878" s="34">
        <f t="shared" si="59"/>
        <v>5.2830772682378535E-3</v>
      </c>
    </row>
    <row r="1879" spans="1:7" x14ac:dyDescent="0.3">
      <c r="A1879" s="33">
        <v>45134</v>
      </c>
      <c r="B1879" s="34">
        <v>1171.55</v>
      </c>
      <c r="C1879" s="34">
        <f t="shared" si="58"/>
        <v>9.1884701830590595E-2</v>
      </c>
      <c r="E1879" s="33">
        <v>45134</v>
      </c>
      <c r="F1879" s="34">
        <v>66266.820000000007</v>
      </c>
      <c r="G1879" s="34">
        <f t="shared" si="59"/>
        <v>-6.6235736878245566E-3</v>
      </c>
    </row>
    <row r="1880" spans="1:7" x14ac:dyDescent="0.3">
      <c r="A1880" s="33">
        <v>45135</v>
      </c>
      <c r="B1880" s="34">
        <v>1177.45</v>
      </c>
      <c r="C1880" s="34">
        <f t="shared" si="58"/>
        <v>5.0234247825484326E-3</v>
      </c>
      <c r="E1880" s="33">
        <v>45135</v>
      </c>
      <c r="F1880" s="34">
        <v>66160.2</v>
      </c>
      <c r="G1880" s="34">
        <f t="shared" si="59"/>
        <v>-1.6102457495132006E-3</v>
      </c>
    </row>
    <row r="1881" spans="1:7" x14ac:dyDescent="0.3">
      <c r="A1881" s="33">
        <v>45138</v>
      </c>
      <c r="B1881" s="34">
        <v>1175.8499999999999</v>
      </c>
      <c r="C1881" s="34">
        <f t="shared" si="58"/>
        <v>-1.359792841149323E-3</v>
      </c>
      <c r="E1881" s="33">
        <v>45138</v>
      </c>
      <c r="F1881" s="34">
        <v>66527.67</v>
      </c>
      <c r="G1881" s="34">
        <f t="shared" si="59"/>
        <v>5.5388776603659349E-3</v>
      </c>
    </row>
    <row r="1882" spans="1:7" x14ac:dyDescent="0.3">
      <c r="A1882" s="33">
        <v>45139</v>
      </c>
      <c r="B1882" s="34">
        <v>1178</v>
      </c>
      <c r="C1882" s="34">
        <f t="shared" si="58"/>
        <v>1.8267949086911732E-3</v>
      </c>
      <c r="E1882" s="33">
        <v>45139</v>
      </c>
      <c r="F1882" s="34">
        <v>66459.31</v>
      </c>
      <c r="G1882" s="34">
        <f t="shared" si="59"/>
        <v>-1.0280706580595214E-3</v>
      </c>
    </row>
    <row r="1883" spans="1:7" x14ac:dyDescent="0.3">
      <c r="A1883" s="33">
        <v>45140</v>
      </c>
      <c r="B1883" s="34">
        <v>1167.45</v>
      </c>
      <c r="C1883" s="34">
        <f t="shared" si="58"/>
        <v>-8.9962021380251122E-3</v>
      </c>
      <c r="E1883" s="33">
        <v>45140</v>
      </c>
      <c r="F1883" s="34">
        <v>65782.78</v>
      </c>
      <c r="G1883" s="34">
        <f t="shared" si="59"/>
        <v>-1.0231778734145708E-2</v>
      </c>
    </row>
    <row r="1884" spans="1:7" x14ac:dyDescent="0.3">
      <c r="A1884" s="33">
        <v>45141</v>
      </c>
      <c r="B1884" s="34">
        <v>1165</v>
      </c>
      <c r="C1884" s="34">
        <f t="shared" si="58"/>
        <v>-2.1007960737059826E-3</v>
      </c>
      <c r="E1884" s="33">
        <v>45141</v>
      </c>
      <c r="F1884" s="34">
        <v>65240.68</v>
      </c>
      <c r="G1884" s="34">
        <f t="shared" si="59"/>
        <v>-8.2749012017995192E-3</v>
      </c>
    </row>
    <row r="1885" spans="1:7" x14ac:dyDescent="0.3">
      <c r="A1885" s="33">
        <v>45142</v>
      </c>
      <c r="B1885" s="34">
        <v>1209.55</v>
      </c>
      <c r="C1885" s="34">
        <f t="shared" si="58"/>
        <v>3.7527302592276511E-2</v>
      </c>
      <c r="E1885" s="33">
        <v>45142</v>
      </c>
      <c r="F1885" s="34">
        <v>65721.25</v>
      </c>
      <c r="G1885" s="34">
        <f t="shared" si="59"/>
        <v>7.3391123215627001E-3</v>
      </c>
    </row>
    <row r="1886" spans="1:7" x14ac:dyDescent="0.3">
      <c r="A1886" s="33">
        <v>45145</v>
      </c>
      <c r="B1886" s="34">
        <v>1223.55</v>
      </c>
      <c r="C1886" s="34">
        <f t="shared" si="58"/>
        <v>1.1508079822621689E-2</v>
      </c>
      <c r="E1886" s="33">
        <v>45145</v>
      </c>
      <c r="F1886" s="34">
        <v>65953.48</v>
      </c>
      <c r="G1886" s="34">
        <f t="shared" si="59"/>
        <v>3.5273319456986677E-3</v>
      </c>
    </row>
    <row r="1887" spans="1:7" x14ac:dyDescent="0.3">
      <c r="A1887" s="33">
        <v>45146</v>
      </c>
      <c r="B1887" s="34">
        <v>1266.5999999999999</v>
      </c>
      <c r="C1887" s="34">
        <f t="shared" si="58"/>
        <v>3.4579675667630878E-2</v>
      </c>
      <c r="E1887" s="33">
        <v>45146</v>
      </c>
      <c r="F1887" s="34">
        <v>65846.5</v>
      </c>
      <c r="G1887" s="34">
        <f t="shared" si="59"/>
        <v>-1.6233693433632197E-3</v>
      </c>
    </row>
    <row r="1888" spans="1:7" x14ac:dyDescent="0.3">
      <c r="A1888" s="33">
        <v>45147</v>
      </c>
      <c r="B1888" s="34">
        <v>1265.9000000000001</v>
      </c>
      <c r="C1888" s="34">
        <f t="shared" si="58"/>
        <v>-5.5281343954721805E-4</v>
      </c>
      <c r="E1888" s="33">
        <v>45147</v>
      </c>
      <c r="F1888" s="34">
        <v>65995.81</v>
      </c>
      <c r="G1888" s="34">
        <f t="shared" si="59"/>
        <v>2.264979486959238E-3</v>
      </c>
    </row>
    <row r="1889" spans="1:7" x14ac:dyDescent="0.3">
      <c r="A1889" s="33">
        <v>45148</v>
      </c>
      <c r="B1889" s="34">
        <v>1258.8</v>
      </c>
      <c r="C1889" s="34">
        <f t="shared" si="58"/>
        <v>-5.6244454525308926E-3</v>
      </c>
      <c r="E1889" s="33">
        <v>45148</v>
      </c>
      <c r="F1889" s="34">
        <v>65688.179999999993</v>
      </c>
      <c r="G1889" s="34">
        <f t="shared" si="59"/>
        <v>-4.6722545334338872E-3</v>
      </c>
    </row>
    <row r="1890" spans="1:7" x14ac:dyDescent="0.3">
      <c r="A1890" s="33">
        <v>45149</v>
      </c>
      <c r="B1890" s="34">
        <v>1250.7</v>
      </c>
      <c r="C1890" s="34">
        <f t="shared" si="58"/>
        <v>-6.4554916353907806E-3</v>
      </c>
      <c r="E1890" s="33">
        <v>45149</v>
      </c>
      <c r="F1890" s="34">
        <v>65322.65</v>
      </c>
      <c r="G1890" s="34">
        <f t="shared" si="59"/>
        <v>-5.5801638459338021E-3</v>
      </c>
    </row>
    <row r="1891" spans="1:7" x14ac:dyDescent="0.3">
      <c r="A1891" s="33">
        <v>45152</v>
      </c>
      <c r="B1891" s="34">
        <v>1235.2</v>
      </c>
      <c r="C1891" s="34">
        <f t="shared" si="58"/>
        <v>-1.2470494284349147E-2</v>
      </c>
      <c r="E1891" s="33">
        <v>45152</v>
      </c>
      <c r="F1891" s="34">
        <v>65401.919999999998</v>
      </c>
      <c r="G1891" s="34">
        <f t="shared" si="59"/>
        <v>1.2127790470616428E-3</v>
      </c>
    </row>
    <row r="1892" spans="1:7" x14ac:dyDescent="0.3">
      <c r="A1892" s="33">
        <v>45154</v>
      </c>
      <c r="B1892" s="34">
        <v>1242.1500000000001</v>
      </c>
      <c r="C1892" s="34">
        <f t="shared" si="58"/>
        <v>5.6108488773069934E-3</v>
      </c>
      <c r="E1892" s="33">
        <v>45154</v>
      </c>
      <c r="F1892" s="34">
        <v>65539.42</v>
      </c>
      <c r="G1892" s="34">
        <f t="shared" si="59"/>
        <v>2.1001778436024088E-3</v>
      </c>
    </row>
    <row r="1893" spans="1:7" x14ac:dyDescent="0.3">
      <c r="A1893" s="33">
        <v>45155</v>
      </c>
      <c r="B1893" s="34">
        <v>1239.75</v>
      </c>
      <c r="C1893" s="34">
        <f t="shared" si="58"/>
        <v>-1.9340027785755504E-3</v>
      </c>
      <c r="E1893" s="33">
        <v>45155</v>
      </c>
      <c r="F1893" s="34">
        <v>65151.02</v>
      </c>
      <c r="G1893" s="34">
        <f t="shared" si="59"/>
        <v>-5.9438340476407952E-3</v>
      </c>
    </row>
    <row r="1894" spans="1:7" x14ac:dyDescent="0.3">
      <c r="A1894" s="33">
        <v>45156</v>
      </c>
      <c r="B1894" s="34">
        <v>1235.3</v>
      </c>
      <c r="C1894" s="34">
        <f t="shared" si="58"/>
        <v>-3.5958908264752268E-3</v>
      </c>
      <c r="E1894" s="33">
        <v>45156</v>
      </c>
      <c r="F1894" s="34">
        <v>64948.66</v>
      </c>
      <c r="G1894" s="34">
        <f t="shared" si="59"/>
        <v>-3.1108479773780647E-3</v>
      </c>
    </row>
    <row r="1895" spans="1:7" x14ac:dyDescent="0.3">
      <c r="A1895" s="33">
        <v>45159</v>
      </c>
      <c r="B1895" s="34">
        <v>1234.3</v>
      </c>
      <c r="C1895" s="34">
        <f t="shared" si="58"/>
        <v>-8.0984779288509974E-4</v>
      </c>
      <c r="E1895" s="33">
        <v>45159</v>
      </c>
      <c r="F1895" s="34">
        <v>65216.09</v>
      </c>
      <c r="G1895" s="34">
        <f t="shared" si="59"/>
        <v>4.1091059797780096E-3</v>
      </c>
    </row>
    <row r="1896" spans="1:7" x14ac:dyDescent="0.3">
      <c r="A1896" s="33">
        <v>45160</v>
      </c>
      <c r="B1896" s="34">
        <v>1220.95</v>
      </c>
      <c r="C1896" s="34">
        <f t="shared" si="58"/>
        <v>-1.0874763518604088E-2</v>
      </c>
      <c r="E1896" s="33">
        <v>45160</v>
      </c>
      <c r="F1896" s="34">
        <v>65220.03</v>
      </c>
      <c r="G1896" s="34">
        <f t="shared" si="59"/>
        <v>6.0412713920037044E-5</v>
      </c>
    </row>
    <row r="1897" spans="1:7" x14ac:dyDescent="0.3">
      <c r="A1897" s="33">
        <v>45161</v>
      </c>
      <c r="B1897" s="34">
        <v>1230.55</v>
      </c>
      <c r="C1897" s="34">
        <f t="shared" si="58"/>
        <v>7.8319796629607499E-3</v>
      </c>
      <c r="E1897" s="33">
        <v>45161</v>
      </c>
      <c r="F1897" s="34">
        <v>65433.3</v>
      </c>
      <c r="G1897" s="34">
        <f t="shared" si="59"/>
        <v>3.2646728471575842E-3</v>
      </c>
    </row>
    <row r="1898" spans="1:7" x14ac:dyDescent="0.3">
      <c r="A1898" s="33">
        <v>45162</v>
      </c>
      <c r="B1898" s="34">
        <v>1219.3499999999999</v>
      </c>
      <c r="C1898" s="34">
        <f t="shared" si="58"/>
        <v>-9.1432940335486601E-3</v>
      </c>
      <c r="E1898" s="33">
        <v>45162</v>
      </c>
      <c r="F1898" s="34">
        <v>65252.34</v>
      </c>
      <c r="G1898" s="34">
        <f t="shared" si="59"/>
        <v>-2.76939556108588E-3</v>
      </c>
    </row>
    <row r="1899" spans="1:7" x14ac:dyDescent="0.3">
      <c r="A1899" s="33">
        <v>45163</v>
      </c>
      <c r="B1899" s="34">
        <v>1209.4000000000001</v>
      </c>
      <c r="C1899" s="34">
        <f t="shared" si="58"/>
        <v>-8.1935610215783453E-3</v>
      </c>
      <c r="E1899" s="33">
        <v>45163</v>
      </c>
      <c r="F1899" s="34">
        <v>64886.51</v>
      </c>
      <c r="G1899" s="34">
        <f t="shared" si="59"/>
        <v>-5.6221637676654437E-3</v>
      </c>
    </row>
    <row r="1900" spans="1:7" x14ac:dyDescent="0.3">
      <c r="A1900" s="33">
        <v>45166</v>
      </c>
      <c r="B1900" s="34">
        <v>1229.2</v>
      </c>
      <c r="C1900" s="34">
        <f t="shared" si="58"/>
        <v>1.6239182417217134E-2</v>
      </c>
      <c r="E1900" s="33">
        <v>45166</v>
      </c>
      <c r="F1900" s="34">
        <v>64996.6</v>
      </c>
      <c r="G1900" s="34">
        <f t="shared" si="59"/>
        <v>1.6952169741600441E-3</v>
      </c>
    </row>
    <row r="1901" spans="1:7" x14ac:dyDescent="0.3">
      <c r="A1901" s="33">
        <v>45167</v>
      </c>
      <c r="B1901" s="34">
        <v>1229.2</v>
      </c>
      <c r="C1901" s="34">
        <f t="shared" si="58"/>
        <v>0</v>
      </c>
      <c r="E1901" s="33">
        <v>45167</v>
      </c>
      <c r="F1901" s="34">
        <v>65075.82</v>
      </c>
      <c r="G1901" s="34">
        <f t="shared" si="59"/>
        <v>1.2180908111833076E-3</v>
      </c>
    </row>
    <row r="1902" spans="1:7" x14ac:dyDescent="0.3">
      <c r="A1902" s="33">
        <v>45168</v>
      </c>
      <c r="B1902" s="34">
        <v>1235.8</v>
      </c>
      <c r="C1902" s="34">
        <f t="shared" si="58"/>
        <v>5.3549823705495107E-3</v>
      </c>
      <c r="E1902" s="33">
        <v>45168</v>
      </c>
      <c r="F1902" s="34">
        <v>65087.25</v>
      </c>
      <c r="G1902" s="34">
        <f t="shared" si="59"/>
        <v>1.7562585193138601E-4</v>
      </c>
    </row>
    <row r="1903" spans="1:7" x14ac:dyDescent="0.3">
      <c r="A1903" s="33">
        <v>45169</v>
      </c>
      <c r="B1903" s="34">
        <v>1257.2</v>
      </c>
      <c r="C1903" s="34">
        <f t="shared" si="58"/>
        <v>1.7168492296533517E-2</v>
      </c>
      <c r="E1903" s="33">
        <v>45169</v>
      </c>
      <c r="F1903" s="34">
        <v>64831.41</v>
      </c>
      <c r="G1903" s="34">
        <f t="shared" si="59"/>
        <v>-3.938469357765235E-3</v>
      </c>
    </row>
    <row r="1904" spans="1:7" x14ac:dyDescent="0.3">
      <c r="A1904" s="33">
        <v>45170</v>
      </c>
      <c r="B1904" s="34">
        <v>1245.05</v>
      </c>
      <c r="C1904" s="34">
        <f t="shared" si="58"/>
        <v>-9.711336188451377E-3</v>
      </c>
      <c r="E1904" s="33">
        <v>45170</v>
      </c>
      <c r="F1904" s="34">
        <v>65387.16</v>
      </c>
      <c r="G1904" s="34">
        <f t="shared" si="59"/>
        <v>8.5357007720284865E-3</v>
      </c>
    </row>
    <row r="1905" spans="1:7" x14ac:dyDescent="0.3">
      <c r="A1905" s="33">
        <v>45173</v>
      </c>
      <c r="B1905" s="34">
        <v>1238.9000000000001</v>
      </c>
      <c r="C1905" s="34">
        <f t="shared" si="58"/>
        <v>-4.9518006132680346E-3</v>
      </c>
      <c r="E1905" s="33">
        <v>45173</v>
      </c>
      <c r="F1905" s="34">
        <v>65628.14</v>
      </c>
      <c r="G1905" s="34">
        <f t="shared" si="59"/>
        <v>3.6786584735623478E-3</v>
      </c>
    </row>
    <row r="1906" spans="1:7" x14ac:dyDescent="0.3">
      <c r="A1906" s="33">
        <v>45174</v>
      </c>
      <c r="B1906" s="34">
        <v>1238.55</v>
      </c>
      <c r="C1906" s="34">
        <f t="shared" si="58"/>
        <v>-2.8254859014605207E-4</v>
      </c>
      <c r="E1906" s="33">
        <v>45174</v>
      </c>
      <c r="F1906" s="34">
        <v>65780.259999999995</v>
      </c>
      <c r="G1906" s="34">
        <f t="shared" si="59"/>
        <v>2.3152259360947757E-3</v>
      </c>
    </row>
    <row r="1907" spans="1:7" x14ac:dyDescent="0.3">
      <c r="A1907" s="33">
        <v>45175</v>
      </c>
      <c r="B1907" s="34">
        <v>1256.6500000000001</v>
      </c>
      <c r="C1907" s="34">
        <f t="shared" si="58"/>
        <v>1.4508109554981038E-2</v>
      </c>
      <c r="E1907" s="33">
        <v>45175</v>
      </c>
      <c r="F1907" s="34">
        <v>65880.52</v>
      </c>
      <c r="G1907" s="34">
        <f t="shared" si="59"/>
        <v>1.5230050950603322E-3</v>
      </c>
    </row>
    <row r="1908" spans="1:7" x14ac:dyDescent="0.3">
      <c r="A1908" s="33">
        <v>45176</v>
      </c>
      <c r="B1908" s="34">
        <v>1249.0999999999999</v>
      </c>
      <c r="C1908" s="34">
        <f t="shared" si="58"/>
        <v>-6.0261581146647683E-3</v>
      </c>
      <c r="E1908" s="33">
        <v>45176</v>
      </c>
      <c r="F1908" s="34">
        <v>66265.56</v>
      </c>
      <c r="G1908" s="34">
        <f t="shared" si="59"/>
        <v>5.8275067963771705E-3</v>
      </c>
    </row>
    <row r="1909" spans="1:7" x14ac:dyDescent="0.3">
      <c r="A1909" s="33">
        <v>45177</v>
      </c>
      <c r="B1909" s="34">
        <v>1243.7</v>
      </c>
      <c r="C1909" s="34">
        <f t="shared" si="58"/>
        <v>-4.3324843121681734E-3</v>
      </c>
      <c r="E1909" s="33">
        <v>45177</v>
      </c>
      <c r="F1909" s="34">
        <v>66598.91</v>
      </c>
      <c r="G1909" s="34">
        <f t="shared" si="59"/>
        <v>5.0179058323399049E-3</v>
      </c>
    </row>
    <row r="1910" spans="1:7" x14ac:dyDescent="0.3">
      <c r="A1910" s="33">
        <v>45180</v>
      </c>
      <c r="B1910" s="34">
        <v>1246.7</v>
      </c>
      <c r="C1910" s="34">
        <f t="shared" si="58"/>
        <v>2.4092526912338473E-3</v>
      </c>
      <c r="E1910" s="33">
        <v>45180</v>
      </c>
      <c r="F1910" s="34">
        <v>67127.08</v>
      </c>
      <c r="G1910" s="34">
        <f t="shared" si="59"/>
        <v>7.8993282675142284E-3</v>
      </c>
    </row>
    <row r="1911" spans="1:7" x14ac:dyDescent="0.3">
      <c r="A1911" s="33">
        <v>45181</v>
      </c>
      <c r="B1911" s="34">
        <v>1239.25</v>
      </c>
      <c r="C1911" s="34">
        <f t="shared" si="58"/>
        <v>-5.9937024502460055E-3</v>
      </c>
      <c r="E1911" s="33">
        <v>45181</v>
      </c>
      <c r="F1911" s="34">
        <v>67221.13</v>
      </c>
      <c r="G1911" s="34">
        <f t="shared" si="59"/>
        <v>1.4000933151777223E-3</v>
      </c>
    </row>
    <row r="1912" spans="1:7" x14ac:dyDescent="0.3">
      <c r="A1912" s="33">
        <v>45182</v>
      </c>
      <c r="B1912" s="34">
        <v>1227.7</v>
      </c>
      <c r="C1912" s="34">
        <f t="shared" si="58"/>
        <v>-9.3638577138890153E-3</v>
      </c>
      <c r="E1912" s="33">
        <v>45182</v>
      </c>
      <c r="F1912" s="34">
        <v>67466.990000000005</v>
      </c>
      <c r="G1912" s="34">
        <f t="shared" si="59"/>
        <v>3.6508085950968084E-3</v>
      </c>
    </row>
    <row r="1913" spans="1:7" x14ac:dyDescent="0.3">
      <c r="A1913" s="33">
        <v>45183</v>
      </c>
      <c r="B1913" s="34">
        <v>1234.1500000000001</v>
      </c>
      <c r="C1913" s="34">
        <f t="shared" si="58"/>
        <v>5.2399738069385865E-3</v>
      </c>
      <c r="E1913" s="33">
        <v>45183</v>
      </c>
      <c r="F1913" s="34">
        <v>67519</v>
      </c>
      <c r="G1913" s="34">
        <f t="shared" si="59"/>
        <v>7.7059852765049084E-4</v>
      </c>
    </row>
    <row r="1914" spans="1:7" x14ac:dyDescent="0.3">
      <c r="A1914" s="33">
        <v>45184</v>
      </c>
      <c r="B1914" s="34">
        <v>1235.7</v>
      </c>
      <c r="C1914" s="34">
        <f t="shared" si="58"/>
        <v>1.255137116412101E-3</v>
      </c>
      <c r="E1914" s="33">
        <v>45184</v>
      </c>
      <c r="F1914" s="34">
        <v>67838.63</v>
      </c>
      <c r="G1914" s="34">
        <f t="shared" si="59"/>
        <v>4.7227569527767731E-3</v>
      </c>
    </row>
    <row r="1915" spans="1:7" x14ac:dyDescent="0.3">
      <c r="A1915" s="33">
        <v>45187</v>
      </c>
      <c r="B1915" s="34">
        <v>1240.45</v>
      </c>
      <c r="C1915" s="34">
        <f t="shared" si="58"/>
        <v>3.8366058812956644E-3</v>
      </c>
      <c r="E1915" s="33">
        <v>45187</v>
      </c>
      <c r="F1915" s="34">
        <v>67596.84</v>
      </c>
      <c r="G1915" s="34">
        <f t="shared" si="59"/>
        <v>-3.5705603100824488E-3</v>
      </c>
    </row>
    <row r="1916" spans="1:7" x14ac:dyDescent="0.3">
      <c r="A1916" s="33">
        <v>45189</v>
      </c>
      <c r="B1916" s="34">
        <v>1238.8499999999999</v>
      </c>
      <c r="C1916" s="34">
        <f t="shared" si="58"/>
        <v>-1.2906870666047376E-3</v>
      </c>
      <c r="E1916" s="33">
        <v>45189</v>
      </c>
      <c r="F1916" s="34">
        <v>66800.84</v>
      </c>
      <c r="G1916" s="34">
        <f t="shared" si="59"/>
        <v>-1.1845581080343745E-2</v>
      </c>
    </row>
    <row r="1917" spans="1:7" x14ac:dyDescent="0.3">
      <c r="A1917" s="33">
        <v>45190</v>
      </c>
      <c r="B1917" s="34">
        <v>1207.1500000000001</v>
      </c>
      <c r="C1917" s="34">
        <f t="shared" si="58"/>
        <v>-2.5921320486672363E-2</v>
      </c>
      <c r="E1917" s="33">
        <v>45190</v>
      </c>
      <c r="F1917" s="34">
        <v>66230.240000000005</v>
      </c>
      <c r="G1917" s="34">
        <f t="shared" si="59"/>
        <v>-8.5784990880468214E-3</v>
      </c>
    </row>
    <row r="1918" spans="1:7" x14ac:dyDescent="0.3">
      <c r="A1918" s="33">
        <v>45191</v>
      </c>
      <c r="B1918" s="34">
        <v>1186.5999999999999</v>
      </c>
      <c r="C1918" s="34">
        <f t="shared" si="58"/>
        <v>-1.717013461362055E-2</v>
      </c>
      <c r="E1918" s="33">
        <v>45191</v>
      </c>
      <c r="F1918" s="34">
        <v>66009.149999999994</v>
      </c>
      <c r="G1918" s="34">
        <f t="shared" si="59"/>
        <v>-3.3437874448605373E-3</v>
      </c>
    </row>
    <row r="1919" spans="1:7" x14ac:dyDescent="0.3">
      <c r="A1919" s="33">
        <v>45194</v>
      </c>
      <c r="B1919" s="34">
        <v>1178.8</v>
      </c>
      <c r="C1919" s="34">
        <f t="shared" si="58"/>
        <v>-6.5951029610031714E-3</v>
      </c>
      <c r="E1919" s="33">
        <v>45194</v>
      </c>
      <c r="F1919" s="34">
        <v>66023.69</v>
      </c>
      <c r="G1919" s="34">
        <f t="shared" si="59"/>
        <v>2.2024823610223188E-4</v>
      </c>
    </row>
    <row r="1920" spans="1:7" x14ac:dyDescent="0.3">
      <c r="A1920" s="33">
        <v>45195</v>
      </c>
      <c r="B1920" s="34">
        <v>1163.8</v>
      </c>
      <c r="C1920" s="34">
        <f t="shared" si="58"/>
        <v>-1.2806458640970133E-2</v>
      </c>
      <c r="E1920" s="33">
        <v>45195</v>
      </c>
      <c r="F1920" s="34">
        <v>65945.47</v>
      </c>
      <c r="G1920" s="34">
        <f t="shared" si="59"/>
        <v>-1.1854286131673839E-3</v>
      </c>
    </row>
    <row r="1921" spans="1:7" x14ac:dyDescent="0.3">
      <c r="A1921" s="33">
        <v>45196</v>
      </c>
      <c r="B1921" s="34">
        <v>1180.5</v>
      </c>
      <c r="C1921" s="34">
        <f t="shared" si="58"/>
        <v>1.4247564302998023E-2</v>
      </c>
      <c r="E1921" s="33">
        <v>45196</v>
      </c>
      <c r="F1921" s="34">
        <v>66118.69</v>
      </c>
      <c r="G1921" s="34">
        <f t="shared" si="59"/>
        <v>2.6232718904999827E-3</v>
      </c>
    </row>
    <row r="1922" spans="1:7" x14ac:dyDescent="0.3">
      <c r="A1922" s="33">
        <v>45197</v>
      </c>
      <c r="B1922" s="34">
        <v>1164</v>
      </c>
      <c r="C1922" s="34">
        <f t="shared" si="58"/>
        <v>-1.4075728234184457E-2</v>
      </c>
      <c r="E1922" s="33">
        <v>45197</v>
      </c>
      <c r="F1922" s="34">
        <v>65508.32</v>
      </c>
      <c r="G1922" s="34">
        <f t="shared" si="59"/>
        <v>-9.274302819120046E-3</v>
      </c>
    </row>
    <row r="1923" spans="1:7" x14ac:dyDescent="0.3">
      <c r="A1923" s="33">
        <v>45198</v>
      </c>
      <c r="B1923" s="34">
        <v>1186.8</v>
      </c>
      <c r="C1923" s="34">
        <f t="shared" si="58"/>
        <v>1.9398260125283541E-2</v>
      </c>
      <c r="E1923" s="33">
        <v>45198</v>
      </c>
      <c r="F1923" s="34">
        <v>65828.41</v>
      </c>
      <c r="G1923" s="34">
        <f t="shared" si="59"/>
        <v>4.8743505911730033E-3</v>
      </c>
    </row>
    <row r="1924" spans="1:7" x14ac:dyDescent="0.3">
      <c r="A1924" s="33">
        <v>45202</v>
      </c>
      <c r="B1924" s="34">
        <v>1182.6500000000001</v>
      </c>
      <c r="C1924" s="34">
        <f t="shared" si="58"/>
        <v>-3.5029262010543918E-3</v>
      </c>
      <c r="E1924" s="33">
        <v>45202</v>
      </c>
      <c r="F1924" s="34">
        <v>65512.1</v>
      </c>
      <c r="G1924" s="34">
        <f t="shared" si="59"/>
        <v>-4.8166496617904307E-3</v>
      </c>
    </row>
    <row r="1925" spans="1:7" x14ac:dyDescent="0.3">
      <c r="A1925" s="33">
        <v>45203</v>
      </c>
      <c r="B1925" s="34">
        <v>1167.0999999999999</v>
      </c>
      <c r="C1925" s="34">
        <f t="shared" si="58"/>
        <v>-1.3235643797304408E-2</v>
      </c>
      <c r="E1925" s="33">
        <v>45203</v>
      </c>
      <c r="F1925" s="34">
        <v>65226.04</v>
      </c>
      <c r="G1925" s="34">
        <f t="shared" si="59"/>
        <v>-4.3760827025122887E-3</v>
      </c>
    </row>
    <row r="1926" spans="1:7" x14ac:dyDescent="0.3">
      <c r="A1926" s="33">
        <v>45204</v>
      </c>
      <c r="B1926" s="34">
        <v>1161.0999999999999</v>
      </c>
      <c r="C1926" s="34">
        <f t="shared" si="58"/>
        <v>-5.1542077853475093E-3</v>
      </c>
      <c r="E1926" s="33">
        <v>45204</v>
      </c>
      <c r="F1926" s="34">
        <v>65631.570000000007</v>
      </c>
      <c r="G1926" s="34">
        <f t="shared" si="59"/>
        <v>6.1980544842873027E-3</v>
      </c>
    </row>
    <row r="1927" spans="1:7" x14ac:dyDescent="0.3">
      <c r="A1927" s="33">
        <v>45205</v>
      </c>
      <c r="B1927" s="34">
        <v>1162.8499999999999</v>
      </c>
      <c r="C1927" s="34">
        <f t="shared" ref="C1927:C1990" si="60">LN(B1927/B1926)</f>
        <v>1.5060567833044356E-3</v>
      </c>
      <c r="E1927" s="33">
        <v>45205</v>
      </c>
      <c r="F1927" s="34">
        <v>65995.63</v>
      </c>
      <c r="G1927" s="34">
        <f t="shared" ref="G1927:G1990" si="61">LN(F1927/F1926)</f>
        <v>5.531697526692741E-3</v>
      </c>
    </row>
    <row r="1928" spans="1:7" x14ac:dyDescent="0.3">
      <c r="A1928" s="33">
        <v>45208</v>
      </c>
      <c r="B1928" s="34">
        <v>1159.5999999999999</v>
      </c>
      <c r="C1928" s="34">
        <f t="shared" si="60"/>
        <v>-2.7987703687644221E-3</v>
      </c>
      <c r="E1928" s="33">
        <v>45208</v>
      </c>
      <c r="F1928" s="34">
        <v>65512.39</v>
      </c>
      <c r="G1928" s="34">
        <f t="shared" si="61"/>
        <v>-7.349242655099222E-3</v>
      </c>
    </row>
    <row r="1929" spans="1:7" x14ac:dyDescent="0.3">
      <c r="A1929" s="33">
        <v>45209</v>
      </c>
      <c r="B1929" s="34">
        <v>1155</v>
      </c>
      <c r="C1929" s="34">
        <f t="shared" si="60"/>
        <v>-3.9747740916063973E-3</v>
      </c>
      <c r="E1929" s="33">
        <v>45209</v>
      </c>
      <c r="F1929" s="34">
        <v>66079.360000000001</v>
      </c>
      <c r="G1929" s="34">
        <f t="shared" si="61"/>
        <v>8.6171588778013557E-3</v>
      </c>
    </row>
    <row r="1930" spans="1:7" x14ac:dyDescent="0.3">
      <c r="A1930" s="33">
        <v>45210</v>
      </c>
      <c r="B1930" s="34">
        <v>1170.8</v>
      </c>
      <c r="C1930" s="34">
        <f t="shared" si="60"/>
        <v>1.3586931861836925E-2</v>
      </c>
      <c r="E1930" s="33">
        <v>45210</v>
      </c>
      <c r="F1930" s="34">
        <v>66473.05</v>
      </c>
      <c r="G1930" s="34">
        <f t="shared" si="61"/>
        <v>5.9401584268105254E-3</v>
      </c>
    </row>
    <row r="1931" spans="1:7" x14ac:dyDescent="0.3">
      <c r="A1931" s="33">
        <v>45211</v>
      </c>
      <c r="B1931" s="34">
        <v>1157.45</v>
      </c>
      <c r="C1931" s="34">
        <f t="shared" si="60"/>
        <v>-1.1467966334615659E-2</v>
      </c>
      <c r="E1931" s="33">
        <v>45211</v>
      </c>
      <c r="F1931" s="34">
        <v>66408.39</v>
      </c>
      <c r="G1931" s="34">
        <f t="shared" si="61"/>
        <v>-9.7319844070590752E-4</v>
      </c>
    </row>
    <row r="1932" spans="1:7" x14ac:dyDescent="0.3">
      <c r="A1932" s="33">
        <v>45212</v>
      </c>
      <c r="B1932" s="34">
        <v>1167.95</v>
      </c>
      <c r="C1932" s="34">
        <f t="shared" si="60"/>
        <v>9.0307657695812994E-3</v>
      </c>
      <c r="E1932" s="33">
        <v>45212</v>
      </c>
      <c r="F1932" s="34">
        <v>66282.740000000005</v>
      </c>
      <c r="G1932" s="34">
        <f t="shared" si="61"/>
        <v>-1.8938724473336714E-3</v>
      </c>
    </row>
    <row r="1933" spans="1:7" x14ac:dyDescent="0.3">
      <c r="A1933" s="33">
        <v>45215</v>
      </c>
      <c r="B1933" s="34">
        <v>1164.4000000000001</v>
      </c>
      <c r="C1933" s="34">
        <f t="shared" si="60"/>
        <v>-3.0441423812281325E-3</v>
      </c>
      <c r="E1933" s="33">
        <v>45215</v>
      </c>
      <c r="F1933" s="34">
        <v>66166.929999999993</v>
      </c>
      <c r="G1933" s="34">
        <f t="shared" si="61"/>
        <v>-1.7487401744851814E-3</v>
      </c>
    </row>
    <row r="1934" spans="1:7" x14ac:dyDescent="0.3">
      <c r="A1934" s="33">
        <v>45216</v>
      </c>
      <c r="B1934" s="34">
        <v>1173.5</v>
      </c>
      <c r="C1934" s="34">
        <f t="shared" si="60"/>
        <v>7.7848034196099829E-3</v>
      </c>
      <c r="E1934" s="33">
        <v>45216</v>
      </c>
      <c r="F1934" s="34">
        <v>66428.09</v>
      </c>
      <c r="G1934" s="34">
        <f t="shared" si="61"/>
        <v>3.93921789387079E-3</v>
      </c>
    </row>
    <row r="1935" spans="1:7" x14ac:dyDescent="0.3">
      <c r="A1935" s="33">
        <v>45217</v>
      </c>
      <c r="B1935" s="34">
        <v>1210.55</v>
      </c>
      <c r="C1935" s="34">
        <f t="shared" si="60"/>
        <v>3.1084065479763053E-2</v>
      </c>
      <c r="E1935" s="33">
        <v>45217</v>
      </c>
      <c r="F1935" s="34">
        <v>65877.02</v>
      </c>
      <c r="G1935" s="34">
        <f t="shared" si="61"/>
        <v>-8.3303386659392912E-3</v>
      </c>
    </row>
    <row r="1936" spans="1:7" x14ac:dyDescent="0.3">
      <c r="A1936" s="33">
        <v>45218</v>
      </c>
      <c r="B1936" s="34">
        <v>1223.3</v>
      </c>
      <c r="C1936" s="34">
        <f t="shared" si="60"/>
        <v>1.0477323282029478E-2</v>
      </c>
      <c r="E1936" s="33">
        <v>45218</v>
      </c>
      <c r="F1936" s="34">
        <v>65629.240000000005</v>
      </c>
      <c r="G1936" s="34">
        <f t="shared" si="61"/>
        <v>-3.7683421795217391E-3</v>
      </c>
    </row>
    <row r="1937" spans="1:7" x14ac:dyDescent="0.3">
      <c r="A1937" s="33">
        <v>45219</v>
      </c>
      <c r="B1937" s="34">
        <v>1199.8499999999999</v>
      </c>
      <c r="C1937" s="34">
        <f t="shared" si="60"/>
        <v>-1.9355576089930097E-2</v>
      </c>
      <c r="E1937" s="33">
        <v>45219</v>
      </c>
      <c r="F1937" s="34">
        <v>65397.62</v>
      </c>
      <c r="G1937" s="34">
        <f t="shared" si="61"/>
        <v>-3.5354619848322636E-3</v>
      </c>
    </row>
    <row r="1938" spans="1:7" x14ac:dyDescent="0.3">
      <c r="A1938" s="33">
        <v>45222</v>
      </c>
      <c r="B1938" s="34">
        <v>1183.3</v>
      </c>
      <c r="C1938" s="34">
        <f t="shared" si="60"/>
        <v>-1.3889403572427359E-2</v>
      </c>
      <c r="E1938" s="33">
        <v>45222</v>
      </c>
      <c r="F1938" s="34">
        <v>64571.88</v>
      </c>
      <c r="G1938" s="34">
        <f t="shared" si="61"/>
        <v>-1.2706844460737445E-2</v>
      </c>
    </row>
    <row r="1939" spans="1:7" x14ac:dyDescent="0.3">
      <c r="A1939" s="33">
        <v>45224</v>
      </c>
      <c r="B1939" s="34">
        <v>1156.7</v>
      </c>
      <c r="C1939" s="34">
        <f t="shared" si="60"/>
        <v>-2.2736022089157228E-2</v>
      </c>
      <c r="E1939" s="33">
        <v>45224</v>
      </c>
      <c r="F1939" s="34">
        <v>64049.06</v>
      </c>
      <c r="G1939" s="34">
        <f t="shared" si="61"/>
        <v>-8.129669702221301E-3</v>
      </c>
    </row>
    <row r="1940" spans="1:7" x14ac:dyDescent="0.3">
      <c r="A1940" s="33">
        <v>45225</v>
      </c>
      <c r="B1940" s="34">
        <v>1150.1500000000001</v>
      </c>
      <c r="C1940" s="34">
        <f t="shared" si="60"/>
        <v>-5.6787546673279631E-3</v>
      </c>
      <c r="E1940" s="33">
        <v>45225</v>
      </c>
      <c r="F1940" s="34">
        <v>63148.15</v>
      </c>
      <c r="G1940" s="34">
        <f t="shared" si="61"/>
        <v>-1.4165799161900099E-2</v>
      </c>
    </row>
    <row r="1941" spans="1:7" x14ac:dyDescent="0.3">
      <c r="A1941" s="33">
        <v>45226</v>
      </c>
      <c r="B1941" s="34">
        <v>1173.8499999999999</v>
      </c>
      <c r="C1941" s="34">
        <f t="shared" si="60"/>
        <v>2.0396576277489302E-2</v>
      </c>
      <c r="E1941" s="33">
        <v>45226</v>
      </c>
      <c r="F1941" s="34">
        <v>63782.8</v>
      </c>
      <c r="G1941" s="34">
        <f t="shared" si="61"/>
        <v>1.0000008488869989E-2</v>
      </c>
    </row>
    <row r="1942" spans="1:7" x14ac:dyDescent="0.3">
      <c r="A1942" s="33">
        <v>45229</v>
      </c>
      <c r="B1942" s="34">
        <v>1193.05</v>
      </c>
      <c r="C1942" s="34">
        <f t="shared" si="60"/>
        <v>1.6224108456516759E-2</v>
      </c>
      <c r="E1942" s="33">
        <v>45229</v>
      </c>
      <c r="F1942" s="34">
        <v>64112.65</v>
      </c>
      <c r="G1942" s="34">
        <f t="shared" si="61"/>
        <v>5.1581308223353521E-3</v>
      </c>
    </row>
    <row r="1943" spans="1:7" x14ac:dyDescent="0.3">
      <c r="A1943" s="33">
        <v>45230</v>
      </c>
      <c r="B1943" s="34">
        <v>1199.4000000000001</v>
      </c>
      <c r="C1943" s="34">
        <f t="shared" si="60"/>
        <v>5.308378366375449E-3</v>
      </c>
      <c r="E1943" s="33">
        <v>45230</v>
      </c>
      <c r="F1943" s="34">
        <v>63874.93</v>
      </c>
      <c r="G1943" s="34">
        <f t="shared" si="61"/>
        <v>-3.7147397171490436E-3</v>
      </c>
    </row>
    <row r="1944" spans="1:7" x14ac:dyDescent="0.3">
      <c r="A1944" s="33">
        <v>45231</v>
      </c>
      <c r="B1944" s="34">
        <v>1200.9000000000001</v>
      </c>
      <c r="C1944" s="34">
        <f t="shared" si="60"/>
        <v>1.2498439322282107E-3</v>
      </c>
      <c r="E1944" s="33">
        <v>45231</v>
      </c>
      <c r="F1944" s="34">
        <v>63591.33</v>
      </c>
      <c r="G1944" s="34">
        <f t="shared" si="61"/>
        <v>-4.4498123340161741E-3</v>
      </c>
    </row>
    <row r="1945" spans="1:7" x14ac:dyDescent="0.3">
      <c r="A1945" s="33">
        <v>45232</v>
      </c>
      <c r="B1945" s="34">
        <v>1208.55</v>
      </c>
      <c r="C1945" s="34">
        <f t="shared" si="60"/>
        <v>6.35001822467698E-3</v>
      </c>
      <c r="E1945" s="33">
        <v>45232</v>
      </c>
      <c r="F1945" s="34">
        <v>64080.9</v>
      </c>
      <c r="G1945" s="34">
        <f t="shared" si="61"/>
        <v>7.6692073064537547E-3</v>
      </c>
    </row>
    <row r="1946" spans="1:7" x14ac:dyDescent="0.3">
      <c r="A1946" s="33">
        <v>45233</v>
      </c>
      <c r="B1946" s="34">
        <v>1206.1500000000001</v>
      </c>
      <c r="C1946" s="34">
        <f t="shared" si="60"/>
        <v>-1.9878252290467702E-3</v>
      </c>
      <c r="E1946" s="33">
        <v>45233</v>
      </c>
      <c r="F1946" s="34">
        <v>64363.78</v>
      </c>
      <c r="G1946" s="34">
        <f t="shared" si="61"/>
        <v>4.4047049259823461E-3</v>
      </c>
    </row>
    <row r="1947" spans="1:7" x14ac:dyDescent="0.3">
      <c r="A1947" s="33">
        <v>45236</v>
      </c>
      <c r="B1947" s="34">
        <v>1204.05</v>
      </c>
      <c r="C1947" s="34">
        <f t="shared" si="60"/>
        <v>-1.7425944165723379E-3</v>
      </c>
      <c r="E1947" s="33">
        <v>45236</v>
      </c>
      <c r="F1947" s="34">
        <v>64958.69</v>
      </c>
      <c r="G1947" s="34">
        <f t="shared" si="61"/>
        <v>9.2004768626460266E-3</v>
      </c>
    </row>
    <row r="1948" spans="1:7" x14ac:dyDescent="0.3">
      <c r="A1948" s="33">
        <v>45237</v>
      </c>
      <c r="B1948" s="34">
        <v>1215.9000000000001</v>
      </c>
      <c r="C1948" s="34">
        <f t="shared" si="60"/>
        <v>9.7936690566771279E-3</v>
      </c>
      <c r="E1948" s="33">
        <v>45237</v>
      </c>
      <c r="F1948" s="34">
        <v>64942.400000000001</v>
      </c>
      <c r="G1948" s="34">
        <f t="shared" si="61"/>
        <v>-2.5080621087003656E-4</v>
      </c>
    </row>
    <row r="1949" spans="1:7" x14ac:dyDescent="0.3">
      <c r="A1949" s="33">
        <v>45238</v>
      </c>
      <c r="B1949" s="34">
        <v>1240.55</v>
      </c>
      <c r="C1949" s="34">
        <f t="shared" si="60"/>
        <v>2.0070286345298224E-2</v>
      </c>
      <c r="E1949" s="33">
        <v>45238</v>
      </c>
      <c r="F1949" s="34">
        <v>64975.61</v>
      </c>
      <c r="G1949" s="34">
        <f t="shared" si="61"/>
        <v>5.1124552667246911E-4</v>
      </c>
    </row>
    <row r="1950" spans="1:7" x14ac:dyDescent="0.3">
      <c r="A1950" s="33">
        <v>45239</v>
      </c>
      <c r="B1950" s="34">
        <v>1238.45</v>
      </c>
      <c r="C1950" s="34">
        <f t="shared" si="60"/>
        <v>-1.6942319502409827E-3</v>
      </c>
      <c r="E1950" s="33">
        <v>45239</v>
      </c>
      <c r="F1950" s="34">
        <v>64832.2</v>
      </c>
      <c r="G1950" s="34">
        <f t="shared" si="61"/>
        <v>-2.2095751919183801E-3</v>
      </c>
    </row>
    <row r="1951" spans="1:7" x14ac:dyDescent="0.3">
      <c r="A1951" s="33">
        <v>45240</v>
      </c>
      <c r="B1951" s="34">
        <v>1240</v>
      </c>
      <c r="C1951" s="34">
        <f t="shared" si="60"/>
        <v>1.2507819016526766E-3</v>
      </c>
      <c r="E1951" s="33">
        <v>45240</v>
      </c>
      <c r="F1951" s="34">
        <v>64904.68</v>
      </c>
      <c r="G1951" s="34">
        <f t="shared" si="61"/>
        <v>1.1173385322755856E-3</v>
      </c>
    </row>
    <row r="1952" spans="1:7" x14ac:dyDescent="0.3">
      <c r="A1952" s="33">
        <v>45242</v>
      </c>
      <c r="B1952" s="34">
        <v>1244.2</v>
      </c>
      <c r="C1952" s="34">
        <f t="shared" si="60"/>
        <v>3.3813734818368816E-3</v>
      </c>
      <c r="E1952" s="33">
        <v>45242</v>
      </c>
      <c r="F1952" s="34">
        <v>65259.45</v>
      </c>
      <c r="G1952" s="34">
        <f t="shared" si="61"/>
        <v>5.4511312524241429E-3</v>
      </c>
    </row>
    <row r="1953" spans="1:7" x14ac:dyDescent="0.3">
      <c r="A1953" s="33">
        <v>45243</v>
      </c>
      <c r="B1953" s="34">
        <v>1240.3499999999999</v>
      </c>
      <c r="C1953" s="34">
        <f t="shared" si="60"/>
        <v>-3.0991552446340987E-3</v>
      </c>
      <c r="E1953" s="33">
        <v>45243</v>
      </c>
      <c r="F1953" s="34">
        <v>64933.87</v>
      </c>
      <c r="G1953" s="34">
        <f t="shared" si="61"/>
        <v>-5.0014959092725582E-3</v>
      </c>
    </row>
    <row r="1954" spans="1:7" x14ac:dyDescent="0.3">
      <c r="A1954" s="33">
        <v>45245</v>
      </c>
      <c r="B1954" s="34">
        <v>1241.3499999999999</v>
      </c>
      <c r="C1954" s="34">
        <f t="shared" si="60"/>
        <v>8.0589922562979708E-4</v>
      </c>
      <c r="E1954" s="33">
        <v>45245</v>
      </c>
      <c r="F1954" s="34">
        <v>65675.929999999993</v>
      </c>
      <c r="G1954" s="34">
        <f t="shared" si="61"/>
        <v>1.1363128717620631E-2</v>
      </c>
    </row>
    <row r="1955" spans="1:7" x14ac:dyDescent="0.3">
      <c r="A1955" s="33">
        <v>45246</v>
      </c>
      <c r="B1955" s="34">
        <v>1234.8499999999999</v>
      </c>
      <c r="C1955" s="34">
        <f t="shared" si="60"/>
        <v>-5.2499918662744392E-3</v>
      </c>
      <c r="E1955" s="33">
        <v>45246</v>
      </c>
      <c r="F1955" s="34">
        <v>65982.48</v>
      </c>
      <c r="G1955" s="34">
        <f t="shared" si="61"/>
        <v>4.656756130821298E-3</v>
      </c>
    </row>
    <row r="1956" spans="1:7" x14ac:dyDescent="0.3">
      <c r="A1956" s="33">
        <v>45247</v>
      </c>
      <c r="B1956" s="34">
        <v>1249.3499999999999</v>
      </c>
      <c r="C1956" s="34">
        <f t="shared" si="60"/>
        <v>1.1673910853818394E-2</v>
      </c>
      <c r="E1956" s="33">
        <v>45247</v>
      </c>
      <c r="F1956" s="34">
        <v>65794.73</v>
      </c>
      <c r="G1956" s="34">
        <f t="shared" si="61"/>
        <v>-2.849508303285776E-3</v>
      </c>
    </row>
    <row r="1957" spans="1:7" x14ac:dyDescent="0.3">
      <c r="A1957" s="33">
        <v>45250</v>
      </c>
      <c r="B1957" s="34">
        <v>1246.75</v>
      </c>
      <c r="C1957" s="34">
        <f t="shared" si="60"/>
        <v>-2.0832506232271565E-3</v>
      </c>
      <c r="E1957" s="33">
        <v>45250</v>
      </c>
      <c r="F1957" s="34">
        <v>65655.149999999994</v>
      </c>
      <c r="G1957" s="34">
        <f t="shared" si="61"/>
        <v>-2.1236999601672714E-3</v>
      </c>
    </row>
    <row r="1958" spans="1:7" x14ac:dyDescent="0.3">
      <c r="A1958" s="33">
        <v>45251</v>
      </c>
      <c r="B1958" s="34">
        <v>1253.8499999999999</v>
      </c>
      <c r="C1958" s="34">
        <f t="shared" si="60"/>
        <v>5.6786523870427782E-3</v>
      </c>
      <c r="E1958" s="33">
        <v>45251</v>
      </c>
      <c r="F1958" s="34">
        <v>65930.77</v>
      </c>
      <c r="G1958" s="34">
        <f t="shared" si="61"/>
        <v>4.1892081323266547E-3</v>
      </c>
    </row>
    <row r="1959" spans="1:7" x14ac:dyDescent="0.3">
      <c r="A1959" s="33">
        <v>45252</v>
      </c>
      <c r="B1959" s="34">
        <v>1271.6500000000001</v>
      </c>
      <c r="C1959" s="34">
        <f t="shared" si="60"/>
        <v>1.409645199139129E-2</v>
      </c>
      <c r="E1959" s="33">
        <v>45252</v>
      </c>
      <c r="F1959" s="34">
        <v>66023.240000000005</v>
      </c>
      <c r="G1959" s="34">
        <f t="shared" si="61"/>
        <v>1.4015491478716958E-3</v>
      </c>
    </row>
    <row r="1960" spans="1:7" x14ac:dyDescent="0.3">
      <c r="A1960" s="33">
        <v>45253</v>
      </c>
      <c r="B1960" s="34">
        <v>1168.5999999999999</v>
      </c>
      <c r="C1960" s="34">
        <f t="shared" si="60"/>
        <v>-8.4508818684329537E-2</v>
      </c>
      <c r="E1960" s="33">
        <v>45253</v>
      </c>
      <c r="F1960" s="34">
        <v>66017.81</v>
      </c>
      <c r="G1960" s="34">
        <f t="shared" si="61"/>
        <v>-8.2247149701860256E-5</v>
      </c>
    </row>
    <row r="1961" spans="1:7" x14ac:dyDescent="0.3">
      <c r="A1961" s="33">
        <v>45254</v>
      </c>
      <c r="B1961" s="34">
        <v>1198.8499999999999</v>
      </c>
      <c r="C1961" s="34">
        <f t="shared" si="60"/>
        <v>2.5556312827443122E-2</v>
      </c>
      <c r="E1961" s="33">
        <v>45254</v>
      </c>
      <c r="F1961" s="34">
        <v>65970.039999999994</v>
      </c>
      <c r="G1961" s="34">
        <f t="shared" si="61"/>
        <v>-7.2385453791126817E-4</v>
      </c>
    </row>
    <row r="1962" spans="1:7" x14ac:dyDescent="0.3">
      <c r="A1962" s="33">
        <v>45258</v>
      </c>
      <c r="B1962" s="34">
        <v>1192.05</v>
      </c>
      <c r="C1962" s="34">
        <f t="shared" si="60"/>
        <v>-5.6882498934816682E-3</v>
      </c>
      <c r="E1962" s="33">
        <v>45258</v>
      </c>
      <c r="F1962" s="34">
        <v>66174.2</v>
      </c>
      <c r="G1962" s="34">
        <f t="shared" si="61"/>
        <v>3.089959311744534E-3</v>
      </c>
    </row>
    <row r="1963" spans="1:7" x14ac:dyDescent="0.3">
      <c r="A1963" s="33">
        <v>45259</v>
      </c>
      <c r="B1963" s="34">
        <v>1201.9000000000001</v>
      </c>
      <c r="C1963" s="34">
        <f t="shared" si="60"/>
        <v>8.2291239044452579E-3</v>
      </c>
      <c r="E1963" s="33">
        <v>45259</v>
      </c>
      <c r="F1963" s="34">
        <v>66901.91</v>
      </c>
      <c r="G1963" s="34">
        <f t="shared" si="61"/>
        <v>1.0936857918821987E-2</v>
      </c>
    </row>
    <row r="1964" spans="1:7" x14ac:dyDescent="0.3">
      <c r="A1964" s="33">
        <v>45260</v>
      </c>
      <c r="B1964" s="34">
        <v>1211.5</v>
      </c>
      <c r="C1964" s="34">
        <f t="shared" si="60"/>
        <v>7.9556232978371805E-3</v>
      </c>
      <c r="E1964" s="33">
        <v>45260</v>
      </c>
      <c r="F1964" s="34">
        <v>66988.44</v>
      </c>
      <c r="G1964" s="34">
        <f t="shared" si="61"/>
        <v>1.2925503898830455E-3</v>
      </c>
    </row>
    <row r="1965" spans="1:7" x14ac:dyDescent="0.3">
      <c r="A1965" s="33">
        <v>45261</v>
      </c>
      <c r="B1965" s="34">
        <v>1206.6500000000001</v>
      </c>
      <c r="C1965" s="34">
        <f t="shared" si="60"/>
        <v>-4.0113363549581392E-3</v>
      </c>
      <c r="E1965" s="33">
        <v>45261</v>
      </c>
      <c r="F1965" s="34">
        <v>67481.19</v>
      </c>
      <c r="G1965" s="34">
        <f t="shared" si="61"/>
        <v>7.3288251857883766E-3</v>
      </c>
    </row>
    <row r="1966" spans="1:7" x14ac:dyDescent="0.3">
      <c r="A1966" s="33">
        <v>45264</v>
      </c>
      <c r="B1966" s="34">
        <v>1216.55</v>
      </c>
      <c r="C1966" s="34">
        <f t="shared" si="60"/>
        <v>8.1710589980668932E-3</v>
      </c>
      <c r="E1966" s="33">
        <v>45264</v>
      </c>
      <c r="F1966" s="34">
        <v>68865.119999999995</v>
      </c>
      <c r="G1966" s="34">
        <f t="shared" si="61"/>
        <v>2.0300916530481338E-2</v>
      </c>
    </row>
    <row r="1967" spans="1:7" x14ac:dyDescent="0.3">
      <c r="A1967" s="33">
        <v>45265</v>
      </c>
      <c r="B1967" s="34">
        <v>1224.0999999999999</v>
      </c>
      <c r="C1967" s="34">
        <f t="shared" si="60"/>
        <v>6.1868961817775018E-3</v>
      </c>
      <c r="E1967" s="33">
        <v>45265</v>
      </c>
      <c r="F1967" s="34">
        <v>69296.14</v>
      </c>
      <c r="G1967" s="34">
        <f t="shared" si="61"/>
        <v>6.2393958813346789E-3</v>
      </c>
    </row>
    <row r="1968" spans="1:7" x14ac:dyDescent="0.3">
      <c r="A1968" s="33">
        <v>45266</v>
      </c>
      <c r="B1968" s="34">
        <v>1205.5</v>
      </c>
      <c r="C1968" s="34">
        <f t="shared" si="60"/>
        <v>-1.5311461460240983E-2</v>
      </c>
      <c r="E1968" s="33">
        <v>45266</v>
      </c>
      <c r="F1968" s="34">
        <v>69653.73</v>
      </c>
      <c r="G1968" s="34">
        <f t="shared" si="61"/>
        <v>5.147047484709311E-3</v>
      </c>
    </row>
    <row r="1969" spans="1:7" x14ac:dyDescent="0.3">
      <c r="A1969" s="33">
        <v>45267</v>
      </c>
      <c r="B1969" s="34">
        <v>1222.9000000000001</v>
      </c>
      <c r="C1969" s="34">
        <f t="shared" si="60"/>
        <v>1.4330668574098522E-2</v>
      </c>
      <c r="E1969" s="33">
        <v>45267</v>
      </c>
      <c r="F1969" s="34">
        <v>69521.69</v>
      </c>
      <c r="G1969" s="34">
        <f t="shared" si="61"/>
        <v>-1.8974620606997882E-3</v>
      </c>
    </row>
    <row r="1970" spans="1:7" x14ac:dyDescent="0.3">
      <c r="A1970" s="33">
        <v>45268</v>
      </c>
      <c r="B1970" s="34">
        <v>1219.3499999999999</v>
      </c>
      <c r="C1970" s="34">
        <f t="shared" si="60"/>
        <v>-2.9071573346333133E-3</v>
      </c>
      <c r="E1970" s="33">
        <v>45268</v>
      </c>
      <c r="F1970" s="34">
        <v>69825.600000000006</v>
      </c>
      <c r="G1970" s="34">
        <f t="shared" si="61"/>
        <v>4.3619144922976564E-3</v>
      </c>
    </row>
    <row r="1971" spans="1:7" x14ac:dyDescent="0.3">
      <c r="A1971" s="33">
        <v>45271</v>
      </c>
      <c r="B1971" s="34">
        <v>1202.5999999999999</v>
      </c>
      <c r="C1971" s="34">
        <f t="shared" si="60"/>
        <v>-1.3832050255222706E-2</v>
      </c>
      <c r="E1971" s="33">
        <v>45271</v>
      </c>
      <c r="F1971" s="34">
        <v>69928.53</v>
      </c>
      <c r="G1971" s="34">
        <f t="shared" si="61"/>
        <v>1.4730157686393831E-3</v>
      </c>
    </row>
    <row r="1972" spans="1:7" x14ac:dyDescent="0.3">
      <c r="A1972" s="33">
        <v>45272</v>
      </c>
      <c r="B1972" s="34">
        <v>1198.5999999999999</v>
      </c>
      <c r="C1972" s="34">
        <f t="shared" si="60"/>
        <v>-3.3316705813833856E-3</v>
      </c>
      <c r="E1972" s="33">
        <v>45272</v>
      </c>
      <c r="F1972" s="34">
        <v>69551.03</v>
      </c>
      <c r="G1972" s="34">
        <f t="shared" si="61"/>
        <v>-5.412992724441291E-3</v>
      </c>
    </row>
    <row r="1973" spans="1:7" x14ac:dyDescent="0.3">
      <c r="A1973" s="33">
        <v>45273</v>
      </c>
      <c r="B1973" s="34">
        <v>1216.4000000000001</v>
      </c>
      <c r="C1973" s="34">
        <f t="shared" si="60"/>
        <v>1.4741467779124811E-2</v>
      </c>
      <c r="E1973" s="33">
        <v>45273</v>
      </c>
      <c r="F1973" s="34">
        <v>69584.600000000006</v>
      </c>
      <c r="G1973" s="34">
        <f t="shared" si="61"/>
        <v>4.8255074061791595E-4</v>
      </c>
    </row>
    <row r="1974" spans="1:7" x14ac:dyDescent="0.3">
      <c r="A1974" s="33">
        <v>45274</v>
      </c>
      <c r="B1974" s="34">
        <v>1204.55</v>
      </c>
      <c r="C1974" s="34">
        <f t="shared" si="60"/>
        <v>-9.789623609426314E-3</v>
      </c>
      <c r="E1974" s="33">
        <v>45274</v>
      </c>
      <c r="F1974" s="34">
        <v>70514.2</v>
      </c>
      <c r="G1974" s="34">
        <f t="shared" si="61"/>
        <v>1.3270829485982407E-2</v>
      </c>
    </row>
    <row r="1975" spans="1:7" x14ac:dyDescent="0.3">
      <c r="A1975" s="33">
        <v>45275</v>
      </c>
      <c r="B1975" s="34">
        <v>1205.7</v>
      </c>
      <c r="C1975" s="34">
        <f t="shared" si="60"/>
        <v>9.5425792948182454E-4</v>
      </c>
      <c r="E1975" s="33">
        <v>45275</v>
      </c>
      <c r="F1975" s="34">
        <v>71483.75</v>
      </c>
      <c r="G1975" s="34">
        <f t="shared" si="61"/>
        <v>1.3656043166360418E-2</v>
      </c>
    </row>
    <row r="1976" spans="1:7" x14ac:dyDescent="0.3">
      <c r="A1976" s="33">
        <v>45278</v>
      </c>
      <c r="B1976" s="34">
        <v>1216.95</v>
      </c>
      <c r="C1976" s="34">
        <f t="shared" si="60"/>
        <v>9.2874173859185914E-3</v>
      </c>
      <c r="E1976" s="33">
        <v>45278</v>
      </c>
      <c r="F1976" s="34">
        <v>71315.09</v>
      </c>
      <c r="G1976" s="34">
        <f t="shared" si="61"/>
        <v>-2.3622051611495668E-3</v>
      </c>
    </row>
    <row r="1977" spans="1:7" x14ac:dyDescent="0.3">
      <c r="A1977" s="33">
        <v>45279</v>
      </c>
      <c r="B1977" s="34">
        <v>1236.45</v>
      </c>
      <c r="C1977" s="34">
        <f t="shared" si="60"/>
        <v>1.5896641918162487E-2</v>
      </c>
      <c r="E1977" s="33">
        <v>45279</v>
      </c>
      <c r="F1977" s="34">
        <v>71437.19</v>
      </c>
      <c r="G1977" s="34">
        <f t="shared" si="61"/>
        <v>1.7106561068665376E-3</v>
      </c>
    </row>
    <row r="1978" spans="1:7" x14ac:dyDescent="0.3">
      <c r="A1978" s="33">
        <v>45280</v>
      </c>
      <c r="B1978" s="34">
        <v>1234.7</v>
      </c>
      <c r="C1978" s="34">
        <f t="shared" si="60"/>
        <v>-1.4163448536482668E-3</v>
      </c>
      <c r="E1978" s="33">
        <v>45280</v>
      </c>
      <c r="F1978" s="34">
        <v>70506.31</v>
      </c>
      <c r="G1978" s="34">
        <f t="shared" si="61"/>
        <v>-1.3116392728927326E-2</v>
      </c>
    </row>
    <row r="1979" spans="1:7" x14ac:dyDescent="0.3">
      <c r="A1979" s="33">
        <v>45281</v>
      </c>
      <c r="B1979" s="34">
        <v>1222.55</v>
      </c>
      <c r="C1979" s="34">
        <f t="shared" si="60"/>
        <v>-9.8891842655437698E-3</v>
      </c>
      <c r="E1979" s="33">
        <v>45281</v>
      </c>
      <c r="F1979" s="34">
        <v>70865.100000000006</v>
      </c>
      <c r="G1979" s="34">
        <f t="shared" si="61"/>
        <v>5.0758603926002784E-3</v>
      </c>
    </row>
    <row r="1980" spans="1:7" x14ac:dyDescent="0.3">
      <c r="A1980" s="33">
        <v>45282</v>
      </c>
      <c r="B1980" s="34">
        <v>1235.3499999999999</v>
      </c>
      <c r="C1980" s="34">
        <f t="shared" si="60"/>
        <v>1.0415489413215961E-2</v>
      </c>
      <c r="E1980" s="33">
        <v>45282</v>
      </c>
      <c r="F1980" s="34">
        <v>71106.960000000006</v>
      </c>
      <c r="G1980" s="34">
        <f t="shared" si="61"/>
        <v>3.4071525618924515E-3</v>
      </c>
    </row>
    <row r="1981" spans="1:7" x14ac:dyDescent="0.3">
      <c r="A1981" s="33">
        <v>45286</v>
      </c>
      <c r="B1981" s="34">
        <v>1245.3499999999999</v>
      </c>
      <c r="C1981" s="34">
        <f t="shared" si="60"/>
        <v>8.0622841673422749E-3</v>
      </c>
      <c r="E1981" s="33">
        <v>45286</v>
      </c>
      <c r="F1981" s="34">
        <v>71336.800000000003</v>
      </c>
      <c r="G1981" s="34">
        <f t="shared" si="61"/>
        <v>3.2271009901205304E-3</v>
      </c>
    </row>
    <row r="1982" spans="1:7" x14ac:dyDescent="0.3">
      <c r="A1982" s="33">
        <v>45287</v>
      </c>
      <c r="B1982" s="34">
        <v>1239.45</v>
      </c>
      <c r="C1982" s="34">
        <f t="shared" si="60"/>
        <v>-4.7488820734093839E-3</v>
      </c>
      <c r="E1982" s="33">
        <v>45287</v>
      </c>
      <c r="F1982" s="34">
        <v>72038.429999999993</v>
      </c>
      <c r="G1982" s="34">
        <f t="shared" si="61"/>
        <v>9.7874033184580846E-3</v>
      </c>
    </row>
    <row r="1983" spans="1:7" x14ac:dyDescent="0.3">
      <c r="A1983" s="33">
        <v>45288</v>
      </c>
      <c r="B1983" s="34">
        <v>1260.4000000000001</v>
      </c>
      <c r="C1983" s="34">
        <f t="shared" si="60"/>
        <v>1.6761398067816492E-2</v>
      </c>
      <c r="E1983" s="33">
        <v>45288</v>
      </c>
      <c r="F1983" s="34">
        <v>72410.38</v>
      </c>
      <c r="G1983" s="34">
        <f t="shared" si="61"/>
        <v>5.1499326587064352E-3</v>
      </c>
    </row>
    <row r="1984" spans="1:7" x14ac:dyDescent="0.3">
      <c r="A1984" s="33">
        <v>45289</v>
      </c>
      <c r="B1984" s="34">
        <v>1246.75</v>
      </c>
      <c r="C1984" s="34">
        <f t="shared" si="60"/>
        <v>-1.0888965456887665E-2</v>
      </c>
      <c r="E1984" s="33">
        <v>45289</v>
      </c>
      <c r="F1984" s="34">
        <v>72240.259999999995</v>
      </c>
      <c r="G1984" s="34">
        <f t="shared" si="61"/>
        <v>-2.3521510645792549E-3</v>
      </c>
    </row>
    <row r="1985" spans="1:7" x14ac:dyDescent="0.3">
      <c r="A1985" s="33">
        <v>45292</v>
      </c>
      <c r="B1985" s="34">
        <v>1251.05</v>
      </c>
      <c r="C1985" s="34">
        <f t="shared" si="60"/>
        <v>3.4430332675585386E-3</v>
      </c>
      <c r="E1985" s="33">
        <v>45292</v>
      </c>
      <c r="F1985" s="34">
        <v>72271.94</v>
      </c>
      <c r="G1985" s="34">
        <f t="shared" si="61"/>
        <v>4.3844049855309823E-4</v>
      </c>
    </row>
    <row r="1986" spans="1:7" x14ac:dyDescent="0.3">
      <c r="A1986" s="33">
        <v>45293</v>
      </c>
      <c r="B1986" s="34">
        <v>1281.55</v>
      </c>
      <c r="C1986" s="34">
        <f t="shared" si="60"/>
        <v>2.4087084126414988E-2</v>
      </c>
      <c r="E1986" s="33">
        <v>45293</v>
      </c>
      <c r="F1986" s="34">
        <v>71892.479999999996</v>
      </c>
      <c r="G1986" s="34">
        <f t="shared" si="61"/>
        <v>-5.2642791656820056E-3</v>
      </c>
    </row>
    <row r="1987" spans="1:7" x14ac:dyDescent="0.3">
      <c r="A1987" s="33">
        <v>45294</v>
      </c>
      <c r="B1987" s="34">
        <v>1299.75</v>
      </c>
      <c r="C1987" s="34">
        <f t="shared" si="60"/>
        <v>1.4101655443619732E-2</v>
      </c>
      <c r="E1987" s="33">
        <v>45294</v>
      </c>
      <c r="F1987" s="34">
        <v>71356.600000000006</v>
      </c>
      <c r="G1987" s="34">
        <f t="shared" si="61"/>
        <v>-7.4818281524389307E-3</v>
      </c>
    </row>
    <row r="1988" spans="1:7" x14ac:dyDescent="0.3">
      <c r="A1988" s="33">
        <v>45295</v>
      </c>
      <c r="B1988" s="34">
        <v>1296.9000000000001</v>
      </c>
      <c r="C1988" s="34">
        <f t="shared" si="60"/>
        <v>-2.1951369221293502E-3</v>
      </c>
      <c r="E1988" s="33">
        <v>45295</v>
      </c>
      <c r="F1988" s="34">
        <v>71847.570000000007</v>
      </c>
      <c r="G1988" s="34">
        <f t="shared" si="61"/>
        <v>6.8569500970698284E-3</v>
      </c>
    </row>
    <row r="1989" spans="1:7" x14ac:dyDescent="0.3">
      <c r="A1989" s="33">
        <v>45296</v>
      </c>
      <c r="B1989" s="34">
        <v>1286.5</v>
      </c>
      <c r="C1989" s="34">
        <f t="shared" si="60"/>
        <v>-8.0514486198969594E-3</v>
      </c>
      <c r="E1989" s="33">
        <v>45296</v>
      </c>
      <c r="F1989" s="34">
        <v>72026.149999999994</v>
      </c>
      <c r="G1989" s="34">
        <f t="shared" si="61"/>
        <v>2.4824560275436276E-3</v>
      </c>
    </row>
    <row r="1990" spans="1:7" x14ac:dyDescent="0.3">
      <c r="A1990" s="33">
        <v>45299</v>
      </c>
      <c r="B1990" s="34">
        <v>1271.05</v>
      </c>
      <c r="C1990" s="34">
        <f t="shared" si="60"/>
        <v>-1.2082022203038617E-2</v>
      </c>
      <c r="E1990" s="33">
        <v>45299</v>
      </c>
      <c r="F1990" s="34">
        <v>71355.22</v>
      </c>
      <c r="G1990" s="34">
        <f t="shared" si="61"/>
        <v>-9.358745798090342E-3</v>
      </c>
    </row>
    <row r="1991" spans="1:7" x14ac:dyDescent="0.3">
      <c r="A1991" s="33">
        <v>45300</v>
      </c>
      <c r="B1991" s="34">
        <v>1290.3499999999999</v>
      </c>
      <c r="C1991" s="34">
        <f t="shared" ref="C1991:C2054" si="62">LN(B1991/B1990)</f>
        <v>1.5070168866388652E-2</v>
      </c>
      <c r="E1991" s="33">
        <v>45300</v>
      </c>
      <c r="F1991" s="34">
        <v>71386.210000000006</v>
      </c>
      <c r="G1991" s="34">
        <f t="shared" ref="G1991:G2054" si="63">LN(F1991/F1990)</f>
        <v>4.3421171396303127E-4</v>
      </c>
    </row>
    <row r="1992" spans="1:7" x14ac:dyDescent="0.3">
      <c r="A1992" s="33">
        <v>45301</v>
      </c>
      <c r="B1992" s="34">
        <v>1329.95</v>
      </c>
      <c r="C1992" s="34">
        <f t="shared" si="62"/>
        <v>3.0227848139016609E-2</v>
      </c>
      <c r="E1992" s="33">
        <v>45301</v>
      </c>
      <c r="F1992" s="34">
        <v>71657.710000000006</v>
      </c>
      <c r="G1992" s="34">
        <f t="shared" si="63"/>
        <v>3.7960414678877754E-3</v>
      </c>
    </row>
    <row r="1993" spans="1:7" x14ac:dyDescent="0.3">
      <c r="A1993" s="33">
        <v>45302</v>
      </c>
      <c r="B1993" s="34">
        <v>1325.25</v>
      </c>
      <c r="C1993" s="34">
        <f t="shared" si="62"/>
        <v>-3.5402266562500574E-3</v>
      </c>
      <c r="E1993" s="33">
        <v>45302</v>
      </c>
      <c r="F1993" s="34">
        <v>71721.179999999993</v>
      </c>
      <c r="G1993" s="34">
        <f t="shared" si="63"/>
        <v>8.8534656874309783E-4</v>
      </c>
    </row>
    <row r="1994" spans="1:7" x14ac:dyDescent="0.3">
      <c r="A1994" s="33">
        <v>45303</v>
      </c>
      <c r="B1994" s="34">
        <v>1308.3499999999999</v>
      </c>
      <c r="C1994" s="34">
        <f t="shared" si="62"/>
        <v>-1.2834319547151774E-2</v>
      </c>
      <c r="E1994" s="33">
        <v>45303</v>
      </c>
      <c r="F1994" s="34">
        <v>72568.45</v>
      </c>
      <c r="G1994" s="34">
        <f t="shared" si="63"/>
        <v>1.1744152899916342E-2</v>
      </c>
    </row>
    <row r="1995" spans="1:7" x14ac:dyDescent="0.3">
      <c r="A1995" s="33">
        <v>45306</v>
      </c>
      <c r="B1995" s="34">
        <v>1312.75</v>
      </c>
      <c r="C1995" s="34">
        <f t="shared" si="62"/>
        <v>3.3573721972050405E-3</v>
      </c>
      <c r="E1995" s="33">
        <v>45306</v>
      </c>
      <c r="F1995" s="34">
        <v>73327.94</v>
      </c>
      <c r="G1995" s="34">
        <f t="shared" si="63"/>
        <v>1.041145515132442E-2</v>
      </c>
    </row>
    <row r="1996" spans="1:7" x14ac:dyDescent="0.3">
      <c r="A1996" s="33">
        <v>45307</v>
      </c>
      <c r="B1996" s="34">
        <v>1301.45</v>
      </c>
      <c r="C1996" s="34">
        <f t="shared" si="62"/>
        <v>-8.6451460322189838E-3</v>
      </c>
      <c r="E1996" s="33">
        <v>45307</v>
      </c>
      <c r="F1996" s="34">
        <v>73128.77</v>
      </c>
      <c r="G1996" s="34">
        <f t="shared" si="63"/>
        <v>-2.7198497464726852E-3</v>
      </c>
    </row>
    <row r="1997" spans="1:7" x14ac:dyDescent="0.3">
      <c r="A1997" s="33">
        <v>45308</v>
      </c>
      <c r="B1997" s="34">
        <v>1293.5</v>
      </c>
      <c r="C1997" s="34">
        <f t="shared" si="62"/>
        <v>-6.1273048596658065E-3</v>
      </c>
      <c r="E1997" s="33">
        <v>45308</v>
      </c>
      <c r="F1997" s="34">
        <v>71500.759999999995</v>
      </c>
      <c r="G1997" s="34">
        <f t="shared" si="63"/>
        <v>-2.2513780764534256E-2</v>
      </c>
    </row>
    <row r="1998" spans="1:7" x14ac:dyDescent="0.3">
      <c r="A1998" s="33">
        <v>45309</v>
      </c>
      <c r="B1998" s="34">
        <v>1323.3</v>
      </c>
      <c r="C1998" s="34">
        <f t="shared" si="62"/>
        <v>2.2776894152919808E-2</v>
      </c>
      <c r="E1998" s="33">
        <v>45309</v>
      </c>
      <c r="F1998" s="34">
        <v>71186.86</v>
      </c>
      <c r="G1998" s="34">
        <f t="shared" si="63"/>
        <v>-4.3998281895180121E-3</v>
      </c>
    </row>
    <row r="1999" spans="1:7" x14ac:dyDescent="0.3">
      <c r="A1999" s="33">
        <v>45310</v>
      </c>
      <c r="B1999" s="34">
        <v>1328.25</v>
      </c>
      <c r="C1999" s="34">
        <f t="shared" si="62"/>
        <v>3.7336695520488092E-3</v>
      </c>
      <c r="E1999" s="33">
        <v>45310</v>
      </c>
      <c r="F1999" s="34">
        <v>71683.23</v>
      </c>
      <c r="G1999" s="34">
        <f t="shared" si="63"/>
        <v>6.9485782107878893E-3</v>
      </c>
    </row>
    <row r="2000" spans="1:7" x14ac:dyDescent="0.3">
      <c r="A2000" s="33">
        <v>45311</v>
      </c>
      <c r="B2000" s="34">
        <v>1312.6</v>
      </c>
      <c r="C2000" s="34">
        <f t="shared" si="62"/>
        <v>-1.185238329143035E-2</v>
      </c>
      <c r="E2000" s="33">
        <v>45311</v>
      </c>
      <c r="F2000" s="34">
        <v>71423.649999999994</v>
      </c>
      <c r="G2000" s="34">
        <f t="shared" si="63"/>
        <v>-3.6277820422056044E-3</v>
      </c>
    </row>
    <row r="2001" spans="1:7" x14ac:dyDescent="0.3">
      <c r="A2001" s="33">
        <v>45314</v>
      </c>
      <c r="B2001" s="34">
        <v>1409.05</v>
      </c>
      <c r="C2001" s="34">
        <f t="shared" si="62"/>
        <v>7.0905815389836507E-2</v>
      </c>
      <c r="E2001" s="33">
        <v>45314</v>
      </c>
      <c r="F2001" s="34">
        <v>70370.55</v>
      </c>
      <c r="G2001" s="34">
        <f t="shared" si="63"/>
        <v>-1.4854195214640591E-2</v>
      </c>
    </row>
    <row r="2002" spans="1:7" x14ac:dyDescent="0.3">
      <c r="A2002" s="33">
        <v>45315</v>
      </c>
      <c r="B2002" s="34">
        <v>1417.7</v>
      </c>
      <c r="C2002" s="34">
        <f t="shared" si="62"/>
        <v>6.1201216941270571E-3</v>
      </c>
      <c r="E2002" s="33">
        <v>45315</v>
      </c>
      <c r="F2002" s="34">
        <v>71060.31</v>
      </c>
      <c r="G2002" s="34">
        <f t="shared" si="63"/>
        <v>9.7541013153960143E-3</v>
      </c>
    </row>
    <row r="2003" spans="1:7" x14ac:dyDescent="0.3">
      <c r="A2003" s="33">
        <v>45316</v>
      </c>
      <c r="B2003" s="34">
        <v>1369.8</v>
      </c>
      <c r="C2003" s="34">
        <f t="shared" si="62"/>
        <v>-3.4371096359781105E-2</v>
      </c>
      <c r="E2003" s="33">
        <v>45316</v>
      </c>
      <c r="F2003" s="34">
        <v>70700.67</v>
      </c>
      <c r="G2003" s="34">
        <f t="shared" si="63"/>
        <v>-5.0739035743440986E-3</v>
      </c>
    </row>
    <row r="2004" spans="1:7" x14ac:dyDescent="0.3">
      <c r="A2004" s="33">
        <v>45320</v>
      </c>
      <c r="B2004" s="34">
        <v>1337.25</v>
      </c>
      <c r="C2004" s="34">
        <f t="shared" si="62"/>
        <v>-2.404947735244535E-2</v>
      </c>
      <c r="E2004" s="33">
        <v>45320</v>
      </c>
      <c r="F2004" s="34">
        <v>71941.570000000007</v>
      </c>
      <c r="G2004" s="34">
        <f t="shared" si="63"/>
        <v>1.7399212251775192E-2</v>
      </c>
    </row>
    <row r="2005" spans="1:7" x14ac:dyDescent="0.3">
      <c r="A2005" s="33">
        <v>45321</v>
      </c>
      <c r="B2005" s="34">
        <v>1316.95</v>
      </c>
      <c r="C2005" s="34">
        <f t="shared" si="62"/>
        <v>-1.5296809460903638E-2</v>
      </c>
      <c r="E2005" s="33">
        <v>45321</v>
      </c>
      <c r="F2005" s="34">
        <v>71139.899999999994</v>
      </c>
      <c r="G2005" s="34">
        <f t="shared" si="63"/>
        <v>-1.1205900930972618E-2</v>
      </c>
    </row>
    <row r="2006" spans="1:7" x14ac:dyDescent="0.3">
      <c r="A2006" s="33">
        <v>45322</v>
      </c>
      <c r="B2006" s="34">
        <v>1351.3</v>
      </c>
      <c r="C2006" s="34">
        <f t="shared" si="62"/>
        <v>2.5748635093584583E-2</v>
      </c>
      <c r="E2006" s="33">
        <v>45322</v>
      </c>
      <c r="F2006" s="34">
        <v>71752.11</v>
      </c>
      <c r="G2006" s="34">
        <f t="shared" si="63"/>
        <v>8.5689010324606508E-3</v>
      </c>
    </row>
    <row r="2007" spans="1:7" x14ac:dyDescent="0.3">
      <c r="A2007" s="33">
        <v>45323</v>
      </c>
      <c r="B2007" s="34">
        <v>1387.55</v>
      </c>
      <c r="C2007" s="34">
        <f t="shared" si="62"/>
        <v>2.647250996330297E-2</v>
      </c>
      <c r="E2007" s="33">
        <v>45323</v>
      </c>
      <c r="F2007" s="34">
        <v>71645.3</v>
      </c>
      <c r="G2007" s="34">
        <f t="shared" si="63"/>
        <v>-1.4897064005960515E-3</v>
      </c>
    </row>
    <row r="2008" spans="1:7" x14ac:dyDescent="0.3">
      <c r="A2008" s="33">
        <v>45324</v>
      </c>
      <c r="B2008" s="34">
        <v>1391.45</v>
      </c>
      <c r="C2008" s="34">
        <f t="shared" si="62"/>
        <v>2.8067668660167119E-3</v>
      </c>
      <c r="E2008" s="33">
        <v>45324</v>
      </c>
      <c r="F2008" s="34">
        <v>72085.63</v>
      </c>
      <c r="G2008" s="34">
        <f t="shared" si="63"/>
        <v>6.1271624357531551E-3</v>
      </c>
    </row>
    <row r="2009" spans="1:7" x14ac:dyDescent="0.3">
      <c r="A2009" s="33">
        <v>45327</v>
      </c>
      <c r="B2009" s="34">
        <v>1433.45</v>
      </c>
      <c r="C2009" s="34">
        <f t="shared" si="62"/>
        <v>2.9737757176599641E-2</v>
      </c>
      <c r="E2009" s="33">
        <v>45327</v>
      </c>
      <c r="F2009" s="34">
        <v>71731.42</v>
      </c>
      <c r="G2009" s="34">
        <f t="shared" si="63"/>
        <v>-4.9258515066568243E-3</v>
      </c>
    </row>
    <row r="2010" spans="1:7" x14ac:dyDescent="0.3">
      <c r="A2010" s="33">
        <v>45328</v>
      </c>
      <c r="B2010" s="34">
        <v>1425.55</v>
      </c>
      <c r="C2010" s="34">
        <f t="shared" si="62"/>
        <v>-5.5264219002248366E-3</v>
      </c>
      <c r="E2010" s="33">
        <v>45328</v>
      </c>
      <c r="F2010" s="34">
        <v>72186.09</v>
      </c>
      <c r="G2010" s="34">
        <f t="shared" si="63"/>
        <v>6.3185016564799839E-3</v>
      </c>
    </row>
    <row r="2011" spans="1:7" x14ac:dyDescent="0.3">
      <c r="A2011" s="33">
        <v>45329</v>
      </c>
      <c r="B2011" s="34">
        <v>1439.05</v>
      </c>
      <c r="C2011" s="34">
        <f t="shared" si="62"/>
        <v>9.4254694856255594E-3</v>
      </c>
      <c r="E2011" s="33">
        <v>45329</v>
      </c>
      <c r="F2011" s="34">
        <v>72152</v>
      </c>
      <c r="G2011" s="34">
        <f t="shared" si="63"/>
        <v>-4.7236319441204257E-4</v>
      </c>
    </row>
    <row r="2012" spans="1:7" x14ac:dyDescent="0.3">
      <c r="A2012" s="33">
        <v>45330</v>
      </c>
      <c r="B2012" s="34">
        <v>1420.1</v>
      </c>
      <c r="C2012" s="34">
        <f t="shared" si="62"/>
        <v>-1.3255881984393102E-2</v>
      </c>
      <c r="E2012" s="33">
        <v>45330</v>
      </c>
      <c r="F2012" s="34">
        <v>71428.429999999993</v>
      </c>
      <c r="G2012" s="34">
        <f t="shared" si="63"/>
        <v>-1.0079035498488948E-2</v>
      </c>
    </row>
    <row r="2013" spans="1:7" x14ac:dyDescent="0.3">
      <c r="A2013" s="33">
        <v>45331</v>
      </c>
      <c r="B2013" s="34">
        <v>1438.8</v>
      </c>
      <c r="C2013" s="34">
        <f t="shared" si="62"/>
        <v>1.3082141170501511E-2</v>
      </c>
      <c r="E2013" s="33">
        <v>45331</v>
      </c>
      <c r="F2013" s="34">
        <v>71595.490000000005</v>
      </c>
      <c r="G2013" s="34">
        <f t="shared" si="63"/>
        <v>2.3361137909867192E-3</v>
      </c>
    </row>
    <row r="2014" spans="1:7" x14ac:dyDescent="0.3">
      <c r="A2014" s="33">
        <v>45334</v>
      </c>
      <c r="B2014" s="34">
        <v>1435.6</v>
      </c>
      <c r="C2014" s="34">
        <f t="shared" si="62"/>
        <v>-2.2265525480167133E-3</v>
      </c>
      <c r="E2014" s="33">
        <v>45334</v>
      </c>
      <c r="F2014" s="34">
        <v>71072.490000000005</v>
      </c>
      <c r="G2014" s="34">
        <f t="shared" si="63"/>
        <v>-7.3317410507249192E-3</v>
      </c>
    </row>
    <row r="2015" spans="1:7" x14ac:dyDescent="0.3">
      <c r="A2015" s="33">
        <v>45335</v>
      </c>
      <c r="B2015" s="34">
        <v>1456.85</v>
      </c>
      <c r="C2015" s="34">
        <f t="shared" si="62"/>
        <v>1.469369035217466E-2</v>
      </c>
      <c r="E2015" s="33">
        <v>45335</v>
      </c>
      <c r="F2015" s="34">
        <v>71555.19</v>
      </c>
      <c r="G2015" s="34">
        <f t="shared" si="63"/>
        <v>6.7686979542527755E-3</v>
      </c>
    </row>
    <row r="2016" spans="1:7" x14ac:dyDescent="0.3">
      <c r="A2016" s="33">
        <v>45336</v>
      </c>
      <c r="B2016" s="34">
        <v>1425.6</v>
      </c>
      <c r="C2016" s="34">
        <f t="shared" si="62"/>
        <v>-2.168379290908197E-2</v>
      </c>
      <c r="E2016" s="33">
        <v>45336</v>
      </c>
      <c r="F2016" s="34">
        <v>71822.83</v>
      </c>
      <c r="G2016" s="34">
        <f t="shared" si="63"/>
        <v>3.7333520279041344E-3</v>
      </c>
    </row>
    <row r="2017" spans="1:7" x14ac:dyDescent="0.3">
      <c r="A2017" s="33">
        <v>45337</v>
      </c>
      <c r="B2017" s="34">
        <v>1422.85</v>
      </c>
      <c r="C2017" s="34">
        <f t="shared" si="62"/>
        <v>-1.9308752861361619E-3</v>
      </c>
      <c r="E2017" s="33">
        <v>45337</v>
      </c>
      <c r="F2017" s="34">
        <v>72050.38</v>
      </c>
      <c r="G2017" s="34">
        <f t="shared" si="63"/>
        <v>3.1632044594840075E-3</v>
      </c>
    </row>
    <row r="2018" spans="1:7" x14ac:dyDescent="0.3">
      <c r="A2018" s="33">
        <v>45338</v>
      </c>
      <c r="B2018" s="34">
        <v>1440.2</v>
      </c>
      <c r="C2018" s="34">
        <f t="shared" si="62"/>
        <v>1.2120090384357797E-2</v>
      </c>
      <c r="E2018" s="33">
        <v>45338</v>
      </c>
      <c r="F2018" s="34">
        <v>72426.64</v>
      </c>
      <c r="G2018" s="34">
        <f t="shared" si="63"/>
        <v>5.2085909668204691E-3</v>
      </c>
    </row>
    <row r="2019" spans="1:7" x14ac:dyDescent="0.3">
      <c r="A2019" s="33">
        <v>45341</v>
      </c>
      <c r="B2019" s="34">
        <v>1470.45</v>
      </c>
      <c r="C2019" s="34">
        <f t="shared" si="62"/>
        <v>2.0786483561078491E-2</v>
      </c>
      <c r="E2019" s="33">
        <v>45341</v>
      </c>
      <c r="F2019" s="34">
        <v>72708.160000000003</v>
      </c>
      <c r="G2019" s="34">
        <f t="shared" si="63"/>
        <v>3.8794328179443194E-3</v>
      </c>
    </row>
    <row r="2020" spans="1:7" x14ac:dyDescent="0.3">
      <c r="A2020" s="33">
        <v>45342</v>
      </c>
      <c r="B2020" s="34">
        <v>1451.6</v>
      </c>
      <c r="C2020" s="34">
        <f t="shared" si="62"/>
        <v>-1.290208003692964E-2</v>
      </c>
      <c r="E2020" s="33">
        <v>45342</v>
      </c>
      <c r="F2020" s="34">
        <v>73057.399999999994</v>
      </c>
      <c r="G2020" s="34">
        <f t="shared" si="63"/>
        <v>4.7918132136997122E-3</v>
      </c>
    </row>
    <row r="2021" spans="1:7" x14ac:dyDescent="0.3">
      <c r="A2021" s="33">
        <v>45343</v>
      </c>
      <c r="B2021" s="34">
        <v>1447.5</v>
      </c>
      <c r="C2021" s="34">
        <f t="shared" si="62"/>
        <v>-2.8284658917648764E-3</v>
      </c>
      <c r="E2021" s="33">
        <v>45343</v>
      </c>
      <c r="F2021" s="34">
        <v>72623.09</v>
      </c>
      <c r="G2021" s="34">
        <f t="shared" si="63"/>
        <v>-5.9625182026963588E-3</v>
      </c>
    </row>
    <row r="2022" spans="1:7" x14ac:dyDescent="0.3">
      <c r="A2022" s="33">
        <v>45344</v>
      </c>
      <c r="B2022" s="34">
        <v>1453.75</v>
      </c>
      <c r="C2022" s="34">
        <f t="shared" si="62"/>
        <v>4.308494385723961E-3</v>
      </c>
      <c r="E2022" s="33">
        <v>45344</v>
      </c>
      <c r="F2022" s="34">
        <v>73158.240000000005</v>
      </c>
      <c r="G2022" s="34">
        <f t="shared" si="63"/>
        <v>7.3418510290321811E-3</v>
      </c>
    </row>
    <row r="2023" spans="1:7" x14ac:dyDescent="0.3">
      <c r="A2023" s="33">
        <v>45345</v>
      </c>
      <c r="B2023" s="34">
        <v>1466.2</v>
      </c>
      <c r="C2023" s="34">
        <f t="shared" si="62"/>
        <v>8.5275949566120321E-3</v>
      </c>
      <c r="E2023" s="33">
        <v>45345</v>
      </c>
      <c r="F2023" s="34">
        <v>73142.8</v>
      </c>
      <c r="G2023" s="34">
        <f t="shared" si="63"/>
        <v>-2.1107163773173055E-4</v>
      </c>
    </row>
    <row r="2024" spans="1:7" x14ac:dyDescent="0.3">
      <c r="A2024" s="33">
        <v>45348</v>
      </c>
      <c r="B2024" s="34">
        <v>1469.75</v>
      </c>
      <c r="C2024" s="34">
        <f t="shared" si="62"/>
        <v>2.4182984928781447E-3</v>
      </c>
      <c r="E2024" s="33">
        <v>45348</v>
      </c>
      <c r="F2024" s="34">
        <v>72790.13</v>
      </c>
      <c r="G2024" s="34">
        <f t="shared" si="63"/>
        <v>-4.8333256457077627E-3</v>
      </c>
    </row>
    <row r="2025" spans="1:7" x14ac:dyDescent="0.3">
      <c r="A2025" s="33">
        <v>45349</v>
      </c>
      <c r="B2025" s="34">
        <v>1488.55</v>
      </c>
      <c r="C2025" s="34">
        <f t="shared" si="62"/>
        <v>1.2710173472591565E-2</v>
      </c>
      <c r="E2025" s="33">
        <v>45349</v>
      </c>
      <c r="F2025" s="34">
        <v>73095.22</v>
      </c>
      <c r="G2025" s="34">
        <f t="shared" si="63"/>
        <v>4.182605652659049E-3</v>
      </c>
    </row>
    <row r="2026" spans="1:7" x14ac:dyDescent="0.3">
      <c r="A2026" s="33">
        <v>45350</v>
      </c>
      <c r="B2026" s="34">
        <v>1476.25</v>
      </c>
      <c r="C2026" s="34">
        <f t="shared" si="62"/>
        <v>-8.2974032433837351E-3</v>
      </c>
      <c r="E2026" s="33">
        <v>45350</v>
      </c>
      <c r="F2026" s="34">
        <v>72304.88</v>
      </c>
      <c r="G2026" s="34">
        <f t="shared" si="63"/>
        <v>-1.0871351311725373E-2</v>
      </c>
    </row>
    <row r="2027" spans="1:7" x14ac:dyDescent="0.3">
      <c r="A2027" s="33">
        <v>45351</v>
      </c>
      <c r="B2027" s="34">
        <v>1480.6</v>
      </c>
      <c r="C2027" s="34">
        <f t="shared" si="62"/>
        <v>2.9423224974257588E-3</v>
      </c>
      <c r="E2027" s="33">
        <v>45351</v>
      </c>
      <c r="F2027" s="34">
        <v>72500.3</v>
      </c>
      <c r="G2027" s="34">
        <f t="shared" si="63"/>
        <v>2.6990763539870006E-3</v>
      </c>
    </row>
    <row r="2028" spans="1:7" x14ac:dyDescent="0.3">
      <c r="A2028" s="33">
        <v>45352</v>
      </c>
      <c r="B2028" s="34">
        <v>1470.6</v>
      </c>
      <c r="C2028" s="34">
        <f t="shared" si="62"/>
        <v>-6.776930246876119E-3</v>
      </c>
      <c r="E2028" s="33">
        <v>45352</v>
      </c>
      <c r="F2028" s="34">
        <v>73745.350000000006</v>
      </c>
      <c r="G2028" s="34">
        <f t="shared" si="63"/>
        <v>1.702724260158095E-2</v>
      </c>
    </row>
    <row r="2029" spans="1:7" x14ac:dyDescent="0.3">
      <c r="A2029" s="33">
        <v>45353</v>
      </c>
      <c r="B2029" s="34">
        <v>1483.1</v>
      </c>
      <c r="C2029" s="34">
        <f t="shared" si="62"/>
        <v>8.4640109857948478E-3</v>
      </c>
      <c r="E2029" s="33">
        <v>45353</v>
      </c>
      <c r="F2029" s="34">
        <v>73806.149999999994</v>
      </c>
      <c r="G2029" s="34">
        <f t="shared" si="63"/>
        <v>8.2411908304738852E-4</v>
      </c>
    </row>
    <row r="2030" spans="1:7" x14ac:dyDescent="0.3">
      <c r="A2030" s="33">
        <v>45355</v>
      </c>
      <c r="B2030" s="34">
        <v>1471.25</v>
      </c>
      <c r="C2030" s="34">
        <f t="shared" si="62"/>
        <v>-8.0221121734302629E-3</v>
      </c>
      <c r="E2030" s="33">
        <v>45355</v>
      </c>
      <c r="F2030" s="34">
        <v>73872.289999999994</v>
      </c>
      <c r="G2030" s="34">
        <f t="shared" si="63"/>
        <v>8.95729998531847E-4</v>
      </c>
    </row>
    <row r="2031" spans="1:7" x14ac:dyDescent="0.3">
      <c r="A2031" s="33">
        <v>45356</v>
      </c>
      <c r="B2031" s="34">
        <v>1473.75</v>
      </c>
      <c r="C2031" s="34">
        <f t="shared" si="62"/>
        <v>1.6977932770942702E-3</v>
      </c>
      <c r="E2031" s="33">
        <v>45356</v>
      </c>
      <c r="F2031" s="34">
        <v>73677.13</v>
      </c>
      <c r="G2031" s="34">
        <f t="shared" si="63"/>
        <v>-2.6453525037101852E-3</v>
      </c>
    </row>
    <row r="2032" spans="1:7" x14ac:dyDescent="0.3">
      <c r="A2032" s="33">
        <v>45357</v>
      </c>
      <c r="B2032" s="34">
        <v>1484.95</v>
      </c>
      <c r="C2032" s="34">
        <f t="shared" si="62"/>
        <v>7.5709287847009919E-3</v>
      </c>
      <c r="E2032" s="33">
        <v>45357</v>
      </c>
      <c r="F2032" s="34">
        <v>74085.990000000005</v>
      </c>
      <c r="G2032" s="34">
        <f t="shared" si="63"/>
        <v>5.5340066378143484E-3</v>
      </c>
    </row>
    <row r="2033" spans="1:7" x14ac:dyDescent="0.3">
      <c r="A2033" s="33">
        <v>45358</v>
      </c>
      <c r="B2033" s="34">
        <v>1481.95</v>
      </c>
      <c r="C2033" s="34">
        <f t="shared" si="62"/>
        <v>-2.0223135410279845E-3</v>
      </c>
      <c r="E2033" s="33">
        <v>45358</v>
      </c>
      <c r="F2033" s="34">
        <v>74119.39</v>
      </c>
      <c r="G2033" s="34">
        <f t="shared" si="63"/>
        <v>4.507258854630576E-4</v>
      </c>
    </row>
    <row r="2034" spans="1:7" x14ac:dyDescent="0.3">
      <c r="A2034" s="33">
        <v>45362</v>
      </c>
      <c r="B2034" s="34">
        <v>1503.9</v>
      </c>
      <c r="C2034" s="34">
        <f t="shared" si="62"/>
        <v>1.4702945842313835E-2</v>
      </c>
      <c r="E2034" s="33">
        <v>45362</v>
      </c>
      <c r="F2034" s="34">
        <v>73502.64</v>
      </c>
      <c r="G2034" s="34">
        <f t="shared" si="63"/>
        <v>-8.3558475447408301E-3</v>
      </c>
    </row>
    <row r="2035" spans="1:7" x14ac:dyDescent="0.3">
      <c r="A2035" s="33">
        <v>45363</v>
      </c>
      <c r="B2035" s="34">
        <v>1465.3</v>
      </c>
      <c r="C2035" s="34">
        <f t="shared" si="62"/>
        <v>-2.6001734293588059E-2</v>
      </c>
      <c r="E2035" s="33">
        <v>45363</v>
      </c>
      <c r="F2035" s="34">
        <v>73667.960000000006</v>
      </c>
      <c r="G2035" s="34">
        <f t="shared" si="63"/>
        <v>2.246645315525746E-3</v>
      </c>
    </row>
    <row r="2036" spans="1:7" x14ac:dyDescent="0.3">
      <c r="A2036" s="33">
        <v>45364</v>
      </c>
      <c r="B2036" s="34">
        <v>1471.05</v>
      </c>
      <c r="C2036" s="34">
        <f t="shared" si="62"/>
        <v>3.9164318624594803E-3</v>
      </c>
      <c r="E2036" s="33">
        <v>45364</v>
      </c>
      <c r="F2036" s="34">
        <v>72761.89</v>
      </c>
      <c r="G2036" s="34">
        <f t="shared" si="63"/>
        <v>-1.2375640133173453E-2</v>
      </c>
    </row>
    <row r="2037" spans="1:7" x14ac:dyDescent="0.3">
      <c r="A2037" s="33">
        <v>45365</v>
      </c>
      <c r="B2037" s="34">
        <v>1497.05</v>
      </c>
      <c r="C2037" s="34">
        <f t="shared" si="62"/>
        <v>1.7520073489017782E-2</v>
      </c>
      <c r="E2037" s="33">
        <v>45365</v>
      </c>
      <c r="F2037" s="34">
        <v>73097.279999999999</v>
      </c>
      <c r="G2037" s="34">
        <f t="shared" si="63"/>
        <v>4.5988276376828629E-3</v>
      </c>
    </row>
    <row r="2038" spans="1:7" x14ac:dyDescent="0.3">
      <c r="A2038" s="33">
        <v>45366</v>
      </c>
      <c r="B2038" s="34">
        <v>1487.9</v>
      </c>
      <c r="C2038" s="34">
        <f t="shared" si="62"/>
        <v>-6.1307751618050266E-3</v>
      </c>
      <c r="E2038" s="33">
        <v>45366</v>
      </c>
      <c r="F2038" s="34">
        <v>72643.429999999993</v>
      </c>
      <c r="G2038" s="34">
        <f t="shared" si="63"/>
        <v>-6.228204419880156E-3</v>
      </c>
    </row>
    <row r="2039" spans="1:7" x14ac:dyDescent="0.3">
      <c r="A2039" s="33">
        <v>45369</v>
      </c>
      <c r="B2039" s="34">
        <v>1487.35</v>
      </c>
      <c r="C2039" s="34">
        <f t="shared" si="62"/>
        <v>-3.697168347299338E-4</v>
      </c>
      <c r="E2039" s="33">
        <v>45369</v>
      </c>
      <c r="F2039" s="34">
        <v>72748.42</v>
      </c>
      <c r="G2039" s="34">
        <f t="shared" si="63"/>
        <v>1.4442352614559091E-3</v>
      </c>
    </row>
    <row r="2040" spans="1:7" x14ac:dyDescent="0.3">
      <c r="A2040" s="33">
        <v>45370</v>
      </c>
      <c r="B2040" s="34">
        <v>1436.15</v>
      </c>
      <c r="C2040" s="34">
        <f t="shared" si="62"/>
        <v>-3.5030091021473843E-2</v>
      </c>
      <c r="E2040" s="33">
        <v>45370</v>
      </c>
      <c r="F2040" s="34">
        <v>72012.05</v>
      </c>
      <c r="G2040" s="34">
        <f t="shared" si="63"/>
        <v>-1.0173721478841552E-2</v>
      </c>
    </row>
    <row r="2041" spans="1:7" x14ac:dyDescent="0.3">
      <c r="A2041" s="33">
        <v>45371</v>
      </c>
      <c r="B2041" s="34">
        <v>1416.8</v>
      </c>
      <c r="C2041" s="34">
        <f t="shared" si="62"/>
        <v>-1.3565114508824113E-2</v>
      </c>
      <c r="E2041" s="33">
        <v>45371</v>
      </c>
      <c r="F2041" s="34">
        <v>72101.69</v>
      </c>
      <c r="G2041" s="34">
        <f t="shared" si="63"/>
        <v>1.2440175594695723E-3</v>
      </c>
    </row>
    <row r="2042" spans="1:7" x14ac:dyDescent="0.3">
      <c r="A2042" s="33">
        <v>45372</v>
      </c>
      <c r="B2042" s="34">
        <v>1450.85</v>
      </c>
      <c r="C2042" s="34">
        <f t="shared" si="62"/>
        <v>2.3748784090403423E-2</v>
      </c>
      <c r="E2042" s="33">
        <v>45372</v>
      </c>
      <c r="F2042" s="34">
        <v>72641.19</v>
      </c>
      <c r="G2042" s="34">
        <f t="shared" si="63"/>
        <v>7.4546326341144494E-3</v>
      </c>
    </row>
    <row r="2043" spans="1:7" x14ac:dyDescent="0.3">
      <c r="A2043" s="33">
        <v>45373</v>
      </c>
      <c r="B2043" s="34">
        <v>1480.8</v>
      </c>
      <c r="C2043" s="34">
        <f t="shared" si="62"/>
        <v>2.0432890700260439E-2</v>
      </c>
      <c r="E2043" s="33">
        <v>45373</v>
      </c>
      <c r="F2043" s="34">
        <v>72831.94</v>
      </c>
      <c r="G2043" s="34">
        <f t="shared" si="63"/>
        <v>2.6224789323214251E-3</v>
      </c>
    </row>
    <row r="2044" spans="1:7" x14ac:dyDescent="0.3">
      <c r="A2044" s="33">
        <v>45377</v>
      </c>
      <c r="B2044" s="34">
        <v>1471.7</v>
      </c>
      <c r="C2044" s="34">
        <f t="shared" si="62"/>
        <v>-6.1642870892204826E-3</v>
      </c>
      <c r="E2044" s="33">
        <v>45377</v>
      </c>
      <c r="F2044" s="34">
        <v>72470.3</v>
      </c>
      <c r="G2044" s="34">
        <f t="shared" si="63"/>
        <v>-4.9777724931511095E-3</v>
      </c>
    </row>
    <row r="2045" spans="1:7" x14ac:dyDescent="0.3">
      <c r="A2045" s="33">
        <v>45378</v>
      </c>
      <c r="B2045" s="34">
        <v>1466.2</v>
      </c>
      <c r="C2045" s="34">
        <f t="shared" si="62"/>
        <v>-3.7441753805809185E-3</v>
      </c>
      <c r="E2045" s="33">
        <v>45378</v>
      </c>
      <c r="F2045" s="34">
        <v>72996.31</v>
      </c>
      <c r="G2045" s="34">
        <f t="shared" si="63"/>
        <v>7.2320691689827495E-3</v>
      </c>
    </row>
    <row r="2046" spans="1:7" x14ac:dyDescent="0.3">
      <c r="A2046" s="33">
        <v>45379</v>
      </c>
      <c r="B2046" s="34">
        <v>1494.65</v>
      </c>
      <c r="C2046" s="34">
        <f t="shared" si="62"/>
        <v>1.9218045914032939E-2</v>
      </c>
      <c r="E2046" s="33">
        <v>45379</v>
      </c>
      <c r="F2046" s="34">
        <v>73651.350000000006</v>
      </c>
      <c r="G2046" s="34">
        <f t="shared" si="63"/>
        <v>8.9335807539530042E-3</v>
      </c>
    </row>
    <row r="2047" spans="1:7" x14ac:dyDescent="0.3">
      <c r="A2047" s="33">
        <v>45383</v>
      </c>
      <c r="B2047" s="34">
        <v>1496.35</v>
      </c>
      <c r="C2047" s="34">
        <f t="shared" si="62"/>
        <v>1.1367436864322634E-3</v>
      </c>
      <c r="E2047" s="33">
        <v>45383</v>
      </c>
      <c r="F2047" s="34">
        <v>74014.55</v>
      </c>
      <c r="G2047" s="34">
        <f t="shared" si="63"/>
        <v>4.9192228187454959E-3</v>
      </c>
    </row>
    <row r="2048" spans="1:7" x14ac:dyDescent="0.3">
      <c r="A2048" s="33">
        <v>45384</v>
      </c>
      <c r="B2048" s="34">
        <v>1488.35</v>
      </c>
      <c r="C2048" s="34">
        <f t="shared" si="62"/>
        <v>-5.360685601874581E-3</v>
      </c>
      <c r="E2048" s="33">
        <v>45384</v>
      </c>
      <c r="F2048" s="34">
        <v>73903.91</v>
      </c>
      <c r="G2048" s="34">
        <f t="shared" si="63"/>
        <v>-1.4959596068453956E-3</v>
      </c>
    </row>
    <row r="2049" spans="1:7" x14ac:dyDescent="0.3">
      <c r="A2049" s="33">
        <v>45385</v>
      </c>
      <c r="B2049" s="34">
        <v>1470.65</v>
      </c>
      <c r="C2049" s="34">
        <f t="shared" si="62"/>
        <v>-1.1963643875930437E-2</v>
      </c>
      <c r="E2049" s="33">
        <v>45385</v>
      </c>
      <c r="F2049" s="34">
        <v>73876.820000000007</v>
      </c>
      <c r="G2049" s="34">
        <f t="shared" si="63"/>
        <v>-3.6662425883849758E-4</v>
      </c>
    </row>
    <row r="2050" spans="1:7" x14ac:dyDescent="0.3">
      <c r="A2050" s="33">
        <v>45386</v>
      </c>
      <c r="B2050" s="34">
        <v>1459.75</v>
      </c>
      <c r="C2050" s="34">
        <f t="shared" si="62"/>
        <v>-7.4392917484994792E-3</v>
      </c>
      <c r="E2050" s="33">
        <v>45386</v>
      </c>
      <c r="F2050" s="34">
        <v>74227.63</v>
      </c>
      <c r="G2050" s="34">
        <f t="shared" si="63"/>
        <v>4.7373411951451422E-3</v>
      </c>
    </row>
    <row r="2051" spans="1:7" x14ac:dyDescent="0.3">
      <c r="A2051" s="33">
        <v>45387</v>
      </c>
      <c r="B2051" s="34">
        <v>1448.65</v>
      </c>
      <c r="C2051" s="34">
        <f t="shared" si="62"/>
        <v>-7.6330999135922357E-3</v>
      </c>
      <c r="E2051" s="33">
        <v>45387</v>
      </c>
      <c r="F2051" s="34">
        <v>74248.22</v>
      </c>
      <c r="G2051" s="34">
        <f t="shared" si="63"/>
        <v>2.7735150372240749E-4</v>
      </c>
    </row>
    <row r="2052" spans="1:7" x14ac:dyDescent="0.3">
      <c r="A2052" s="33">
        <v>45390</v>
      </c>
      <c r="B2052" s="34">
        <v>1461.8</v>
      </c>
      <c r="C2052" s="34">
        <f t="shared" si="62"/>
        <v>9.0364647962365933E-3</v>
      </c>
      <c r="E2052" s="33">
        <v>45390</v>
      </c>
      <c r="F2052" s="34">
        <v>74742.5</v>
      </c>
      <c r="G2052" s="34">
        <f t="shared" si="63"/>
        <v>6.6350684573204151E-3</v>
      </c>
    </row>
    <row r="2053" spans="1:7" x14ac:dyDescent="0.3">
      <c r="A2053" s="33">
        <v>45391</v>
      </c>
      <c r="B2053" s="34">
        <v>1450.2</v>
      </c>
      <c r="C2053" s="34">
        <f t="shared" si="62"/>
        <v>-7.9670751087989929E-3</v>
      </c>
      <c r="E2053" s="33">
        <v>45391</v>
      </c>
      <c r="F2053" s="34">
        <v>74683.7</v>
      </c>
      <c r="G2053" s="34">
        <f t="shared" si="63"/>
        <v>-7.8701061841889269E-4</v>
      </c>
    </row>
    <row r="2054" spans="1:7" x14ac:dyDescent="0.3">
      <c r="A2054" s="33">
        <v>45392</v>
      </c>
      <c r="B2054" s="34">
        <v>1422.5</v>
      </c>
      <c r="C2054" s="34">
        <f t="shared" si="62"/>
        <v>-1.9285590937006426E-2</v>
      </c>
      <c r="E2054" s="33">
        <v>45392</v>
      </c>
      <c r="F2054" s="34">
        <v>75038.149999999994</v>
      </c>
      <c r="G2054" s="34">
        <f t="shared" si="63"/>
        <v>4.7347887055635305E-3</v>
      </c>
    </row>
    <row r="2055" spans="1:7" x14ac:dyDescent="0.3">
      <c r="A2055" s="33">
        <v>45394</v>
      </c>
      <c r="B2055" s="34">
        <v>1396.4</v>
      </c>
      <c r="C2055" s="34">
        <f t="shared" ref="C2055:C2118" si="64">LN(B2055/B2054)</f>
        <v>-1.8518390769604938E-2</v>
      </c>
      <c r="E2055" s="33">
        <v>45394</v>
      </c>
      <c r="F2055" s="34">
        <v>74244.899999999994</v>
      </c>
      <c r="G2055" s="34">
        <f t="shared" ref="G2055:G2118" si="65">LN(F2055/F2054)</f>
        <v>-1.0627562420871458E-2</v>
      </c>
    </row>
    <row r="2056" spans="1:7" x14ac:dyDescent="0.3">
      <c r="A2056" s="33">
        <v>45397</v>
      </c>
      <c r="B2056" s="34">
        <v>1381.25</v>
      </c>
      <c r="C2056" s="34">
        <f t="shared" si="64"/>
        <v>-1.0908609964818086E-2</v>
      </c>
      <c r="E2056" s="33">
        <v>45397</v>
      </c>
      <c r="F2056" s="34">
        <v>73399.78</v>
      </c>
      <c r="G2056" s="34">
        <f t="shared" si="65"/>
        <v>-1.144815011429739E-2</v>
      </c>
    </row>
    <row r="2057" spans="1:7" x14ac:dyDescent="0.3">
      <c r="A2057" s="33">
        <v>45398</v>
      </c>
      <c r="B2057" s="34">
        <v>1376.05</v>
      </c>
      <c r="C2057" s="34">
        <f t="shared" si="64"/>
        <v>-3.7718102236521103E-3</v>
      </c>
      <c r="E2057" s="33">
        <v>45398</v>
      </c>
      <c r="F2057" s="34">
        <v>72943.679999999993</v>
      </c>
      <c r="G2057" s="34">
        <f t="shared" si="65"/>
        <v>-6.2333018062683872E-3</v>
      </c>
    </row>
    <row r="2058" spans="1:7" x14ac:dyDescent="0.3">
      <c r="A2058" s="33">
        <v>45400</v>
      </c>
      <c r="B2058" s="34">
        <v>1347.65</v>
      </c>
      <c r="C2058" s="34">
        <f t="shared" si="64"/>
        <v>-2.0854741200389989E-2</v>
      </c>
      <c r="E2058" s="33">
        <v>45400</v>
      </c>
      <c r="F2058" s="34">
        <v>72488.990000000005</v>
      </c>
      <c r="G2058" s="34">
        <f t="shared" si="65"/>
        <v>-6.2529482750531265E-3</v>
      </c>
    </row>
    <row r="2059" spans="1:7" x14ac:dyDescent="0.3">
      <c r="A2059" s="33">
        <v>45401</v>
      </c>
      <c r="B2059" s="34">
        <v>1345.35</v>
      </c>
      <c r="C2059" s="34">
        <f t="shared" si="64"/>
        <v>-1.7081326098992186E-3</v>
      </c>
      <c r="E2059" s="33">
        <v>45401</v>
      </c>
      <c r="F2059" s="34">
        <v>73088.33</v>
      </c>
      <c r="G2059" s="34">
        <f t="shared" si="65"/>
        <v>8.2340214289239912E-3</v>
      </c>
    </row>
    <row r="2060" spans="1:7" x14ac:dyDescent="0.3">
      <c r="A2060" s="33">
        <v>45404</v>
      </c>
      <c r="B2060" s="34">
        <v>1354.25</v>
      </c>
      <c r="C2060" s="34">
        <f t="shared" si="64"/>
        <v>6.5935933058864403E-3</v>
      </c>
      <c r="E2060" s="33">
        <v>45404</v>
      </c>
      <c r="F2060" s="34">
        <v>73648.62</v>
      </c>
      <c r="G2060" s="34">
        <f t="shared" si="65"/>
        <v>7.636695773842391E-3</v>
      </c>
    </row>
    <row r="2061" spans="1:7" x14ac:dyDescent="0.3">
      <c r="A2061" s="33">
        <v>45405</v>
      </c>
      <c r="B2061" s="34">
        <v>1347.7</v>
      </c>
      <c r="C2061" s="34">
        <f t="shared" si="64"/>
        <v>-4.8483597628946815E-3</v>
      </c>
      <c r="E2061" s="33">
        <v>45405</v>
      </c>
      <c r="F2061" s="34">
        <v>73738.45</v>
      </c>
      <c r="G2061" s="34">
        <f t="shared" si="65"/>
        <v>1.2189673235658521E-3</v>
      </c>
    </row>
    <row r="2062" spans="1:7" x14ac:dyDescent="0.3">
      <c r="A2062" s="33">
        <v>45406</v>
      </c>
      <c r="B2062" s="34">
        <v>1398.8</v>
      </c>
      <c r="C2062" s="34">
        <f t="shared" si="64"/>
        <v>3.7215290414107177E-2</v>
      </c>
      <c r="E2062" s="33">
        <v>45406</v>
      </c>
      <c r="F2062" s="34">
        <v>73852.94</v>
      </c>
      <c r="G2062" s="34">
        <f t="shared" si="65"/>
        <v>1.5514458257306575E-3</v>
      </c>
    </row>
    <row r="2063" spans="1:7" x14ac:dyDescent="0.3">
      <c r="A2063" s="33">
        <v>45407</v>
      </c>
      <c r="B2063" s="34">
        <v>1405.4</v>
      </c>
      <c r="C2063" s="34">
        <f t="shared" si="64"/>
        <v>4.7072335688766592E-3</v>
      </c>
      <c r="E2063" s="33">
        <v>45407</v>
      </c>
      <c r="F2063" s="34">
        <v>74339.44</v>
      </c>
      <c r="G2063" s="34">
        <f t="shared" si="65"/>
        <v>6.5658132725325584E-3</v>
      </c>
    </row>
    <row r="2064" spans="1:7" x14ac:dyDescent="0.3">
      <c r="A2064" s="33">
        <v>45408</v>
      </c>
      <c r="B2064" s="34">
        <v>1409.4</v>
      </c>
      <c r="C2064" s="34">
        <f t="shared" si="64"/>
        <v>2.8421221348246773E-3</v>
      </c>
      <c r="E2064" s="33">
        <v>45408</v>
      </c>
      <c r="F2064" s="34">
        <v>73730.16</v>
      </c>
      <c r="G2064" s="34">
        <f t="shared" si="65"/>
        <v>-8.2296898048214578E-3</v>
      </c>
    </row>
    <row r="2065" spans="1:7" x14ac:dyDescent="0.3">
      <c r="A2065" s="33">
        <v>45411</v>
      </c>
      <c r="B2065" s="34">
        <v>1407.55</v>
      </c>
      <c r="C2065" s="34">
        <f t="shared" si="64"/>
        <v>-1.3134775313527764E-3</v>
      </c>
      <c r="E2065" s="33">
        <v>45411</v>
      </c>
      <c r="F2065" s="34">
        <v>74671.28</v>
      </c>
      <c r="G2065" s="34">
        <f t="shared" si="65"/>
        <v>1.2683604913330964E-2</v>
      </c>
    </row>
    <row r="2066" spans="1:7" x14ac:dyDescent="0.3">
      <c r="A2066" s="33">
        <v>45412</v>
      </c>
      <c r="B2066" s="34">
        <v>1401.2</v>
      </c>
      <c r="C2066" s="34">
        <f t="shared" si="64"/>
        <v>-4.5215920382376948E-3</v>
      </c>
      <c r="E2066" s="33">
        <v>45412</v>
      </c>
      <c r="F2066" s="34">
        <v>74482.78</v>
      </c>
      <c r="G2066" s="34">
        <f t="shared" si="65"/>
        <v>-2.5275892638248012E-3</v>
      </c>
    </row>
    <row r="2067" spans="1:7" x14ac:dyDescent="0.3">
      <c r="A2067" s="33">
        <v>45414</v>
      </c>
      <c r="B2067" s="34">
        <v>1419.55</v>
      </c>
      <c r="C2067" s="34">
        <f t="shared" si="64"/>
        <v>1.3010907639661572E-2</v>
      </c>
      <c r="E2067" s="33">
        <v>45414</v>
      </c>
      <c r="F2067" s="34">
        <v>74611.11</v>
      </c>
      <c r="G2067" s="34">
        <f t="shared" si="65"/>
        <v>1.7214660063075305E-3</v>
      </c>
    </row>
    <row r="2068" spans="1:7" x14ac:dyDescent="0.3">
      <c r="A2068" s="33">
        <v>45415</v>
      </c>
      <c r="B2068" s="34">
        <v>1424.75</v>
      </c>
      <c r="C2068" s="34">
        <f t="shared" si="64"/>
        <v>3.6564397521154828E-3</v>
      </c>
      <c r="E2068" s="33">
        <v>45415</v>
      </c>
      <c r="F2068" s="34">
        <v>73878.149999999994</v>
      </c>
      <c r="G2068" s="34">
        <f t="shared" si="65"/>
        <v>-9.8723093239108713E-3</v>
      </c>
    </row>
    <row r="2069" spans="1:7" x14ac:dyDescent="0.3">
      <c r="A2069" s="33">
        <v>45418</v>
      </c>
      <c r="B2069" s="34">
        <v>1423.4</v>
      </c>
      <c r="C2069" s="34">
        <f t="shared" si="64"/>
        <v>-9.4798384993812737E-4</v>
      </c>
      <c r="E2069" s="33">
        <v>45418</v>
      </c>
      <c r="F2069" s="34">
        <v>73895.539999999994</v>
      </c>
      <c r="G2069" s="34">
        <f t="shared" si="65"/>
        <v>2.3535989498904987E-4</v>
      </c>
    </row>
    <row r="2070" spans="1:7" x14ac:dyDescent="0.3">
      <c r="A2070" s="33">
        <v>45419</v>
      </c>
      <c r="B2070" s="34">
        <v>1387.9</v>
      </c>
      <c r="C2070" s="34">
        <f t="shared" si="64"/>
        <v>-2.5256562503376621E-2</v>
      </c>
      <c r="E2070" s="33">
        <v>45419</v>
      </c>
      <c r="F2070" s="34">
        <v>73511.850000000006</v>
      </c>
      <c r="G2070" s="34">
        <f t="shared" si="65"/>
        <v>-5.2058565928025892E-3</v>
      </c>
    </row>
    <row r="2071" spans="1:7" x14ac:dyDescent="0.3">
      <c r="A2071" s="33">
        <v>45420</v>
      </c>
      <c r="B2071" s="34">
        <v>1384.8</v>
      </c>
      <c r="C2071" s="34">
        <f t="shared" si="64"/>
        <v>-2.2360884997947319E-3</v>
      </c>
      <c r="E2071" s="33">
        <v>45420</v>
      </c>
      <c r="F2071" s="34">
        <v>73466.39</v>
      </c>
      <c r="G2071" s="34">
        <f t="shared" si="65"/>
        <v>-6.18594989974703E-4</v>
      </c>
    </row>
    <row r="2072" spans="1:7" x14ac:dyDescent="0.3">
      <c r="A2072" s="33">
        <v>45421</v>
      </c>
      <c r="B2072" s="34">
        <v>1358.8</v>
      </c>
      <c r="C2072" s="34">
        <f t="shared" si="64"/>
        <v>-1.8953767575570671E-2</v>
      </c>
      <c r="E2072" s="33">
        <v>45421</v>
      </c>
      <c r="F2072" s="34">
        <v>72404.17</v>
      </c>
      <c r="G2072" s="34">
        <f t="shared" si="65"/>
        <v>-1.4564128305212818E-2</v>
      </c>
    </row>
    <row r="2073" spans="1:7" x14ac:dyDescent="0.3">
      <c r="A2073" s="33">
        <v>45422</v>
      </c>
      <c r="B2073" s="34">
        <v>1339.45</v>
      </c>
      <c r="C2073" s="34">
        <f t="shared" si="64"/>
        <v>-1.4342875359404244E-2</v>
      </c>
      <c r="E2073" s="33">
        <v>45422</v>
      </c>
      <c r="F2073" s="34">
        <v>72664.47</v>
      </c>
      <c r="G2073" s="34">
        <f t="shared" si="65"/>
        <v>3.5886498881368295E-3</v>
      </c>
    </row>
    <row r="2074" spans="1:7" x14ac:dyDescent="0.3">
      <c r="A2074" s="33">
        <v>45425</v>
      </c>
      <c r="B2074" s="34">
        <v>1414.8</v>
      </c>
      <c r="C2074" s="34">
        <f t="shared" si="64"/>
        <v>5.4729096404300931E-2</v>
      </c>
      <c r="E2074" s="33">
        <v>45425</v>
      </c>
      <c r="F2074" s="34">
        <v>72776.13</v>
      </c>
      <c r="G2074" s="34">
        <f t="shared" si="65"/>
        <v>1.5354725150772163E-3</v>
      </c>
    </row>
    <row r="2075" spans="1:7" x14ac:dyDescent="0.3">
      <c r="A2075" s="33">
        <v>45426</v>
      </c>
      <c r="B2075" s="34">
        <v>1356.95</v>
      </c>
      <c r="C2075" s="34">
        <f t="shared" si="64"/>
        <v>-4.1748644159073998E-2</v>
      </c>
      <c r="E2075" s="33">
        <v>45426</v>
      </c>
      <c r="F2075" s="34">
        <v>73104.61</v>
      </c>
      <c r="G2075" s="34">
        <f t="shared" si="65"/>
        <v>4.5034122414071096E-3</v>
      </c>
    </row>
    <row r="2076" spans="1:7" x14ac:dyDescent="0.3">
      <c r="A2076" s="33">
        <v>45427</v>
      </c>
      <c r="B2076" s="34">
        <v>1405.95</v>
      </c>
      <c r="C2076" s="34">
        <f t="shared" si="64"/>
        <v>3.5473696688353172E-2</v>
      </c>
      <c r="E2076" s="33">
        <v>45427</v>
      </c>
      <c r="F2076" s="34">
        <v>72987.03</v>
      </c>
      <c r="G2076" s="34">
        <f t="shared" si="65"/>
        <v>-1.6096749326381943E-3</v>
      </c>
    </row>
    <row r="2077" spans="1:7" x14ac:dyDescent="0.3">
      <c r="A2077" s="33">
        <v>45428</v>
      </c>
      <c r="B2077" s="34">
        <v>1420.05</v>
      </c>
      <c r="C2077" s="34">
        <f t="shared" si="64"/>
        <v>9.9788513824052849E-3</v>
      </c>
      <c r="E2077" s="33">
        <v>45428</v>
      </c>
      <c r="F2077" s="34">
        <v>73663.72</v>
      </c>
      <c r="G2077" s="34">
        <f t="shared" si="65"/>
        <v>9.2286579195106754E-3</v>
      </c>
    </row>
    <row r="2078" spans="1:7" x14ac:dyDescent="0.3">
      <c r="A2078" s="33">
        <v>45429</v>
      </c>
      <c r="B2078" s="34">
        <v>1399.35</v>
      </c>
      <c r="C2078" s="34">
        <f t="shared" si="64"/>
        <v>-1.468423916793023E-2</v>
      </c>
      <c r="E2078" s="33">
        <v>45429</v>
      </c>
      <c r="F2078" s="34">
        <v>73917.03</v>
      </c>
      <c r="G2078" s="34">
        <f t="shared" si="65"/>
        <v>3.4328359051977943E-3</v>
      </c>
    </row>
    <row r="2079" spans="1:7" x14ac:dyDescent="0.3">
      <c r="A2079" s="33">
        <v>45430</v>
      </c>
      <c r="B2079" s="34">
        <v>1403.9</v>
      </c>
      <c r="C2079" s="34">
        <f t="shared" si="64"/>
        <v>3.2462349028259223E-3</v>
      </c>
      <c r="E2079" s="33">
        <v>45430</v>
      </c>
      <c r="F2079" s="34">
        <v>74005.94</v>
      </c>
      <c r="G2079" s="34">
        <f t="shared" si="65"/>
        <v>1.2021122981345092E-3</v>
      </c>
    </row>
    <row r="2080" spans="1:7" x14ac:dyDescent="0.3">
      <c r="A2080" s="33">
        <v>45433</v>
      </c>
      <c r="B2080" s="34">
        <v>1443.2</v>
      </c>
      <c r="C2080" s="34">
        <f t="shared" si="64"/>
        <v>2.7608792330453758E-2</v>
      </c>
      <c r="E2080" s="33">
        <v>45433</v>
      </c>
      <c r="F2080" s="34">
        <v>73953.31</v>
      </c>
      <c r="G2080" s="34">
        <f t="shared" si="65"/>
        <v>-7.1141212488853682E-4</v>
      </c>
    </row>
    <row r="2081" spans="1:7" x14ac:dyDescent="0.3">
      <c r="A2081" s="33">
        <v>45434</v>
      </c>
      <c r="B2081" s="34">
        <v>1481.55</v>
      </c>
      <c r="C2081" s="34">
        <f t="shared" si="64"/>
        <v>2.6225966713886831E-2</v>
      </c>
      <c r="E2081" s="33">
        <v>45434</v>
      </c>
      <c r="F2081" s="34">
        <v>74221.06</v>
      </c>
      <c r="G2081" s="34">
        <f t="shared" si="65"/>
        <v>3.613989267127258E-3</v>
      </c>
    </row>
    <row r="2082" spans="1:7" x14ac:dyDescent="0.3">
      <c r="A2082" s="33">
        <v>45435</v>
      </c>
      <c r="B2082" s="34">
        <v>1488.65</v>
      </c>
      <c r="C2082" s="34">
        <f t="shared" si="64"/>
        <v>4.7808319462244496E-3</v>
      </c>
      <c r="E2082" s="33">
        <v>45435</v>
      </c>
      <c r="F2082" s="34">
        <v>75418.039999999994</v>
      </c>
      <c r="G2082" s="34">
        <f t="shared" si="65"/>
        <v>1.599856629568484E-2</v>
      </c>
    </row>
    <row r="2083" spans="1:7" x14ac:dyDescent="0.3">
      <c r="A2083" s="33">
        <v>45436</v>
      </c>
      <c r="B2083" s="34">
        <v>1485.3</v>
      </c>
      <c r="C2083" s="34">
        <f t="shared" si="64"/>
        <v>-2.2528969329833042E-3</v>
      </c>
      <c r="E2083" s="33">
        <v>45436</v>
      </c>
      <c r="F2083" s="34">
        <v>75410.39</v>
      </c>
      <c r="G2083" s="34">
        <f t="shared" si="65"/>
        <v>-1.0143976180821501E-4</v>
      </c>
    </row>
    <row r="2084" spans="1:7" x14ac:dyDescent="0.3">
      <c r="A2084" s="33">
        <v>45439</v>
      </c>
      <c r="B2084" s="34">
        <v>1478.35</v>
      </c>
      <c r="C2084" s="34">
        <f t="shared" si="64"/>
        <v>-4.6901710663085185E-3</v>
      </c>
      <c r="E2084" s="33">
        <v>45439</v>
      </c>
      <c r="F2084" s="34">
        <v>75390.5</v>
      </c>
      <c r="G2084" s="34">
        <f t="shared" si="65"/>
        <v>-2.6379154811806042E-4</v>
      </c>
    </row>
    <row r="2085" spans="1:7" x14ac:dyDescent="0.3">
      <c r="A2085" s="33">
        <v>45440</v>
      </c>
      <c r="B2085" s="34">
        <v>1479.6</v>
      </c>
      <c r="C2085" s="34">
        <f t="shared" si="64"/>
        <v>8.4517998912035782E-4</v>
      </c>
      <c r="E2085" s="33">
        <v>45440</v>
      </c>
      <c r="F2085" s="34">
        <v>75170.45</v>
      </c>
      <c r="G2085" s="34">
        <f t="shared" si="65"/>
        <v>-2.9230707787360069E-3</v>
      </c>
    </row>
    <row r="2086" spans="1:7" x14ac:dyDescent="0.3">
      <c r="A2086" s="33">
        <v>45441</v>
      </c>
      <c r="B2086" s="34">
        <v>1493.05</v>
      </c>
      <c r="C2086" s="34">
        <f t="shared" si="64"/>
        <v>9.0492266383451758E-3</v>
      </c>
      <c r="E2086" s="33">
        <v>45441</v>
      </c>
      <c r="F2086" s="34">
        <v>74502.899999999994</v>
      </c>
      <c r="G2086" s="34">
        <f t="shared" si="65"/>
        <v>-8.9201507998092743E-3</v>
      </c>
    </row>
    <row r="2087" spans="1:7" x14ac:dyDescent="0.3">
      <c r="A2087" s="33">
        <v>45442</v>
      </c>
      <c r="B2087" s="34">
        <v>1464.8</v>
      </c>
      <c r="C2087" s="34">
        <f t="shared" si="64"/>
        <v>-1.9102293236343038E-2</v>
      </c>
      <c r="E2087" s="33">
        <v>45442</v>
      </c>
      <c r="F2087" s="34">
        <v>73885.600000000006</v>
      </c>
      <c r="G2087" s="34">
        <f t="shared" si="65"/>
        <v>-8.3200997516235144E-3</v>
      </c>
    </row>
    <row r="2088" spans="1:7" x14ac:dyDescent="0.3">
      <c r="A2088" s="33">
        <v>45443</v>
      </c>
      <c r="B2088" s="34">
        <v>1448.15</v>
      </c>
      <c r="C2088" s="34">
        <f t="shared" si="64"/>
        <v>-1.1431834619611928E-2</v>
      </c>
      <c r="E2088" s="33">
        <v>45443</v>
      </c>
      <c r="F2088" s="34">
        <v>73961.31</v>
      </c>
      <c r="G2088" s="34">
        <f t="shared" si="65"/>
        <v>1.0241675881868873E-3</v>
      </c>
    </row>
    <row r="2089" spans="1:7" x14ac:dyDescent="0.3">
      <c r="A2089" s="33">
        <v>45446</v>
      </c>
      <c r="B2089" s="34">
        <v>1452.5</v>
      </c>
      <c r="C2089" s="34">
        <f t="shared" si="64"/>
        <v>2.999329985377192E-3</v>
      </c>
      <c r="E2089" s="33">
        <v>45446</v>
      </c>
      <c r="F2089" s="34">
        <v>76468.78</v>
      </c>
      <c r="G2089" s="34">
        <f t="shared" si="65"/>
        <v>3.334043432102108E-2</v>
      </c>
    </row>
    <row r="2090" spans="1:7" x14ac:dyDescent="0.3">
      <c r="A2090" s="33">
        <v>45447</v>
      </c>
      <c r="B2090" s="34">
        <v>1462.85</v>
      </c>
      <c r="C2090" s="34">
        <f t="shared" si="64"/>
        <v>7.1003779876981374E-3</v>
      </c>
      <c r="E2090" s="33">
        <v>45447</v>
      </c>
      <c r="F2090" s="34">
        <v>72079.05</v>
      </c>
      <c r="G2090" s="34">
        <f t="shared" si="65"/>
        <v>-5.9119119546984893E-2</v>
      </c>
    </row>
    <row r="2091" spans="1:7" x14ac:dyDescent="0.3">
      <c r="A2091" s="33">
        <v>45448</v>
      </c>
      <c r="B2091" s="34">
        <v>1497.85</v>
      </c>
      <c r="C2091" s="34">
        <f t="shared" si="64"/>
        <v>2.3644158838357122E-2</v>
      </c>
      <c r="E2091" s="33">
        <v>45448</v>
      </c>
      <c r="F2091" s="34">
        <v>74382.240000000005</v>
      </c>
      <c r="G2091" s="34">
        <f t="shared" si="65"/>
        <v>3.1453770252930835E-2</v>
      </c>
    </row>
    <row r="2092" spans="1:7" x14ac:dyDescent="0.3">
      <c r="A2092" s="33">
        <v>45449</v>
      </c>
      <c r="B2092" s="34">
        <v>1477.25</v>
      </c>
      <c r="C2092" s="34">
        <f t="shared" si="64"/>
        <v>-1.384849532633752E-2</v>
      </c>
      <c r="E2092" s="33">
        <v>45449</v>
      </c>
      <c r="F2092" s="34">
        <v>75074.509999999995</v>
      </c>
      <c r="G2092" s="34">
        <f t="shared" si="65"/>
        <v>9.2638833756304214E-3</v>
      </c>
    </row>
    <row r="2093" spans="1:7" x14ac:dyDescent="0.3">
      <c r="A2093" s="33">
        <v>45450</v>
      </c>
      <c r="B2093" s="34">
        <v>1497.3</v>
      </c>
      <c r="C2093" s="34">
        <f t="shared" si="64"/>
        <v>1.3481234917889242E-2</v>
      </c>
      <c r="E2093" s="33">
        <v>45450</v>
      </c>
      <c r="F2093" s="34">
        <v>76693.36</v>
      </c>
      <c r="G2093" s="34">
        <f t="shared" si="65"/>
        <v>2.1334046528090411E-2</v>
      </c>
    </row>
    <row r="2094" spans="1:7" x14ac:dyDescent="0.3">
      <c r="A2094" s="33">
        <v>45453</v>
      </c>
      <c r="B2094" s="34">
        <v>1533.8</v>
      </c>
      <c r="C2094" s="34">
        <f t="shared" si="64"/>
        <v>2.4084830187085658E-2</v>
      </c>
      <c r="E2094" s="33">
        <v>45453</v>
      </c>
      <c r="F2094" s="34">
        <v>76490.080000000002</v>
      </c>
      <c r="G2094" s="34">
        <f t="shared" si="65"/>
        <v>-2.6540743480785644E-3</v>
      </c>
    </row>
    <row r="2095" spans="1:7" x14ac:dyDescent="0.3">
      <c r="A2095" s="33">
        <v>45454</v>
      </c>
      <c r="B2095" s="34">
        <v>1529.85</v>
      </c>
      <c r="C2095" s="34">
        <f t="shared" si="64"/>
        <v>-2.5786249661220576E-3</v>
      </c>
      <c r="E2095" s="33">
        <v>45454</v>
      </c>
      <c r="F2095" s="34">
        <v>76456.59</v>
      </c>
      <c r="G2095" s="34">
        <f t="shared" si="65"/>
        <v>-4.3793043072124632E-4</v>
      </c>
    </row>
    <row r="2096" spans="1:7" x14ac:dyDescent="0.3">
      <c r="A2096" s="33">
        <v>45455</v>
      </c>
      <c r="B2096" s="34">
        <v>1540.7</v>
      </c>
      <c r="C2096" s="34">
        <f t="shared" si="64"/>
        <v>7.0671672230925731E-3</v>
      </c>
      <c r="E2096" s="33">
        <v>45455</v>
      </c>
      <c r="F2096" s="34">
        <v>76606.570000000007</v>
      </c>
      <c r="G2096" s="34">
        <f t="shared" si="65"/>
        <v>1.9597145126185205E-3</v>
      </c>
    </row>
    <row r="2097" spans="1:7" x14ac:dyDescent="0.3">
      <c r="A2097" s="33">
        <v>45456</v>
      </c>
      <c r="B2097" s="34">
        <v>1543.45</v>
      </c>
      <c r="C2097" s="34">
        <f t="shared" si="64"/>
        <v>1.7833119198458122E-3</v>
      </c>
      <c r="E2097" s="33">
        <v>45456</v>
      </c>
      <c r="F2097" s="34">
        <v>76810.899999999994</v>
      </c>
      <c r="G2097" s="34">
        <f t="shared" si="65"/>
        <v>2.6637138627876827E-3</v>
      </c>
    </row>
    <row r="2098" spans="1:7" x14ac:dyDescent="0.3">
      <c r="A2098" s="33">
        <v>45457</v>
      </c>
      <c r="B2098" s="34">
        <v>1565.3</v>
      </c>
      <c r="C2098" s="34">
        <f t="shared" si="64"/>
        <v>1.4057328386602244E-2</v>
      </c>
      <c r="E2098" s="33">
        <v>45457</v>
      </c>
      <c r="F2098" s="34">
        <v>76992.77</v>
      </c>
      <c r="G2098" s="34">
        <f t="shared" si="65"/>
        <v>2.3649641750085686E-3</v>
      </c>
    </row>
    <row r="2099" spans="1:7" x14ac:dyDescent="0.3">
      <c r="A2099" s="33">
        <v>45461</v>
      </c>
      <c r="B2099" s="34">
        <v>1574.25</v>
      </c>
      <c r="C2099" s="34">
        <f t="shared" si="64"/>
        <v>5.7014694746748236E-3</v>
      </c>
      <c r="E2099" s="33">
        <v>45461</v>
      </c>
      <c r="F2099" s="34">
        <v>77301.14</v>
      </c>
      <c r="G2099" s="34">
        <f t="shared" si="65"/>
        <v>3.9971818794499268E-3</v>
      </c>
    </row>
    <row r="2100" spans="1:7" x14ac:dyDescent="0.3">
      <c r="A2100" s="33">
        <v>45462</v>
      </c>
      <c r="B2100" s="34">
        <v>1559.3</v>
      </c>
      <c r="C2100" s="34">
        <f t="shared" si="64"/>
        <v>-9.5419657780123467E-3</v>
      </c>
      <c r="E2100" s="33">
        <v>45462</v>
      </c>
      <c r="F2100" s="34">
        <v>77337.59</v>
      </c>
      <c r="G2100" s="34">
        <f t="shared" si="65"/>
        <v>4.7142136610986901E-4</v>
      </c>
    </row>
    <row r="2101" spans="1:7" x14ac:dyDescent="0.3">
      <c r="A2101" s="33">
        <v>45463</v>
      </c>
      <c r="B2101" s="34">
        <v>1544.45</v>
      </c>
      <c r="C2101" s="34">
        <f t="shared" si="64"/>
        <v>-9.5691426924434074E-3</v>
      </c>
      <c r="E2101" s="33">
        <v>45463</v>
      </c>
      <c r="F2101" s="34">
        <v>77478.929999999993</v>
      </c>
      <c r="G2101" s="34">
        <f t="shared" si="65"/>
        <v>1.8259038411154722E-3</v>
      </c>
    </row>
    <row r="2102" spans="1:7" x14ac:dyDescent="0.3">
      <c r="A2102" s="33">
        <v>45464</v>
      </c>
      <c r="B2102" s="34">
        <v>1540.95</v>
      </c>
      <c r="C2102" s="34">
        <f t="shared" si="64"/>
        <v>-2.268750568013846E-3</v>
      </c>
      <c r="E2102" s="33">
        <v>45464</v>
      </c>
      <c r="F2102" s="34">
        <v>77209.899999999994</v>
      </c>
      <c r="G2102" s="34">
        <f t="shared" si="65"/>
        <v>-3.4783412770819618E-3</v>
      </c>
    </row>
    <row r="2103" spans="1:7" x14ac:dyDescent="0.3">
      <c r="A2103" s="33">
        <v>45467</v>
      </c>
      <c r="B2103" s="34">
        <v>1503.3</v>
      </c>
      <c r="C2103" s="34">
        <f t="shared" si="64"/>
        <v>-2.4736417696593817E-2</v>
      </c>
      <c r="E2103" s="33">
        <v>45467</v>
      </c>
      <c r="F2103" s="34">
        <v>77341.08</v>
      </c>
      <c r="G2103" s="34">
        <f t="shared" si="65"/>
        <v>1.6975632442061386E-3</v>
      </c>
    </row>
    <row r="2104" spans="1:7" x14ac:dyDescent="0.3">
      <c r="A2104" s="33">
        <v>45468</v>
      </c>
      <c r="B2104" s="34">
        <v>1499.4</v>
      </c>
      <c r="C2104" s="34">
        <f t="shared" si="64"/>
        <v>-2.597663564826872E-3</v>
      </c>
      <c r="E2104" s="33">
        <v>45468</v>
      </c>
      <c r="F2104" s="34">
        <v>78053.52</v>
      </c>
      <c r="G2104" s="34">
        <f t="shared" si="65"/>
        <v>9.1694948447498901E-3</v>
      </c>
    </row>
    <row r="2105" spans="1:7" x14ac:dyDescent="0.3">
      <c r="A2105" s="33">
        <v>45469</v>
      </c>
      <c r="B2105" s="34">
        <v>1479.45</v>
      </c>
      <c r="C2105" s="34">
        <f t="shared" si="64"/>
        <v>-1.3394631000849543E-2</v>
      </c>
      <c r="E2105" s="33">
        <v>45469</v>
      </c>
      <c r="F2105" s="34">
        <v>78674.25</v>
      </c>
      <c r="G2105" s="34">
        <f t="shared" si="65"/>
        <v>7.9211647767451973E-3</v>
      </c>
    </row>
    <row r="2106" spans="1:7" x14ac:dyDescent="0.3">
      <c r="A2106" s="33">
        <v>45470</v>
      </c>
      <c r="B2106" s="34">
        <v>1480.95</v>
      </c>
      <c r="C2106" s="34">
        <f t="shared" si="64"/>
        <v>1.0133766574560246E-3</v>
      </c>
      <c r="E2106" s="33">
        <v>45470</v>
      </c>
      <c r="F2106" s="34">
        <v>79243.179999999993</v>
      </c>
      <c r="G2106" s="34">
        <f t="shared" si="65"/>
        <v>7.2054422553910194E-3</v>
      </c>
    </row>
    <row r="2107" spans="1:7" x14ac:dyDescent="0.3">
      <c r="A2107" s="33">
        <v>45471</v>
      </c>
      <c r="B2107" s="34">
        <v>1480.4</v>
      </c>
      <c r="C2107" s="34">
        <f t="shared" si="64"/>
        <v>-3.7145221356740365E-4</v>
      </c>
      <c r="E2107" s="33">
        <v>45471</v>
      </c>
      <c r="F2107" s="34">
        <v>79032.73</v>
      </c>
      <c r="G2107" s="34">
        <f t="shared" si="65"/>
        <v>-2.6592818075892306E-3</v>
      </c>
    </row>
    <row r="2108" spans="1:7" x14ac:dyDescent="0.3">
      <c r="A2108" s="33">
        <v>45474</v>
      </c>
      <c r="B2108" s="34">
        <v>1478.9</v>
      </c>
      <c r="C2108" s="34">
        <f t="shared" si="64"/>
        <v>-1.0137533392774664E-3</v>
      </c>
      <c r="E2108" s="33">
        <v>45474</v>
      </c>
      <c r="F2108" s="34">
        <v>79476.19</v>
      </c>
      <c r="G2108" s="34">
        <f t="shared" si="65"/>
        <v>5.5954094824314602E-3</v>
      </c>
    </row>
    <row r="2109" spans="1:7" x14ac:dyDescent="0.3">
      <c r="A2109" s="33">
        <v>45475</v>
      </c>
      <c r="B2109" s="34">
        <v>1488.45</v>
      </c>
      <c r="C2109" s="34">
        <f t="shared" si="64"/>
        <v>6.4367418556367647E-3</v>
      </c>
      <c r="E2109" s="33">
        <v>45475</v>
      </c>
      <c r="F2109" s="34">
        <v>79441.45</v>
      </c>
      <c r="G2109" s="34">
        <f t="shared" si="65"/>
        <v>-4.3720760707731583E-4</v>
      </c>
    </row>
    <row r="2110" spans="1:7" x14ac:dyDescent="0.3">
      <c r="A2110" s="33">
        <v>45476</v>
      </c>
      <c r="B2110" s="34">
        <v>1483.2</v>
      </c>
      <c r="C2110" s="34">
        <f t="shared" si="64"/>
        <v>-3.5333942167695407E-3</v>
      </c>
      <c r="E2110" s="33">
        <v>45476</v>
      </c>
      <c r="F2110" s="34">
        <v>79986.8</v>
      </c>
      <c r="G2110" s="34">
        <f t="shared" si="65"/>
        <v>6.8413487201609757E-3</v>
      </c>
    </row>
    <row r="2111" spans="1:7" x14ac:dyDescent="0.3">
      <c r="A2111" s="33">
        <v>45477</v>
      </c>
      <c r="B2111" s="34">
        <v>1481.65</v>
      </c>
      <c r="C2111" s="34">
        <f t="shared" si="64"/>
        <v>-1.0455841888871008E-3</v>
      </c>
      <c r="E2111" s="33">
        <v>45477</v>
      </c>
      <c r="F2111" s="34">
        <v>80049.67</v>
      </c>
      <c r="G2111" s="34">
        <f t="shared" si="65"/>
        <v>7.8569595085707525E-4</v>
      </c>
    </row>
    <row r="2112" spans="1:7" x14ac:dyDescent="0.3">
      <c r="A2112" s="33">
        <v>45478</v>
      </c>
      <c r="B2112" s="34">
        <v>1509.4</v>
      </c>
      <c r="C2112" s="34">
        <f t="shared" si="64"/>
        <v>1.8555889228064466E-2</v>
      </c>
      <c r="E2112" s="33">
        <v>45478</v>
      </c>
      <c r="F2112" s="34">
        <v>79996.600000000006</v>
      </c>
      <c r="G2112" s="34">
        <f t="shared" si="65"/>
        <v>-6.6318324001005298E-4</v>
      </c>
    </row>
    <row r="2113" spans="1:7" x14ac:dyDescent="0.3">
      <c r="A2113" s="33">
        <v>45481</v>
      </c>
      <c r="B2113" s="34">
        <v>1486.95</v>
      </c>
      <c r="C2113" s="34">
        <f t="shared" si="64"/>
        <v>-1.4985178703751927E-2</v>
      </c>
      <c r="E2113" s="33">
        <v>45481</v>
      </c>
      <c r="F2113" s="34">
        <v>79960.38</v>
      </c>
      <c r="G2113" s="34">
        <f t="shared" si="65"/>
        <v>-4.528717736360783E-4</v>
      </c>
    </row>
    <row r="2114" spans="1:7" x14ac:dyDescent="0.3">
      <c r="A2114" s="33">
        <v>45482</v>
      </c>
      <c r="B2114" s="34">
        <v>1511.8</v>
      </c>
      <c r="C2114" s="34">
        <f t="shared" si="64"/>
        <v>1.6573951711060082E-2</v>
      </c>
      <c r="E2114" s="33">
        <v>45482</v>
      </c>
      <c r="F2114" s="34">
        <v>80351.64</v>
      </c>
      <c r="G2114" s="34">
        <f t="shared" si="65"/>
        <v>4.8812406813047386E-3</v>
      </c>
    </row>
    <row r="2115" spans="1:7" x14ac:dyDescent="0.3">
      <c r="A2115" s="33">
        <v>45483</v>
      </c>
      <c r="B2115" s="34">
        <v>1513.15</v>
      </c>
      <c r="C2115" s="34">
        <f t="shared" si="64"/>
        <v>8.9257679606485364E-4</v>
      </c>
      <c r="E2115" s="33">
        <v>45483</v>
      </c>
      <c r="F2115" s="34">
        <v>79924.77</v>
      </c>
      <c r="G2115" s="34">
        <f t="shared" si="65"/>
        <v>-5.3266854344766979E-3</v>
      </c>
    </row>
    <row r="2116" spans="1:7" x14ac:dyDescent="0.3">
      <c r="A2116" s="33">
        <v>45484</v>
      </c>
      <c r="B2116" s="34">
        <v>1505.8</v>
      </c>
      <c r="C2116" s="34">
        <f t="shared" si="64"/>
        <v>-4.8692522381191946E-3</v>
      </c>
      <c r="E2116" s="33">
        <v>45484</v>
      </c>
      <c r="F2116" s="34">
        <v>79897.34</v>
      </c>
      <c r="G2116" s="34">
        <f t="shared" si="65"/>
        <v>-3.432566403901553E-4</v>
      </c>
    </row>
    <row r="2117" spans="1:7" x14ac:dyDescent="0.3">
      <c r="A2117" s="33">
        <v>45485</v>
      </c>
      <c r="B2117" s="34">
        <v>1511.95</v>
      </c>
      <c r="C2117" s="34">
        <f t="shared" si="64"/>
        <v>4.0758899936033099E-3</v>
      </c>
      <c r="E2117" s="33">
        <v>45485</v>
      </c>
      <c r="F2117" s="34">
        <v>80519.34</v>
      </c>
      <c r="G2117" s="34">
        <f t="shared" si="65"/>
        <v>7.754843413153285E-3</v>
      </c>
    </row>
    <row r="2118" spans="1:7" x14ac:dyDescent="0.3">
      <c r="A2118" s="33">
        <v>45488</v>
      </c>
      <c r="B2118" s="34">
        <v>1516.05</v>
      </c>
      <c r="C2118" s="34">
        <f t="shared" si="64"/>
        <v>2.7080597791559525E-3</v>
      </c>
      <c r="E2118" s="33">
        <v>45488</v>
      </c>
      <c r="F2118" s="34">
        <v>80664.86</v>
      </c>
      <c r="G2118" s="34">
        <f t="shared" si="65"/>
        <v>1.8056365268662034E-3</v>
      </c>
    </row>
    <row r="2119" spans="1:7" x14ac:dyDescent="0.3">
      <c r="A2119" s="33">
        <v>45489</v>
      </c>
      <c r="B2119" s="34">
        <v>1511.35</v>
      </c>
      <c r="C2119" s="34">
        <f t="shared" ref="C2119:C2182" si="66">LN(B2119/B2118)</f>
        <v>-3.104977060191378E-3</v>
      </c>
      <c r="E2119" s="33">
        <v>45489</v>
      </c>
      <c r="F2119" s="34">
        <v>80716.55</v>
      </c>
      <c r="G2119" s="34">
        <f t="shared" ref="G2119:G2182" si="67">LN(F2119/F2118)</f>
        <v>6.4059425143991476E-4</v>
      </c>
    </row>
    <row r="2120" spans="1:7" x14ac:dyDescent="0.3">
      <c r="A2120" s="33">
        <v>45491</v>
      </c>
      <c r="B2120" s="34">
        <v>1506.05</v>
      </c>
      <c r="C2120" s="34">
        <f t="shared" si="66"/>
        <v>-3.5129617886679003E-3</v>
      </c>
      <c r="E2120" s="33">
        <v>45491</v>
      </c>
      <c r="F2120" s="34">
        <v>81343.460000000006</v>
      </c>
      <c r="G2120" s="34">
        <f t="shared" si="67"/>
        <v>7.7368022763193494E-3</v>
      </c>
    </row>
    <row r="2121" spans="1:7" x14ac:dyDescent="0.3">
      <c r="A2121" s="33">
        <v>45492</v>
      </c>
      <c r="B2121" s="34">
        <v>1485.15</v>
      </c>
      <c r="C2121" s="34">
        <f t="shared" si="66"/>
        <v>-1.3974552103288556E-2</v>
      </c>
      <c r="E2121" s="33">
        <v>45492</v>
      </c>
      <c r="F2121" s="34">
        <v>80604.649999999994</v>
      </c>
      <c r="G2121" s="34">
        <f t="shared" si="67"/>
        <v>-9.1240969151737475E-3</v>
      </c>
    </row>
    <row r="2122" spans="1:7" x14ac:dyDescent="0.3">
      <c r="A2122" s="33">
        <v>45495</v>
      </c>
      <c r="B2122" s="34">
        <v>1489.7</v>
      </c>
      <c r="C2122" s="34">
        <f t="shared" si="66"/>
        <v>3.0589801489138797E-3</v>
      </c>
      <c r="E2122" s="33">
        <v>45495</v>
      </c>
      <c r="F2122" s="34">
        <v>80502.080000000002</v>
      </c>
      <c r="G2122" s="34">
        <f t="shared" si="67"/>
        <v>-1.2733175561117206E-3</v>
      </c>
    </row>
    <row r="2123" spans="1:7" x14ac:dyDescent="0.3">
      <c r="A2123" s="33">
        <v>45496</v>
      </c>
      <c r="B2123" s="34">
        <v>1497.45</v>
      </c>
      <c r="C2123" s="34">
        <f t="shared" si="66"/>
        <v>5.1889040649965934E-3</v>
      </c>
      <c r="E2123" s="33">
        <v>45496</v>
      </c>
      <c r="F2123" s="34">
        <v>80429.039999999994</v>
      </c>
      <c r="G2123" s="34">
        <f t="shared" si="67"/>
        <v>-9.0771760011523533E-4</v>
      </c>
    </row>
    <row r="2124" spans="1:7" x14ac:dyDescent="0.3">
      <c r="A2124" s="33">
        <v>45497</v>
      </c>
      <c r="B2124" s="34">
        <v>1503.9</v>
      </c>
      <c r="C2124" s="34">
        <f t="shared" si="66"/>
        <v>4.2980724870236471E-3</v>
      </c>
      <c r="E2124" s="33">
        <v>45497</v>
      </c>
      <c r="F2124" s="34">
        <v>80148.88</v>
      </c>
      <c r="G2124" s="34">
        <f t="shared" si="67"/>
        <v>-3.4893998411098682E-3</v>
      </c>
    </row>
    <row r="2125" spans="1:7" x14ac:dyDescent="0.3">
      <c r="A2125" s="33">
        <v>45498</v>
      </c>
      <c r="B2125" s="34">
        <v>1499.9</v>
      </c>
      <c r="C2125" s="34">
        <f t="shared" si="66"/>
        <v>-2.6632947362536718E-3</v>
      </c>
      <c r="E2125" s="33">
        <v>45498</v>
      </c>
      <c r="F2125" s="34">
        <v>80039.8</v>
      </c>
      <c r="G2125" s="34">
        <f t="shared" si="67"/>
        <v>-1.3618941970148515E-3</v>
      </c>
    </row>
    <row r="2126" spans="1:7" x14ac:dyDescent="0.3">
      <c r="A2126" s="33">
        <v>45499</v>
      </c>
      <c r="B2126" s="34">
        <v>1578.25</v>
      </c>
      <c r="C2126" s="34">
        <f t="shared" si="66"/>
        <v>5.0918199046421156E-2</v>
      </c>
      <c r="E2126" s="33">
        <v>45499</v>
      </c>
      <c r="F2126" s="34">
        <v>81332.72</v>
      </c>
      <c r="G2126" s="34">
        <f t="shared" si="67"/>
        <v>1.6024384651266189E-2</v>
      </c>
    </row>
    <row r="2127" spans="1:7" x14ac:dyDescent="0.3">
      <c r="A2127" s="33">
        <v>45502</v>
      </c>
      <c r="B2127" s="34">
        <v>1553.7</v>
      </c>
      <c r="C2127" s="34">
        <f t="shared" si="66"/>
        <v>-1.5677455149779543E-2</v>
      </c>
      <c r="E2127" s="33">
        <v>45502</v>
      </c>
      <c r="F2127" s="34">
        <v>81355.839999999997</v>
      </c>
      <c r="G2127" s="34">
        <f t="shared" si="67"/>
        <v>2.8422404323491236E-4</v>
      </c>
    </row>
    <row r="2128" spans="1:7" x14ac:dyDescent="0.3">
      <c r="A2128" s="33">
        <v>45503</v>
      </c>
      <c r="B2128" s="34">
        <v>1529.3</v>
      </c>
      <c r="C2128" s="34">
        <f t="shared" si="66"/>
        <v>-1.5829068743877867E-2</v>
      </c>
      <c r="E2128" s="33">
        <v>45503</v>
      </c>
      <c r="F2128" s="34">
        <v>81455.399999999994</v>
      </c>
      <c r="G2128" s="34">
        <f t="shared" si="67"/>
        <v>1.2230115366701842E-3</v>
      </c>
    </row>
    <row r="2129" spans="1:7" x14ac:dyDescent="0.3">
      <c r="A2129" s="33">
        <v>45504</v>
      </c>
      <c r="B2129" s="34">
        <v>1543.85</v>
      </c>
      <c r="C2129" s="34">
        <f t="shared" si="66"/>
        <v>9.4691822521843893E-3</v>
      </c>
      <c r="E2129" s="33">
        <v>45504</v>
      </c>
      <c r="F2129" s="34">
        <v>81741.34</v>
      </c>
      <c r="G2129" s="34">
        <f t="shared" si="67"/>
        <v>3.5042402514255315E-3</v>
      </c>
    </row>
    <row r="2130" spans="1:7" x14ac:dyDescent="0.3">
      <c r="A2130" s="33">
        <v>45505</v>
      </c>
      <c r="B2130" s="34">
        <v>1546.15</v>
      </c>
      <c r="C2130" s="34">
        <f t="shared" si="66"/>
        <v>1.4886734140853789E-3</v>
      </c>
      <c r="E2130" s="33">
        <v>45505</v>
      </c>
      <c r="F2130" s="34">
        <v>81867.55</v>
      </c>
      <c r="G2130" s="34">
        <f t="shared" si="67"/>
        <v>1.542826004564158E-3</v>
      </c>
    </row>
    <row r="2131" spans="1:7" x14ac:dyDescent="0.3">
      <c r="A2131" s="33">
        <v>45506</v>
      </c>
      <c r="B2131" s="34">
        <v>1528.8</v>
      </c>
      <c r="C2131" s="34">
        <f t="shared" si="66"/>
        <v>-1.1284856094284132E-2</v>
      </c>
      <c r="E2131" s="33">
        <v>45506</v>
      </c>
      <c r="F2131" s="34">
        <v>80981.95</v>
      </c>
      <c r="G2131" s="34">
        <f t="shared" si="67"/>
        <v>-1.0876407115093309E-2</v>
      </c>
    </row>
    <row r="2132" spans="1:7" x14ac:dyDescent="0.3">
      <c r="A2132" s="33">
        <v>45509</v>
      </c>
      <c r="B2132" s="34">
        <v>1515</v>
      </c>
      <c r="C2132" s="34">
        <f t="shared" si="66"/>
        <v>-9.0676749825936848E-3</v>
      </c>
      <c r="E2132" s="33">
        <v>45509</v>
      </c>
      <c r="F2132" s="34">
        <v>78759.399999999994</v>
      </c>
      <c r="G2132" s="34">
        <f t="shared" si="67"/>
        <v>-2.7828654672190808E-2</v>
      </c>
    </row>
    <row r="2133" spans="1:7" x14ac:dyDescent="0.3">
      <c r="A2133" s="33">
        <v>45510</v>
      </c>
      <c r="B2133" s="34">
        <v>1531.5</v>
      </c>
      <c r="C2133" s="34">
        <f t="shared" si="66"/>
        <v>1.0832208329360431E-2</v>
      </c>
      <c r="E2133" s="33">
        <v>45510</v>
      </c>
      <c r="F2133" s="34">
        <v>78593.070000000007</v>
      </c>
      <c r="G2133" s="34">
        <f t="shared" si="67"/>
        <v>-2.1141080524547415E-3</v>
      </c>
    </row>
    <row r="2134" spans="1:7" x14ac:dyDescent="0.3">
      <c r="A2134" s="33">
        <v>45511</v>
      </c>
      <c r="B2134" s="34">
        <v>1553.8</v>
      </c>
      <c r="C2134" s="34">
        <f t="shared" si="66"/>
        <v>1.4455896243490331E-2</v>
      </c>
      <c r="E2134" s="33">
        <v>45511</v>
      </c>
      <c r="F2134" s="34">
        <v>79468.009999999995</v>
      </c>
      <c r="G2134" s="34">
        <f t="shared" si="67"/>
        <v>1.1071023133415431E-2</v>
      </c>
    </row>
    <row r="2135" spans="1:7" x14ac:dyDescent="0.3">
      <c r="A2135" s="33">
        <v>45512</v>
      </c>
      <c r="B2135" s="34">
        <v>1568.9</v>
      </c>
      <c r="C2135" s="34">
        <f t="shared" si="66"/>
        <v>9.671193322589651E-3</v>
      </c>
      <c r="E2135" s="33">
        <v>45512</v>
      </c>
      <c r="F2135" s="34">
        <v>78886.22</v>
      </c>
      <c r="G2135" s="34">
        <f t="shared" si="67"/>
        <v>-7.3479896016784389E-3</v>
      </c>
    </row>
    <row r="2136" spans="1:7" x14ac:dyDescent="0.3">
      <c r="A2136" s="33">
        <v>45513</v>
      </c>
      <c r="B2136" s="34">
        <v>1574.75</v>
      </c>
      <c r="C2136" s="34">
        <f t="shared" si="66"/>
        <v>3.7217926631285701E-3</v>
      </c>
      <c r="E2136" s="33">
        <v>45513</v>
      </c>
      <c r="F2136" s="34">
        <v>79705.91</v>
      </c>
      <c r="G2136" s="34">
        <f t="shared" si="67"/>
        <v>1.0337174980048292E-2</v>
      </c>
    </row>
    <row r="2137" spans="1:7" x14ac:dyDescent="0.3">
      <c r="A2137" s="33">
        <v>45516</v>
      </c>
      <c r="B2137" s="34">
        <v>1585.25</v>
      </c>
      <c r="C2137" s="34">
        <f t="shared" si="66"/>
        <v>6.6455940781025404E-3</v>
      </c>
      <c r="E2137" s="33">
        <v>45516</v>
      </c>
      <c r="F2137" s="34">
        <v>79648.92</v>
      </c>
      <c r="G2137" s="34">
        <f t="shared" si="67"/>
        <v>-7.1525917889850082E-4</v>
      </c>
    </row>
    <row r="2138" spans="1:7" x14ac:dyDescent="0.3">
      <c r="A2138" s="33">
        <v>45517</v>
      </c>
      <c r="B2138" s="34">
        <v>1582.55</v>
      </c>
      <c r="C2138" s="34">
        <f t="shared" si="66"/>
        <v>-1.704653484320256E-3</v>
      </c>
      <c r="E2138" s="33">
        <v>45517</v>
      </c>
      <c r="F2138" s="34">
        <v>78956.03</v>
      </c>
      <c r="G2138" s="34">
        <f t="shared" si="67"/>
        <v>-8.7373617029684915E-3</v>
      </c>
    </row>
    <row r="2139" spans="1:7" x14ac:dyDescent="0.3">
      <c r="A2139" s="33">
        <v>45518</v>
      </c>
      <c r="B2139" s="34">
        <v>1564.55</v>
      </c>
      <c r="C2139" s="34">
        <f t="shared" si="66"/>
        <v>-1.143922740520307E-2</v>
      </c>
      <c r="E2139" s="33">
        <v>45518</v>
      </c>
      <c r="F2139" s="34">
        <v>79105.88</v>
      </c>
      <c r="G2139" s="34">
        <f t="shared" si="67"/>
        <v>1.8960930548628816E-3</v>
      </c>
    </row>
    <row r="2140" spans="1:7" x14ac:dyDescent="0.3">
      <c r="A2140" s="33">
        <v>45520</v>
      </c>
      <c r="B2140" s="34">
        <v>1576.5</v>
      </c>
      <c r="C2140" s="34">
        <f t="shared" si="66"/>
        <v>7.6089572944977833E-3</v>
      </c>
      <c r="E2140" s="33">
        <v>45520</v>
      </c>
      <c r="F2140" s="34">
        <v>80436.84</v>
      </c>
      <c r="G2140" s="34">
        <f t="shared" si="67"/>
        <v>1.6685071900488589E-2</v>
      </c>
    </row>
    <row r="2141" spans="1:7" x14ac:dyDescent="0.3">
      <c r="A2141" s="33">
        <v>45523</v>
      </c>
      <c r="B2141" s="34">
        <v>1575.45</v>
      </c>
      <c r="C2141" s="34">
        <f t="shared" si="66"/>
        <v>-6.6625424822145264E-4</v>
      </c>
      <c r="E2141" s="33">
        <v>45523</v>
      </c>
      <c r="F2141" s="34">
        <v>80424.679999999993</v>
      </c>
      <c r="G2141" s="34">
        <f t="shared" si="67"/>
        <v>-1.5118593959777287E-4</v>
      </c>
    </row>
    <row r="2142" spans="1:7" x14ac:dyDescent="0.3">
      <c r="A2142" s="33">
        <v>45524</v>
      </c>
      <c r="B2142" s="34">
        <v>1562.9</v>
      </c>
      <c r="C2142" s="34">
        <f t="shared" si="66"/>
        <v>-7.9978758887461147E-3</v>
      </c>
      <c r="E2142" s="33">
        <v>45524</v>
      </c>
      <c r="F2142" s="34">
        <v>80802.86</v>
      </c>
      <c r="G2142" s="34">
        <f t="shared" si="67"/>
        <v>4.6912666853485361E-3</v>
      </c>
    </row>
    <row r="2143" spans="1:7" x14ac:dyDescent="0.3">
      <c r="A2143" s="33">
        <v>45525</v>
      </c>
      <c r="B2143" s="34">
        <v>1594.3</v>
      </c>
      <c r="C2143" s="34">
        <f t="shared" si="66"/>
        <v>1.9891698565171693E-2</v>
      </c>
      <c r="E2143" s="33">
        <v>45525</v>
      </c>
      <c r="F2143" s="34">
        <v>80905.3</v>
      </c>
      <c r="G2143" s="34">
        <f t="shared" si="67"/>
        <v>1.2669739573223069E-3</v>
      </c>
    </row>
    <row r="2144" spans="1:7" x14ac:dyDescent="0.3">
      <c r="A2144" s="33">
        <v>45526</v>
      </c>
      <c r="B2144" s="34">
        <v>1585.75</v>
      </c>
      <c r="C2144" s="34">
        <f t="shared" si="66"/>
        <v>-5.3772868993131329E-3</v>
      </c>
      <c r="E2144" s="33">
        <v>45526</v>
      </c>
      <c r="F2144" s="34">
        <v>81053.19</v>
      </c>
      <c r="G2144" s="34">
        <f t="shared" si="67"/>
        <v>1.8262709303396981E-3</v>
      </c>
    </row>
    <row r="2145" spans="1:7" x14ac:dyDescent="0.3">
      <c r="A2145" s="33">
        <v>45527</v>
      </c>
      <c r="B2145" s="34">
        <v>1575</v>
      </c>
      <c r="C2145" s="34">
        <f t="shared" si="66"/>
        <v>-6.8022092542730471E-3</v>
      </c>
      <c r="E2145" s="33">
        <v>45527</v>
      </c>
      <c r="F2145" s="34">
        <v>81086.210000000006</v>
      </c>
      <c r="G2145" s="34">
        <f t="shared" si="67"/>
        <v>4.0730384417977863E-4</v>
      </c>
    </row>
    <row r="2146" spans="1:7" x14ac:dyDescent="0.3">
      <c r="A2146" s="33">
        <v>45530</v>
      </c>
      <c r="B2146" s="34">
        <v>1593.35</v>
      </c>
      <c r="C2146" s="34">
        <f t="shared" si="66"/>
        <v>1.158344575399655E-2</v>
      </c>
      <c r="E2146" s="33">
        <v>45530</v>
      </c>
      <c r="F2146" s="34">
        <v>81698.11</v>
      </c>
      <c r="G2146" s="34">
        <f t="shared" si="67"/>
        <v>7.5179585113725068E-3</v>
      </c>
    </row>
    <row r="2147" spans="1:7" x14ac:dyDescent="0.3">
      <c r="A2147" s="33">
        <v>45531</v>
      </c>
      <c r="B2147" s="34">
        <v>1597.6</v>
      </c>
      <c r="C2147" s="34">
        <f t="shared" si="66"/>
        <v>2.6637850878755039E-3</v>
      </c>
      <c r="E2147" s="33">
        <v>45531</v>
      </c>
      <c r="F2147" s="34">
        <v>81711.759999999995</v>
      </c>
      <c r="G2147" s="34">
        <f t="shared" si="67"/>
        <v>1.6706457243665033E-4</v>
      </c>
    </row>
    <row r="2148" spans="1:7" x14ac:dyDescent="0.3">
      <c r="A2148" s="33">
        <v>45532</v>
      </c>
      <c r="B2148" s="34">
        <v>1619.25</v>
      </c>
      <c r="C2148" s="34">
        <f t="shared" si="66"/>
        <v>1.3460575961420954E-2</v>
      </c>
      <c r="E2148" s="33">
        <v>45532</v>
      </c>
      <c r="F2148" s="34">
        <v>81785.56</v>
      </c>
      <c r="G2148" s="34">
        <f t="shared" si="67"/>
        <v>9.0276715254021382E-4</v>
      </c>
    </row>
    <row r="2149" spans="1:7" x14ac:dyDescent="0.3">
      <c r="A2149" s="33">
        <v>45533</v>
      </c>
      <c r="B2149" s="34">
        <v>1618.9</v>
      </c>
      <c r="C2149" s="34">
        <f t="shared" si="66"/>
        <v>-2.1617281556626832E-4</v>
      </c>
      <c r="E2149" s="33">
        <v>45533</v>
      </c>
      <c r="F2149" s="34">
        <v>82134.61</v>
      </c>
      <c r="G2149" s="34">
        <f t="shared" si="67"/>
        <v>4.2587867931997495E-3</v>
      </c>
    </row>
    <row r="2150" spans="1:7" x14ac:dyDescent="0.3">
      <c r="A2150" s="33">
        <v>45534</v>
      </c>
      <c r="B2150" s="34">
        <v>1655.75</v>
      </c>
      <c r="C2150" s="34">
        <f t="shared" si="66"/>
        <v>2.2507172117628545E-2</v>
      </c>
      <c r="E2150" s="33">
        <v>45534</v>
      </c>
      <c r="F2150" s="34">
        <v>82365.77</v>
      </c>
      <c r="G2150" s="34">
        <f t="shared" si="67"/>
        <v>2.8104512847209589E-3</v>
      </c>
    </row>
    <row r="2151" spans="1:7" x14ac:dyDescent="0.3">
      <c r="A2151" s="33">
        <v>45537</v>
      </c>
      <c r="B2151" s="34">
        <v>1646.35</v>
      </c>
      <c r="C2151" s="34">
        <f t="shared" si="66"/>
        <v>-5.6933620370333777E-3</v>
      </c>
      <c r="E2151" s="33">
        <v>45537</v>
      </c>
      <c r="F2151" s="34">
        <v>82559.839999999997</v>
      </c>
      <c r="G2151" s="34">
        <f t="shared" si="67"/>
        <v>2.3534257605377367E-3</v>
      </c>
    </row>
    <row r="2152" spans="1:7" x14ac:dyDescent="0.3">
      <c r="A2152" s="33">
        <v>45538</v>
      </c>
      <c r="B2152" s="34">
        <v>1652.4</v>
      </c>
      <c r="C2152" s="34">
        <f t="shared" si="66"/>
        <v>3.6680601945541283E-3</v>
      </c>
      <c r="E2152" s="33">
        <v>45538</v>
      </c>
      <c r="F2152" s="34">
        <v>82555.44</v>
      </c>
      <c r="G2152" s="34">
        <f t="shared" si="67"/>
        <v>-5.3296097139361041E-5</v>
      </c>
    </row>
    <row r="2153" spans="1:7" x14ac:dyDescent="0.3">
      <c r="A2153" s="33">
        <v>45539</v>
      </c>
      <c r="B2153" s="34">
        <v>1651.8</v>
      </c>
      <c r="C2153" s="34">
        <f t="shared" si="66"/>
        <v>-3.6317414599290165E-4</v>
      </c>
      <c r="E2153" s="33">
        <v>45539</v>
      </c>
      <c r="F2153" s="34">
        <v>82352.639999999999</v>
      </c>
      <c r="G2153" s="34">
        <f t="shared" si="67"/>
        <v>-2.4595532521498467E-3</v>
      </c>
    </row>
    <row r="2154" spans="1:7" x14ac:dyDescent="0.3">
      <c r="A2154" s="33">
        <v>45540</v>
      </c>
      <c r="B2154" s="34">
        <v>1628.1</v>
      </c>
      <c r="C2154" s="34">
        <f t="shared" si="66"/>
        <v>-1.4451911639147807E-2</v>
      </c>
      <c r="E2154" s="33">
        <v>45540</v>
      </c>
      <c r="F2154" s="34">
        <v>82201.16</v>
      </c>
      <c r="G2154" s="34">
        <f t="shared" si="67"/>
        <v>-1.8411005128862446E-3</v>
      </c>
    </row>
    <row r="2155" spans="1:7" x14ac:dyDescent="0.3">
      <c r="A2155" s="33">
        <v>45541</v>
      </c>
      <c r="B2155" s="34">
        <v>1611.9</v>
      </c>
      <c r="C2155" s="34">
        <f t="shared" si="66"/>
        <v>-1.0000083334583198E-2</v>
      </c>
      <c r="E2155" s="33">
        <v>45541</v>
      </c>
      <c r="F2155" s="34">
        <v>81183.929999999993</v>
      </c>
      <c r="G2155" s="34">
        <f t="shared" si="67"/>
        <v>-1.2452092707068351E-2</v>
      </c>
    </row>
    <row r="2156" spans="1:7" x14ac:dyDescent="0.3">
      <c r="A2156" s="33">
        <v>45544</v>
      </c>
      <c r="B2156" s="34">
        <v>1620.15</v>
      </c>
      <c r="C2156" s="34">
        <f t="shared" si="66"/>
        <v>5.1051301297073163E-3</v>
      </c>
      <c r="E2156" s="33">
        <v>45544</v>
      </c>
      <c r="F2156" s="34">
        <v>81559.539999999994</v>
      </c>
      <c r="G2156" s="34">
        <f t="shared" si="67"/>
        <v>4.6159844930972636E-3</v>
      </c>
    </row>
    <row r="2157" spans="1:7" x14ac:dyDescent="0.3">
      <c r="A2157" s="33">
        <v>45545</v>
      </c>
      <c r="B2157" s="34">
        <v>1632</v>
      </c>
      <c r="C2157" s="34">
        <f t="shared" si="66"/>
        <v>7.2875189914593129E-3</v>
      </c>
      <c r="E2157" s="33">
        <v>45545</v>
      </c>
      <c r="F2157" s="34">
        <v>81921.289999999994</v>
      </c>
      <c r="G2157" s="34">
        <f t="shared" si="67"/>
        <v>4.4256025667943769E-3</v>
      </c>
    </row>
    <row r="2158" spans="1:7" x14ac:dyDescent="0.3">
      <c r="A2158" s="33">
        <v>45546</v>
      </c>
      <c r="B2158" s="34">
        <v>1627.7</v>
      </c>
      <c r="C2158" s="34">
        <f t="shared" si="66"/>
        <v>-2.6382811265997209E-3</v>
      </c>
      <c r="E2158" s="33">
        <v>45546</v>
      </c>
      <c r="F2158" s="34">
        <v>81523.16</v>
      </c>
      <c r="G2158" s="34">
        <f t="shared" si="67"/>
        <v>-4.8717565807204263E-3</v>
      </c>
    </row>
    <row r="2159" spans="1:7" x14ac:dyDescent="0.3">
      <c r="A2159" s="33">
        <v>45547</v>
      </c>
      <c r="B2159" s="34">
        <v>1657.1</v>
      </c>
      <c r="C2159" s="34">
        <f t="shared" si="66"/>
        <v>1.7901111238295579E-2</v>
      </c>
      <c r="E2159" s="33">
        <v>45547</v>
      </c>
      <c r="F2159" s="34">
        <v>82962.710000000006</v>
      </c>
      <c r="G2159" s="34">
        <f t="shared" si="67"/>
        <v>1.750407807615928E-2</v>
      </c>
    </row>
    <row r="2160" spans="1:7" x14ac:dyDescent="0.3">
      <c r="A2160" s="33">
        <v>45548</v>
      </c>
      <c r="B2160" s="34">
        <v>1659.25</v>
      </c>
      <c r="C2160" s="34">
        <f t="shared" si="66"/>
        <v>1.2966063902862511E-3</v>
      </c>
      <c r="E2160" s="33">
        <v>45548</v>
      </c>
      <c r="F2160" s="34">
        <v>82890.94</v>
      </c>
      <c r="G2160" s="34">
        <f t="shared" si="67"/>
        <v>-8.6546186327279655E-4</v>
      </c>
    </row>
    <row r="2161" spans="1:7" x14ac:dyDescent="0.3">
      <c r="A2161" s="33">
        <v>45551</v>
      </c>
      <c r="B2161" s="34">
        <v>1659.65</v>
      </c>
      <c r="C2161" s="34">
        <f t="shared" si="66"/>
        <v>2.410437204716335E-4</v>
      </c>
      <c r="E2161" s="33">
        <v>45551</v>
      </c>
      <c r="F2161" s="34">
        <v>82988.78</v>
      </c>
      <c r="G2161" s="34">
        <f t="shared" si="67"/>
        <v>1.1796500662765818E-3</v>
      </c>
    </row>
    <row r="2162" spans="1:7" x14ac:dyDescent="0.3">
      <c r="A2162" s="33">
        <v>45552</v>
      </c>
      <c r="B2162" s="34">
        <v>1671.15</v>
      </c>
      <c r="C2162" s="34">
        <f t="shared" si="66"/>
        <v>6.9052754269292443E-3</v>
      </c>
      <c r="E2162" s="33">
        <v>45552</v>
      </c>
      <c r="F2162" s="34">
        <v>83079.66</v>
      </c>
      <c r="G2162" s="34">
        <f t="shared" si="67"/>
        <v>1.0944886225479813E-3</v>
      </c>
    </row>
    <row r="2163" spans="1:7" x14ac:dyDescent="0.3">
      <c r="A2163" s="33">
        <v>45553</v>
      </c>
      <c r="B2163" s="34">
        <v>1651.9</v>
      </c>
      <c r="C2163" s="34">
        <f t="shared" si="66"/>
        <v>-1.1585871612340242E-2</v>
      </c>
      <c r="E2163" s="33">
        <v>45553</v>
      </c>
      <c r="F2163" s="34">
        <v>82948.23</v>
      </c>
      <c r="G2163" s="34">
        <f t="shared" si="67"/>
        <v>-1.5832283052404094E-3</v>
      </c>
    </row>
    <row r="2164" spans="1:7" x14ac:dyDescent="0.3">
      <c r="A2164" s="33">
        <v>45554</v>
      </c>
      <c r="B2164" s="34">
        <v>1638.45</v>
      </c>
      <c r="C2164" s="34">
        <f t="shared" si="66"/>
        <v>-8.1754676034332015E-3</v>
      </c>
      <c r="E2164" s="33">
        <v>45554</v>
      </c>
      <c r="F2164" s="34">
        <v>83184.800000000003</v>
      </c>
      <c r="G2164" s="34">
        <f t="shared" si="67"/>
        <v>2.8479605759217188E-3</v>
      </c>
    </row>
    <row r="2165" spans="1:7" x14ac:dyDescent="0.3">
      <c r="A2165" s="33">
        <v>45555</v>
      </c>
      <c r="B2165" s="34">
        <v>1639.5</v>
      </c>
      <c r="C2165" s="34">
        <f t="shared" si="66"/>
        <v>6.406443270411266E-4</v>
      </c>
      <c r="E2165" s="33">
        <v>45555</v>
      </c>
      <c r="F2165" s="34">
        <v>84544.31</v>
      </c>
      <c r="G2165" s="34">
        <f t="shared" si="67"/>
        <v>1.6211136793689622E-2</v>
      </c>
    </row>
    <row r="2166" spans="1:7" x14ac:dyDescent="0.3">
      <c r="A2166" s="33">
        <v>45558</v>
      </c>
      <c r="B2166" s="34">
        <v>1657.65</v>
      </c>
      <c r="C2166" s="34">
        <f t="shared" si="66"/>
        <v>1.1009619418198065E-2</v>
      </c>
      <c r="E2166" s="33">
        <v>45558</v>
      </c>
      <c r="F2166" s="34">
        <v>84928.61</v>
      </c>
      <c r="G2166" s="34">
        <f t="shared" si="67"/>
        <v>4.5352456156945468E-3</v>
      </c>
    </row>
    <row r="2167" spans="1:7" x14ac:dyDescent="0.3">
      <c r="A2167" s="33">
        <v>45559</v>
      </c>
      <c r="B2167" s="34">
        <v>1637.4</v>
      </c>
      <c r="C2167" s="34">
        <f t="shared" si="66"/>
        <v>-1.2291318760553121E-2</v>
      </c>
      <c r="E2167" s="33">
        <v>45559</v>
      </c>
      <c r="F2167" s="34">
        <v>84914.04</v>
      </c>
      <c r="G2167" s="34">
        <f t="shared" si="67"/>
        <v>-1.7157056882647357E-4</v>
      </c>
    </row>
    <row r="2168" spans="1:7" x14ac:dyDescent="0.3">
      <c r="A2168" s="33">
        <v>45560</v>
      </c>
      <c r="B2168" s="34">
        <v>1643.2</v>
      </c>
      <c r="C2168" s="34">
        <f t="shared" si="66"/>
        <v>3.5359422319459484E-3</v>
      </c>
      <c r="E2168" s="33">
        <v>45560</v>
      </c>
      <c r="F2168" s="34">
        <v>85169.87</v>
      </c>
      <c r="G2168" s="34">
        <f t="shared" si="67"/>
        <v>3.0082821230221052E-3</v>
      </c>
    </row>
    <row r="2169" spans="1:7" x14ac:dyDescent="0.3">
      <c r="A2169" s="33">
        <v>45561</v>
      </c>
      <c r="B2169" s="34">
        <v>1622.1</v>
      </c>
      <c r="C2169" s="34">
        <f t="shared" si="66"/>
        <v>-1.2923954118224978E-2</v>
      </c>
      <c r="E2169" s="33">
        <v>45561</v>
      </c>
      <c r="F2169" s="34">
        <v>85836.12</v>
      </c>
      <c r="G2169" s="34">
        <f t="shared" si="67"/>
        <v>7.7921641353108518E-3</v>
      </c>
    </row>
    <row r="2170" spans="1:7" x14ac:dyDescent="0.3">
      <c r="A2170" s="33">
        <v>45562</v>
      </c>
      <c r="B2170" s="34">
        <v>1671.6</v>
      </c>
      <c r="C2170" s="34">
        <f t="shared" si="66"/>
        <v>3.0059645517691379E-2</v>
      </c>
      <c r="E2170" s="33">
        <v>45562</v>
      </c>
      <c r="F2170" s="34">
        <v>85571.85</v>
      </c>
      <c r="G2170" s="34">
        <f t="shared" si="67"/>
        <v>-3.0835230052884441E-3</v>
      </c>
    </row>
    <row r="2171" spans="1:7" x14ac:dyDescent="0.3">
      <c r="A2171" s="33">
        <v>45565</v>
      </c>
      <c r="B2171" s="34">
        <v>1654</v>
      </c>
      <c r="C2171" s="34">
        <f t="shared" si="66"/>
        <v>-1.0584654990123695E-2</v>
      </c>
      <c r="E2171" s="33">
        <v>45565</v>
      </c>
      <c r="F2171" s="34">
        <v>84299.78</v>
      </c>
      <c r="G2171" s="34">
        <f t="shared" si="67"/>
        <v>-1.4977118645560743E-2</v>
      </c>
    </row>
    <row r="2172" spans="1:7" x14ac:dyDescent="0.3">
      <c r="A2172" s="33">
        <v>45566</v>
      </c>
      <c r="B2172" s="34">
        <v>1663.55</v>
      </c>
      <c r="C2172" s="34">
        <f t="shared" si="66"/>
        <v>5.7572765316949992E-3</v>
      </c>
      <c r="E2172" s="33">
        <v>45566</v>
      </c>
      <c r="F2172" s="34">
        <v>84266.29</v>
      </c>
      <c r="G2172" s="34">
        <f t="shared" si="67"/>
        <v>-3.9735161934602927E-4</v>
      </c>
    </row>
    <row r="2173" spans="1:7" x14ac:dyDescent="0.3">
      <c r="A2173" s="33">
        <v>45568</v>
      </c>
      <c r="B2173" s="34">
        <v>1656</v>
      </c>
      <c r="C2173" s="34">
        <f t="shared" si="66"/>
        <v>-4.5488171701267349E-3</v>
      </c>
      <c r="E2173" s="33">
        <v>45568</v>
      </c>
      <c r="F2173" s="34">
        <v>82497.100000000006</v>
      </c>
      <c r="G2173" s="34">
        <f t="shared" si="67"/>
        <v>-2.1218762450238689E-2</v>
      </c>
    </row>
    <row r="2174" spans="1:7" x14ac:dyDescent="0.3">
      <c r="A2174" s="33">
        <v>45569</v>
      </c>
      <c r="B2174" s="34">
        <v>1622.85</v>
      </c>
      <c r="C2174" s="34">
        <f t="shared" si="66"/>
        <v>-2.0221193143512981E-2</v>
      </c>
      <c r="E2174" s="33">
        <v>45569</v>
      </c>
      <c r="F2174" s="34">
        <v>81688.45</v>
      </c>
      <c r="G2174" s="34">
        <f t="shared" si="67"/>
        <v>-9.8505202045339156E-3</v>
      </c>
    </row>
    <row r="2175" spans="1:7" x14ac:dyDescent="0.3">
      <c r="A2175" s="33">
        <v>45572</v>
      </c>
      <c r="B2175" s="34">
        <v>1624.7</v>
      </c>
      <c r="C2175" s="34">
        <f t="shared" si="66"/>
        <v>1.139320534012542E-3</v>
      </c>
      <c r="E2175" s="33">
        <v>45572</v>
      </c>
      <c r="F2175" s="34">
        <v>81050</v>
      </c>
      <c r="G2175" s="34">
        <f t="shared" si="67"/>
        <v>-7.8463728214358489E-3</v>
      </c>
    </row>
    <row r="2176" spans="1:7" x14ac:dyDescent="0.3">
      <c r="A2176" s="33">
        <v>45573</v>
      </c>
      <c r="B2176" s="34">
        <v>1640.6</v>
      </c>
      <c r="C2176" s="34">
        <f t="shared" si="66"/>
        <v>9.7388452329448243E-3</v>
      </c>
      <c r="E2176" s="33">
        <v>45573</v>
      </c>
      <c r="F2176" s="34">
        <v>81634.81</v>
      </c>
      <c r="G2176" s="34">
        <f t="shared" si="67"/>
        <v>7.1895159606478465E-3</v>
      </c>
    </row>
    <row r="2177" spans="1:7" x14ac:dyDescent="0.3">
      <c r="A2177" s="33">
        <v>45574</v>
      </c>
      <c r="B2177" s="34">
        <v>1681.05</v>
      </c>
      <c r="C2177" s="34">
        <f t="shared" si="66"/>
        <v>2.4356569597497119E-2</v>
      </c>
      <c r="E2177" s="33">
        <v>45574</v>
      </c>
      <c r="F2177" s="34">
        <v>81467.100000000006</v>
      </c>
      <c r="G2177" s="34">
        <f t="shared" si="67"/>
        <v>-2.0565063782127424E-3</v>
      </c>
    </row>
    <row r="2178" spans="1:7" x14ac:dyDescent="0.3">
      <c r="A2178" s="33">
        <v>45575</v>
      </c>
      <c r="B2178" s="34">
        <v>1618.55</v>
      </c>
      <c r="C2178" s="34">
        <f t="shared" si="66"/>
        <v>-3.788791147504332E-2</v>
      </c>
      <c r="E2178" s="33">
        <v>45575</v>
      </c>
      <c r="F2178" s="34">
        <v>81611.41</v>
      </c>
      <c r="G2178" s="34">
        <f t="shared" si="67"/>
        <v>1.769822862229877E-3</v>
      </c>
    </row>
    <row r="2179" spans="1:7" x14ac:dyDescent="0.3">
      <c r="A2179" s="33">
        <v>45576</v>
      </c>
      <c r="B2179" s="34">
        <v>1595.25</v>
      </c>
      <c r="C2179" s="34">
        <f t="shared" si="66"/>
        <v>-1.450022294264715E-2</v>
      </c>
      <c r="E2179" s="33">
        <v>45576</v>
      </c>
      <c r="F2179" s="34">
        <v>81381.36</v>
      </c>
      <c r="G2179" s="34">
        <f t="shared" si="67"/>
        <v>-2.822826469663415E-3</v>
      </c>
    </row>
    <row r="2180" spans="1:7" x14ac:dyDescent="0.3">
      <c r="A2180" s="33">
        <v>45579</v>
      </c>
      <c r="B2180" s="34">
        <v>1599.8</v>
      </c>
      <c r="C2180" s="34">
        <f t="shared" si="66"/>
        <v>2.8481576662652795E-3</v>
      </c>
      <c r="E2180" s="33">
        <v>45579</v>
      </c>
      <c r="F2180" s="34">
        <v>81973.05</v>
      </c>
      <c r="G2180" s="34">
        <f t="shared" si="67"/>
        <v>7.244280550927973E-3</v>
      </c>
    </row>
    <row r="2181" spans="1:7" x14ac:dyDescent="0.3">
      <c r="A2181" s="33">
        <v>45580</v>
      </c>
      <c r="B2181" s="34">
        <v>1571.45</v>
      </c>
      <c r="C2181" s="34">
        <f t="shared" si="66"/>
        <v>-1.7879861418865158E-2</v>
      </c>
      <c r="E2181" s="33">
        <v>45580</v>
      </c>
      <c r="F2181" s="34">
        <v>81820.12</v>
      </c>
      <c r="G2181" s="34">
        <f t="shared" si="67"/>
        <v>-1.8673555733627729E-3</v>
      </c>
    </row>
    <row r="2182" spans="1:7" x14ac:dyDescent="0.3">
      <c r="A2182" s="33">
        <v>45581</v>
      </c>
      <c r="B2182" s="34">
        <v>1562.65</v>
      </c>
      <c r="C2182" s="34">
        <f t="shared" si="66"/>
        <v>-5.6156619930048078E-3</v>
      </c>
      <c r="E2182" s="33">
        <v>45581</v>
      </c>
      <c r="F2182" s="34">
        <v>81501.36</v>
      </c>
      <c r="G2182" s="34">
        <f t="shared" si="67"/>
        <v>-3.9034719100986405E-3</v>
      </c>
    </row>
    <row r="2183" spans="1:7" x14ac:dyDescent="0.3">
      <c r="A2183" s="33">
        <v>45582</v>
      </c>
      <c r="B2183" s="34">
        <v>1558.35</v>
      </c>
      <c r="C2183" s="34">
        <f t="shared" ref="C2183:C2246" si="68">LN(B2183/B2182)</f>
        <v>-2.7555288182011866E-3</v>
      </c>
      <c r="E2183" s="33">
        <v>45582</v>
      </c>
      <c r="F2183" s="34">
        <v>81006.61</v>
      </c>
      <c r="G2183" s="34">
        <f t="shared" ref="G2183:G2246" si="69">LN(F2183/F2182)</f>
        <v>-6.0889509429445108E-3</v>
      </c>
    </row>
    <row r="2184" spans="1:7" x14ac:dyDescent="0.3">
      <c r="A2184" s="33">
        <v>45583</v>
      </c>
      <c r="B2184" s="34">
        <v>1551.5</v>
      </c>
      <c r="C2184" s="34">
        <f t="shared" si="68"/>
        <v>-4.4053642962154395E-3</v>
      </c>
      <c r="E2184" s="33">
        <v>45583</v>
      </c>
      <c r="F2184" s="34">
        <v>81224.75</v>
      </c>
      <c r="G2184" s="34">
        <f t="shared" si="69"/>
        <v>2.6892473991049644E-3</v>
      </c>
    </row>
    <row r="2185" spans="1:7" x14ac:dyDescent="0.3">
      <c r="A2185" s="33">
        <v>45586</v>
      </c>
      <c r="B2185" s="34">
        <v>1522.95</v>
      </c>
      <c r="C2185" s="34">
        <f t="shared" si="68"/>
        <v>-1.8572961473093456E-2</v>
      </c>
      <c r="E2185" s="33">
        <v>45586</v>
      </c>
      <c r="F2185" s="34">
        <v>81151.27</v>
      </c>
      <c r="G2185" s="34">
        <f t="shared" si="69"/>
        <v>-9.0505981136651797E-4</v>
      </c>
    </row>
    <row r="2186" spans="1:7" x14ac:dyDescent="0.3">
      <c r="A2186" s="33">
        <v>45587</v>
      </c>
      <c r="B2186" s="34">
        <v>1511.2</v>
      </c>
      <c r="C2186" s="34">
        <f t="shared" si="68"/>
        <v>-7.7452062280415554E-3</v>
      </c>
      <c r="E2186" s="33">
        <v>45587</v>
      </c>
      <c r="F2186" s="34">
        <v>80220.72</v>
      </c>
      <c r="G2186" s="34">
        <f t="shared" si="69"/>
        <v>-1.1533108249442195E-2</v>
      </c>
    </row>
    <row r="2187" spans="1:7" x14ac:dyDescent="0.3">
      <c r="A2187" s="33">
        <v>45588</v>
      </c>
      <c r="B2187" s="34">
        <v>1484.85</v>
      </c>
      <c r="C2187" s="34">
        <f t="shared" si="68"/>
        <v>-1.7590280153373827E-2</v>
      </c>
      <c r="E2187" s="33">
        <v>45588</v>
      </c>
      <c r="F2187" s="34">
        <v>80081.98</v>
      </c>
      <c r="G2187" s="34">
        <f t="shared" si="69"/>
        <v>-1.7309756434789117E-3</v>
      </c>
    </row>
    <row r="2188" spans="1:7" x14ac:dyDescent="0.3">
      <c r="A2188" s="33">
        <v>45589</v>
      </c>
      <c r="B2188" s="34">
        <v>1491.85</v>
      </c>
      <c r="C2188" s="34">
        <f t="shared" si="68"/>
        <v>4.703203482648792E-3</v>
      </c>
      <c r="E2188" s="33">
        <v>45589</v>
      </c>
      <c r="F2188" s="34">
        <v>80065.16</v>
      </c>
      <c r="G2188" s="34">
        <f t="shared" si="69"/>
        <v>-2.1005682726320319E-4</v>
      </c>
    </row>
    <row r="2189" spans="1:7" x14ac:dyDescent="0.3">
      <c r="A2189" s="33">
        <v>45590</v>
      </c>
      <c r="B2189" s="34">
        <v>1488.8</v>
      </c>
      <c r="C2189" s="34">
        <f t="shared" si="68"/>
        <v>-2.0465341885337954E-3</v>
      </c>
      <c r="E2189" s="33">
        <v>45590</v>
      </c>
      <c r="F2189" s="34">
        <v>79402.289999999994</v>
      </c>
      <c r="G2189" s="34">
        <f t="shared" si="69"/>
        <v>-8.3135940017515595E-3</v>
      </c>
    </row>
    <row r="2190" spans="1:7" x14ac:dyDescent="0.3">
      <c r="A2190" s="33">
        <v>45593</v>
      </c>
      <c r="B2190" s="34">
        <v>1503.5</v>
      </c>
      <c r="C2190" s="34">
        <f t="shared" si="68"/>
        <v>9.8252971005427341E-3</v>
      </c>
      <c r="E2190" s="33">
        <v>45593</v>
      </c>
      <c r="F2190" s="34">
        <v>80005.039999999994</v>
      </c>
      <c r="G2190" s="34">
        <f t="shared" si="69"/>
        <v>7.5624235424538253E-3</v>
      </c>
    </row>
    <row r="2191" spans="1:7" x14ac:dyDescent="0.3">
      <c r="A2191" s="33">
        <v>45594</v>
      </c>
      <c r="B2191" s="34">
        <v>1478.1</v>
      </c>
      <c r="C2191" s="34">
        <f t="shared" si="68"/>
        <v>-1.7038244210556722E-2</v>
      </c>
      <c r="E2191" s="33">
        <v>45594</v>
      </c>
      <c r="F2191" s="34">
        <v>80369.03</v>
      </c>
      <c r="G2191" s="34">
        <f t="shared" si="69"/>
        <v>4.5392702822866782E-3</v>
      </c>
    </row>
    <row r="2192" spans="1:7" x14ac:dyDescent="0.3">
      <c r="A2192" s="33">
        <v>45595</v>
      </c>
      <c r="B2192" s="34">
        <v>1417.45</v>
      </c>
      <c r="C2192" s="34">
        <f t="shared" si="68"/>
        <v>-4.189799660684651E-2</v>
      </c>
      <c r="E2192" s="33">
        <v>45595</v>
      </c>
      <c r="F2192" s="34">
        <v>79942.179999999993</v>
      </c>
      <c r="G2192" s="34">
        <f t="shared" si="69"/>
        <v>-5.3252796075666546E-3</v>
      </c>
    </row>
    <row r="2193" spans="1:7" x14ac:dyDescent="0.3">
      <c r="A2193" s="33">
        <v>45596</v>
      </c>
      <c r="B2193" s="34">
        <v>1553.2</v>
      </c>
      <c r="C2193" s="34">
        <f t="shared" si="68"/>
        <v>9.1457836246331747E-2</v>
      </c>
      <c r="E2193" s="33">
        <v>45596</v>
      </c>
      <c r="F2193" s="34">
        <v>79389.06</v>
      </c>
      <c r="G2193" s="34">
        <f t="shared" si="69"/>
        <v>-6.9430479794111181E-3</v>
      </c>
    </row>
    <row r="2194" spans="1:7" x14ac:dyDescent="0.3">
      <c r="A2194" s="33">
        <v>45597</v>
      </c>
      <c r="B2194" s="34">
        <v>1559.2</v>
      </c>
      <c r="C2194" s="34">
        <f t="shared" si="68"/>
        <v>3.8555503358389072E-3</v>
      </c>
      <c r="E2194" s="33">
        <v>45597</v>
      </c>
      <c r="F2194" s="34">
        <v>79724.12</v>
      </c>
      <c r="G2194" s="34">
        <f t="shared" si="69"/>
        <v>4.2115995075000367E-3</v>
      </c>
    </row>
    <row r="2195" spans="1:7" x14ac:dyDescent="0.3">
      <c r="A2195" s="33">
        <v>45600</v>
      </c>
      <c r="B2195" s="34">
        <v>1584.55</v>
      </c>
      <c r="C2195" s="34">
        <f t="shared" si="68"/>
        <v>1.6127586135556881E-2</v>
      </c>
      <c r="E2195" s="33">
        <v>45600</v>
      </c>
      <c r="F2195" s="34">
        <v>78782.240000000005</v>
      </c>
      <c r="G2195" s="34">
        <f t="shared" si="69"/>
        <v>-1.1884584141149467E-2</v>
      </c>
    </row>
    <row r="2196" spans="1:7" x14ac:dyDescent="0.3">
      <c r="A2196" s="33">
        <v>45601</v>
      </c>
      <c r="B2196" s="34">
        <v>1601.25</v>
      </c>
      <c r="C2196" s="34">
        <f t="shared" si="68"/>
        <v>1.0484118882036007E-2</v>
      </c>
      <c r="E2196" s="33">
        <v>45601</v>
      </c>
      <c r="F2196" s="34">
        <v>79476.63</v>
      </c>
      <c r="G2196" s="34">
        <f t="shared" si="69"/>
        <v>8.7754254296353151E-3</v>
      </c>
    </row>
    <row r="2197" spans="1:7" x14ac:dyDescent="0.3">
      <c r="A2197" s="33">
        <v>45602</v>
      </c>
      <c r="B2197" s="34">
        <v>1594.3</v>
      </c>
      <c r="C2197" s="34">
        <f t="shared" si="68"/>
        <v>-4.3498057976244292E-3</v>
      </c>
      <c r="E2197" s="33">
        <v>45602</v>
      </c>
      <c r="F2197" s="34">
        <v>80378.13</v>
      </c>
      <c r="G2197" s="34">
        <f t="shared" si="69"/>
        <v>1.1279108076017728E-2</v>
      </c>
    </row>
    <row r="2198" spans="1:7" x14ac:dyDescent="0.3">
      <c r="A2198" s="33">
        <v>45603</v>
      </c>
      <c r="B2198" s="34">
        <v>1573.35</v>
      </c>
      <c r="C2198" s="34">
        <f t="shared" si="68"/>
        <v>-1.3227664337597018E-2</v>
      </c>
      <c r="E2198" s="33">
        <v>45603</v>
      </c>
      <c r="F2198" s="34">
        <v>79541.789999999994</v>
      </c>
      <c r="G2198" s="34">
        <f t="shared" si="69"/>
        <v>-1.0459580330151394E-2</v>
      </c>
    </row>
    <row r="2199" spans="1:7" x14ac:dyDescent="0.3">
      <c r="A2199" s="33">
        <v>45604</v>
      </c>
      <c r="B2199" s="34">
        <v>1591.75</v>
      </c>
      <c r="C2199" s="34">
        <f t="shared" si="68"/>
        <v>1.1626935821412143E-2</v>
      </c>
      <c r="E2199" s="33">
        <v>45604</v>
      </c>
      <c r="F2199" s="34">
        <v>79486.320000000007</v>
      </c>
      <c r="G2199" s="34">
        <f t="shared" si="69"/>
        <v>-6.976125447204272E-4</v>
      </c>
    </row>
    <row r="2200" spans="1:7" x14ac:dyDescent="0.3">
      <c r="A2200" s="33">
        <v>45607</v>
      </c>
      <c r="B2200" s="34">
        <v>1553.75</v>
      </c>
      <c r="C2200" s="34">
        <f t="shared" si="68"/>
        <v>-2.4162676072213805E-2</v>
      </c>
      <c r="E2200" s="33">
        <v>45607</v>
      </c>
      <c r="F2200" s="34">
        <v>79496.149999999994</v>
      </c>
      <c r="G2200" s="34">
        <f t="shared" si="69"/>
        <v>1.2366143276690113E-4</v>
      </c>
    </row>
    <row r="2201" spans="1:7" x14ac:dyDescent="0.3">
      <c r="A2201" s="33">
        <v>45608</v>
      </c>
      <c r="B2201" s="34">
        <v>1524.75</v>
      </c>
      <c r="C2201" s="34">
        <f t="shared" si="68"/>
        <v>-1.8840901648355148E-2</v>
      </c>
      <c r="E2201" s="33">
        <v>45608</v>
      </c>
      <c r="F2201" s="34">
        <v>78675.179999999993</v>
      </c>
      <c r="G2201" s="34">
        <f t="shared" si="69"/>
        <v>-1.0380861973587606E-2</v>
      </c>
    </row>
    <row r="2202" spans="1:7" x14ac:dyDescent="0.3">
      <c r="A2202" s="33">
        <v>45609</v>
      </c>
      <c r="B2202" s="34">
        <v>1505.25</v>
      </c>
      <c r="C2202" s="34">
        <f t="shared" si="68"/>
        <v>-1.2871464832008446E-2</v>
      </c>
      <c r="E2202" s="33">
        <v>45609</v>
      </c>
      <c r="F2202" s="34">
        <v>77690.95</v>
      </c>
      <c r="G2202" s="34">
        <f t="shared" si="69"/>
        <v>-1.2588953867535163E-2</v>
      </c>
    </row>
    <row r="2203" spans="1:7" x14ac:dyDescent="0.3">
      <c r="A2203" s="33">
        <v>45610</v>
      </c>
      <c r="B2203" s="34">
        <v>1500.15</v>
      </c>
      <c r="C2203" s="34">
        <f t="shared" si="68"/>
        <v>-3.3938942539223603E-3</v>
      </c>
      <c r="E2203" s="33">
        <v>45610</v>
      </c>
      <c r="F2203" s="34">
        <v>77580.31</v>
      </c>
      <c r="G2203" s="34">
        <f t="shared" si="69"/>
        <v>-1.4251190944865276E-3</v>
      </c>
    </row>
    <row r="2204" spans="1:7" x14ac:dyDescent="0.3">
      <c r="A2204" s="33">
        <v>45614</v>
      </c>
      <c r="B2204" s="34">
        <v>1465.1</v>
      </c>
      <c r="C2204" s="34">
        <f t="shared" si="68"/>
        <v>-2.3641603583367459E-2</v>
      </c>
      <c r="E2204" s="33">
        <v>45614</v>
      </c>
      <c r="F2204" s="34">
        <v>77339.009999999995</v>
      </c>
      <c r="G2204" s="34">
        <f t="shared" si="69"/>
        <v>-3.115172402477061E-3</v>
      </c>
    </row>
    <row r="2205" spans="1:7" x14ac:dyDescent="0.3">
      <c r="A2205" s="33">
        <v>45615</v>
      </c>
      <c r="B2205" s="34">
        <v>1471.35</v>
      </c>
      <c r="C2205" s="34">
        <f t="shared" si="68"/>
        <v>4.2568471711668821E-3</v>
      </c>
      <c r="E2205" s="33">
        <v>45615</v>
      </c>
      <c r="F2205" s="34">
        <v>77578.38</v>
      </c>
      <c r="G2205" s="34">
        <f t="shared" si="69"/>
        <v>3.0902946466761939E-3</v>
      </c>
    </row>
    <row r="2206" spans="1:7" x14ac:dyDescent="0.3">
      <c r="A2206" s="33">
        <v>45617</v>
      </c>
      <c r="B2206" s="34">
        <v>1465.65</v>
      </c>
      <c r="C2206" s="34">
        <f t="shared" si="68"/>
        <v>-3.8815166199723874E-3</v>
      </c>
      <c r="E2206" s="33">
        <v>45617</v>
      </c>
      <c r="F2206" s="34">
        <v>77155.789999999994</v>
      </c>
      <c r="G2206" s="34">
        <f t="shared" si="69"/>
        <v>-5.4621555234879221E-3</v>
      </c>
    </row>
    <row r="2207" spans="1:7" x14ac:dyDescent="0.3">
      <c r="A2207" s="33">
        <v>45618</v>
      </c>
      <c r="B2207" s="34">
        <v>1486.3</v>
      </c>
      <c r="C2207" s="34">
        <f t="shared" si="68"/>
        <v>1.3990980096387311E-2</v>
      </c>
      <c r="E2207" s="33">
        <v>45618</v>
      </c>
      <c r="F2207" s="34">
        <v>79117.11</v>
      </c>
      <c r="G2207" s="34">
        <f t="shared" si="69"/>
        <v>2.510253525282052E-2</v>
      </c>
    </row>
    <row r="2208" spans="1:7" x14ac:dyDescent="0.3">
      <c r="A2208" s="33">
        <v>45621</v>
      </c>
      <c r="B2208" s="34">
        <v>1503.4</v>
      </c>
      <c r="C2208" s="34">
        <f t="shared" si="68"/>
        <v>1.1439399588519318E-2</v>
      </c>
      <c r="E2208" s="33">
        <v>45621</v>
      </c>
      <c r="F2208" s="34">
        <v>80109.850000000006</v>
      </c>
      <c r="G2208" s="34">
        <f t="shared" si="69"/>
        <v>1.2469657947262611E-2</v>
      </c>
    </row>
    <row r="2209" spans="1:7" x14ac:dyDescent="0.3">
      <c r="A2209" s="33">
        <v>45622</v>
      </c>
      <c r="B2209" s="34">
        <v>1493.35</v>
      </c>
      <c r="C2209" s="34">
        <f t="shared" si="68"/>
        <v>-6.7072913504421057E-3</v>
      </c>
      <c r="E2209" s="33">
        <v>45622</v>
      </c>
      <c r="F2209" s="34">
        <v>80004.06</v>
      </c>
      <c r="G2209" s="34">
        <f t="shared" si="69"/>
        <v>-1.321434413713512E-3</v>
      </c>
    </row>
    <row r="2210" spans="1:7" x14ac:dyDescent="0.3">
      <c r="A2210" s="33">
        <v>45623</v>
      </c>
      <c r="B2210" s="34">
        <v>1491.55</v>
      </c>
      <c r="C2210" s="34">
        <f t="shared" si="68"/>
        <v>-1.2060707013238985E-3</v>
      </c>
      <c r="E2210" s="33">
        <v>45623</v>
      </c>
      <c r="F2210" s="34">
        <v>80234.080000000002</v>
      </c>
      <c r="G2210" s="34">
        <f t="shared" si="69"/>
        <v>2.8709788817487527E-3</v>
      </c>
    </row>
    <row r="2211" spans="1:7" x14ac:dyDescent="0.3">
      <c r="A2211" s="33">
        <v>45624</v>
      </c>
      <c r="B2211" s="34">
        <v>1492.85</v>
      </c>
      <c r="C2211" s="34">
        <f t="shared" si="68"/>
        <v>8.7119694559926303E-4</v>
      </c>
      <c r="E2211" s="33">
        <v>45624</v>
      </c>
      <c r="F2211" s="34">
        <v>79043.740000000005</v>
      </c>
      <c r="G2211" s="34">
        <f t="shared" si="69"/>
        <v>-1.4946992133967451E-2</v>
      </c>
    </row>
    <row r="2212" spans="1:7" x14ac:dyDescent="0.3">
      <c r="A2212" s="33">
        <v>45625</v>
      </c>
      <c r="B2212" s="34">
        <v>1534.4</v>
      </c>
      <c r="C2212" s="34">
        <f t="shared" si="68"/>
        <v>2.7452380491972121E-2</v>
      </c>
      <c r="E2212" s="33">
        <v>45625</v>
      </c>
      <c r="F2212" s="34">
        <v>79802.789999999994</v>
      </c>
      <c r="G2212" s="34">
        <f t="shared" si="69"/>
        <v>9.5570961166821303E-3</v>
      </c>
    </row>
    <row r="2213" spans="1:7" x14ac:dyDescent="0.3">
      <c r="A2213" s="33">
        <v>45628</v>
      </c>
      <c r="B2213" s="34">
        <v>1508.1</v>
      </c>
      <c r="C2213" s="34">
        <f t="shared" si="68"/>
        <v>-1.7288844762534637E-2</v>
      </c>
      <c r="E2213" s="33">
        <v>45628</v>
      </c>
      <c r="F2213" s="34">
        <v>80248.08</v>
      </c>
      <c r="G2213" s="34">
        <f t="shared" si="69"/>
        <v>5.564370239660125E-3</v>
      </c>
    </row>
    <row r="2214" spans="1:7" x14ac:dyDescent="0.3">
      <c r="A2214" s="33">
        <v>45629</v>
      </c>
      <c r="B2214" s="34">
        <v>1534.4</v>
      </c>
      <c r="C2214" s="34">
        <f t="shared" si="68"/>
        <v>1.7288844762534655E-2</v>
      </c>
      <c r="E2214" s="33">
        <v>45629</v>
      </c>
      <c r="F2214" s="34">
        <v>80845.75</v>
      </c>
      <c r="G2214" s="34">
        <f t="shared" si="69"/>
        <v>7.4201816700446566E-3</v>
      </c>
    </row>
    <row r="2215" spans="1:7" x14ac:dyDescent="0.3">
      <c r="A2215" s="33">
        <v>45630</v>
      </c>
      <c r="B2215" s="34">
        <v>1501.1</v>
      </c>
      <c r="C2215" s="34">
        <f t="shared" si="68"/>
        <v>-2.1941252463043459E-2</v>
      </c>
      <c r="E2215" s="33">
        <v>45630</v>
      </c>
      <c r="F2215" s="34">
        <v>80956.33</v>
      </c>
      <c r="G2215" s="34">
        <f t="shared" si="69"/>
        <v>1.3668553236933273E-3</v>
      </c>
    </row>
    <row r="2216" spans="1:7" x14ac:dyDescent="0.3">
      <c r="A2216" s="33">
        <v>45631</v>
      </c>
      <c r="B2216" s="34">
        <v>1498.9</v>
      </c>
      <c r="C2216" s="34">
        <f t="shared" si="68"/>
        <v>-1.4666669295802207E-3</v>
      </c>
      <c r="E2216" s="33">
        <v>45631</v>
      </c>
      <c r="F2216" s="34">
        <v>81765.86</v>
      </c>
      <c r="G2216" s="34">
        <f t="shared" si="69"/>
        <v>9.949923592812571E-3</v>
      </c>
    </row>
    <row r="2217" spans="1:7" x14ac:dyDescent="0.3">
      <c r="A2217" s="33">
        <v>45632</v>
      </c>
      <c r="B2217" s="34">
        <v>1477.6</v>
      </c>
      <c r="C2217" s="34">
        <f t="shared" si="68"/>
        <v>-1.4312355851519982E-2</v>
      </c>
      <c r="E2217" s="33">
        <v>45632</v>
      </c>
      <c r="F2217" s="34">
        <v>81709.119999999995</v>
      </c>
      <c r="G2217" s="34">
        <f t="shared" si="69"/>
        <v>-6.9417353381512011E-4</v>
      </c>
    </row>
    <row r="2218" spans="1:7" x14ac:dyDescent="0.3">
      <c r="A2218" s="33">
        <v>45635</v>
      </c>
      <c r="B2218" s="34">
        <v>1469.3</v>
      </c>
      <c r="C2218" s="34">
        <f t="shared" si="68"/>
        <v>-5.633053003129598E-3</v>
      </c>
      <c r="E2218" s="33">
        <v>45635</v>
      </c>
      <c r="F2218" s="34">
        <v>81508.460000000006</v>
      </c>
      <c r="G2218" s="34">
        <f t="shared" si="69"/>
        <v>-2.4588050024332724E-3</v>
      </c>
    </row>
    <row r="2219" spans="1:7" x14ac:dyDescent="0.3">
      <c r="A2219" s="33">
        <v>45636</v>
      </c>
      <c r="B2219" s="34">
        <v>1455.65</v>
      </c>
      <c r="C2219" s="34">
        <f t="shared" si="68"/>
        <v>-9.3335606376665353E-3</v>
      </c>
      <c r="E2219" s="33">
        <v>45636</v>
      </c>
      <c r="F2219" s="34">
        <v>81510.05</v>
      </c>
      <c r="G2219" s="34">
        <f t="shared" si="69"/>
        <v>1.9506987274556906E-5</v>
      </c>
    </row>
    <row r="2220" spans="1:7" x14ac:dyDescent="0.3">
      <c r="A2220" s="33">
        <v>45637</v>
      </c>
      <c r="B2220" s="34">
        <v>1454.2</v>
      </c>
      <c r="C2220" s="34">
        <f t="shared" si="68"/>
        <v>-9.9661502827755864E-4</v>
      </c>
      <c r="E2220" s="33">
        <v>45637</v>
      </c>
      <c r="F2220" s="34">
        <v>81526.14</v>
      </c>
      <c r="G2220" s="34">
        <f t="shared" si="69"/>
        <v>1.9737949043379931E-4</v>
      </c>
    </row>
    <row r="2221" spans="1:7" x14ac:dyDescent="0.3">
      <c r="A2221" s="33">
        <v>45638</v>
      </c>
      <c r="B2221" s="34">
        <v>1446.35</v>
      </c>
      <c r="C2221" s="34">
        <f t="shared" si="68"/>
        <v>-5.412779759622577E-3</v>
      </c>
      <c r="E2221" s="33">
        <v>45638</v>
      </c>
      <c r="F2221" s="34">
        <v>81289.960000000006</v>
      </c>
      <c r="G2221" s="34">
        <f t="shared" si="69"/>
        <v>-2.901189325362557E-3</v>
      </c>
    </row>
    <row r="2222" spans="1:7" x14ac:dyDescent="0.3">
      <c r="A2222" s="33">
        <v>45639</v>
      </c>
      <c r="B2222" s="34">
        <v>1447.35</v>
      </c>
      <c r="C2222" s="34">
        <f t="shared" si="68"/>
        <v>6.9115667816857225E-4</v>
      </c>
      <c r="E2222" s="33">
        <v>45639</v>
      </c>
      <c r="F2222" s="34">
        <v>82133.119999999995</v>
      </c>
      <c r="G2222" s="34">
        <f t="shared" si="69"/>
        <v>1.0318829892369059E-2</v>
      </c>
    </row>
    <row r="2223" spans="1:7" x14ac:dyDescent="0.3">
      <c r="A2223" s="33">
        <v>45642</v>
      </c>
      <c r="B2223" s="34">
        <v>1448.25</v>
      </c>
      <c r="C2223" s="34">
        <f t="shared" si="68"/>
        <v>6.2163284223101724E-4</v>
      </c>
      <c r="E2223" s="33">
        <v>45642</v>
      </c>
      <c r="F2223" s="34">
        <v>81748.570000000007</v>
      </c>
      <c r="G2223" s="34">
        <f t="shared" si="69"/>
        <v>-4.6930283156545721E-3</v>
      </c>
    </row>
    <row r="2224" spans="1:7" x14ac:dyDescent="0.3">
      <c r="A2224" s="33">
        <v>45643</v>
      </c>
      <c r="B2224" s="34">
        <v>1450.5</v>
      </c>
      <c r="C2224" s="34">
        <f t="shared" si="68"/>
        <v>1.5523935847251513E-3</v>
      </c>
      <c r="E2224" s="33">
        <v>45643</v>
      </c>
      <c r="F2224" s="34">
        <v>80684.45</v>
      </c>
      <c r="G2224" s="34">
        <f t="shared" si="69"/>
        <v>-1.310244953213105E-2</v>
      </c>
    </row>
    <row r="2225" spans="1:7" x14ac:dyDescent="0.3">
      <c r="A2225" s="33">
        <v>45644</v>
      </c>
      <c r="B2225" s="34">
        <v>1472.05</v>
      </c>
      <c r="C2225" s="34">
        <f t="shared" si="68"/>
        <v>1.4747662541788463E-2</v>
      </c>
      <c r="E2225" s="33">
        <v>45644</v>
      </c>
      <c r="F2225" s="34">
        <v>80182.2</v>
      </c>
      <c r="G2225" s="34">
        <f t="shared" si="69"/>
        <v>-6.2443226356538838E-3</v>
      </c>
    </row>
    <row r="2226" spans="1:7" x14ac:dyDescent="0.3">
      <c r="A2226" s="33">
        <v>45645</v>
      </c>
      <c r="B2226" s="34">
        <v>1505.85</v>
      </c>
      <c r="C2226" s="34">
        <f t="shared" si="68"/>
        <v>2.2701535702398221E-2</v>
      </c>
      <c r="E2226" s="33">
        <v>45645</v>
      </c>
      <c r="F2226" s="34">
        <v>79218.05</v>
      </c>
      <c r="G2226" s="34">
        <f t="shared" si="69"/>
        <v>-1.2097368207241293E-2</v>
      </c>
    </row>
    <row r="2227" spans="1:7" x14ac:dyDescent="0.3">
      <c r="A2227" s="33">
        <v>45646</v>
      </c>
      <c r="B2227" s="34">
        <v>1472.45</v>
      </c>
      <c r="C2227" s="34">
        <f t="shared" si="68"/>
        <v>-2.2429842713801995E-2</v>
      </c>
      <c r="E2227" s="33">
        <v>45646</v>
      </c>
      <c r="F2227" s="34">
        <v>78041.59</v>
      </c>
      <c r="G2227" s="34">
        <f t="shared" si="69"/>
        <v>-1.4962287180149849E-2</v>
      </c>
    </row>
    <row r="2228" spans="1:7" x14ac:dyDescent="0.3">
      <c r="A2228" s="33">
        <v>45649</v>
      </c>
      <c r="B2228" s="34">
        <v>1476.45</v>
      </c>
      <c r="C2228" s="34">
        <f t="shared" si="68"/>
        <v>2.7128776514867324E-3</v>
      </c>
      <c r="E2228" s="33">
        <v>45649</v>
      </c>
      <c r="F2228" s="34">
        <v>78540.17</v>
      </c>
      <c r="G2228" s="34">
        <f t="shared" si="69"/>
        <v>6.3683239352319088E-3</v>
      </c>
    </row>
    <row r="2229" spans="1:7" x14ac:dyDescent="0.3">
      <c r="A2229" s="33">
        <v>45650</v>
      </c>
      <c r="B2229" s="34">
        <v>1475.9</v>
      </c>
      <c r="C2229" s="34">
        <f t="shared" si="68"/>
        <v>-3.7258455559982041E-4</v>
      </c>
      <c r="E2229" s="33">
        <v>45650</v>
      </c>
      <c r="F2229" s="34">
        <v>78472.87</v>
      </c>
      <c r="G2229" s="34">
        <f t="shared" si="69"/>
        <v>-8.5725369206885685E-4</v>
      </c>
    </row>
    <row r="2230" spans="1:7" x14ac:dyDescent="0.3">
      <c r="A2230" s="33">
        <v>45652</v>
      </c>
      <c r="B2230" s="34">
        <v>1489.2</v>
      </c>
      <c r="C2230" s="34">
        <f t="shared" si="68"/>
        <v>8.9710898108315302E-3</v>
      </c>
      <c r="E2230" s="33">
        <v>45652</v>
      </c>
      <c r="F2230" s="34">
        <v>78472.479999999996</v>
      </c>
      <c r="G2230" s="34">
        <f t="shared" si="69"/>
        <v>-4.9698828286686762E-6</v>
      </c>
    </row>
    <row r="2231" spans="1:7" x14ac:dyDescent="0.3">
      <c r="A2231" s="33">
        <v>45653</v>
      </c>
      <c r="B2231" s="34">
        <v>1506.15</v>
      </c>
      <c r="C2231" s="34">
        <f t="shared" si="68"/>
        <v>1.1317662994993153E-2</v>
      </c>
      <c r="E2231" s="33">
        <v>45653</v>
      </c>
      <c r="F2231" s="34">
        <v>78699.070000000007</v>
      </c>
      <c r="G2231" s="34">
        <f t="shared" si="69"/>
        <v>2.8833482520643338E-3</v>
      </c>
    </row>
    <row r="2232" spans="1:7" x14ac:dyDescent="0.3">
      <c r="A2232" s="33">
        <v>45656</v>
      </c>
      <c r="B2232" s="34">
        <v>1520.65</v>
      </c>
      <c r="C2232" s="34">
        <f t="shared" si="68"/>
        <v>9.5811490173893024E-3</v>
      </c>
      <c r="E2232" s="33">
        <v>45656</v>
      </c>
      <c r="F2232" s="34">
        <v>78248.13</v>
      </c>
      <c r="G2232" s="34">
        <f t="shared" si="69"/>
        <v>-5.7464069557241612E-3</v>
      </c>
    </row>
    <row r="2233" spans="1:7" x14ac:dyDescent="0.3">
      <c r="A2233" s="33">
        <v>45657</v>
      </c>
      <c r="B2233" s="34">
        <v>1529.5</v>
      </c>
      <c r="C2233" s="34">
        <f t="shared" si="68"/>
        <v>5.8030095800138595E-3</v>
      </c>
      <c r="E2233" s="33">
        <v>45657</v>
      </c>
      <c r="F2233" s="34">
        <v>78139.009999999995</v>
      </c>
      <c r="G2233" s="34">
        <f t="shared" si="69"/>
        <v>-1.3955113919064909E-3</v>
      </c>
    </row>
    <row r="2234" spans="1:7" x14ac:dyDescent="0.3">
      <c r="A2234" s="33">
        <v>45658</v>
      </c>
      <c r="B2234" s="34">
        <v>1530.85</v>
      </c>
      <c r="C2234" s="34">
        <f t="shared" si="68"/>
        <v>8.8225208722299536E-4</v>
      </c>
      <c r="E2234" s="33">
        <v>45658</v>
      </c>
      <c r="F2234" s="34">
        <v>78507.41</v>
      </c>
      <c r="G2234" s="34">
        <f t="shared" si="69"/>
        <v>4.7035952586809053E-3</v>
      </c>
    </row>
    <row r="2235" spans="1:7" x14ac:dyDescent="0.3">
      <c r="A2235" s="33">
        <v>45659</v>
      </c>
      <c r="B2235" s="34">
        <v>1537.55</v>
      </c>
      <c r="C2235" s="34">
        <f t="shared" si="68"/>
        <v>4.3671037989208364E-3</v>
      </c>
      <c r="E2235" s="33">
        <v>45659</v>
      </c>
      <c r="F2235" s="34">
        <v>79943.710000000006</v>
      </c>
      <c r="G2235" s="34">
        <f t="shared" si="69"/>
        <v>1.8129746775728438E-2</v>
      </c>
    </row>
    <row r="2236" spans="1:7" x14ac:dyDescent="0.3">
      <c r="A2236" s="33">
        <v>45660</v>
      </c>
      <c r="B2236" s="34">
        <v>1510.25</v>
      </c>
      <c r="C2236" s="34">
        <f t="shared" si="68"/>
        <v>-1.7915040458251191E-2</v>
      </c>
      <c r="E2236" s="33">
        <v>45660</v>
      </c>
      <c r="F2236" s="34">
        <v>79223.11</v>
      </c>
      <c r="G2236" s="34">
        <f t="shared" si="69"/>
        <v>-9.0547128272353977E-3</v>
      </c>
    </row>
    <row r="2237" spans="1:7" x14ac:dyDescent="0.3">
      <c r="A2237" s="33">
        <v>45663</v>
      </c>
      <c r="B2237" s="34">
        <v>1490.55</v>
      </c>
      <c r="C2237" s="34">
        <f t="shared" si="68"/>
        <v>-1.3130020673368617E-2</v>
      </c>
      <c r="E2237" s="33">
        <v>45663</v>
      </c>
      <c r="F2237" s="34">
        <v>77964.990000000005</v>
      </c>
      <c r="G2237" s="34">
        <f t="shared" si="69"/>
        <v>-1.6008169412237244E-2</v>
      </c>
    </row>
    <row r="2238" spans="1:7" x14ac:dyDescent="0.3">
      <c r="A2238" s="33">
        <v>45664</v>
      </c>
      <c r="B2238" s="34">
        <v>1497.8</v>
      </c>
      <c r="C2238" s="34">
        <f t="shared" si="68"/>
        <v>4.8521854697845526E-3</v>
      </c>
      <c r="E2238" s="33">
        <v>45664</v>
      </c>
      <c r="F2238" s="34">
        <v>78199.11</v>
      </c>
      <c r="G2238" s="34">
        <f t="shared" si="69"/>
        <v>2.998386638172965E-3</v>
      </c>
    </row>
    <row r="2239" spans="1:7" x14ac:dyDescent="0.3">
      <c r="A2239" s="33">
        <v>45665</v>
      </c>
      <c r="B2239" s="34">
        <v>1495.05</v>
      </c>
      <c r="C2239" s="34">
        <f t="shared" si="68"/>
        <v>-1.837713733691788E-3</v>
      </c>
      <c r="E2239" s="33">
        <v>45665</v>
      </c>
      <c r="F2239" s="34">
        <v>78148.490000000005</v>
      </c>
      <c r="G2239" s="34">
        <f t="shared" si="69"/>
        <v>-6.475315485332463E-4</v>
      </c>
    </row>
    <row r="2240" spans="1:7" x14ac:dyDescent="0.3">
      <c r="A2240" s="33">
        <v>45666</v>
      </c>
      <c r="B2240" s="34">
        <v>1488.15</v>
      </c>
      <c r="C2240" s="34">
        <f t="shared" si="68"/>
        <v>-4.6259133175536593E-3</v>
      </c>
      <c r="E2240" s="33">
        <v>45666</v>
      </c>
      <c r="F2240" s="34">
        <v>77620.210000000006</v>
      </c>
      <c r="G2240" s="34">
        <f t="shared" si="69"/>
        <v>-6.782903438421692E-3</v>
      </c>
    </row>
    <row r="2241" spans="1:7" x14ac:dyDescent="0.3">
      <c r="A2241" s="33">
        <v>45667</v>
      </c>
      <c r="B2241" s="34">
        <v>1470.05</v>
      </c>
      <c r="C2241" s="34">
        <f t="shared" si="68"/>
        <v>-1.2237323964246694E-2</v>
      </c>
      <c r="E2241" s="33">
        <v>45667</v>
      </c>
      <c r="F2241" s="34">
        <v>77378.91</v>
      </c>
      <c r="G2241" s="34">
        <f t="shared" si="69"/>
        <v>-3.1135685794393899E-3</v>
      </c>
    </row>
    <row r="2242" spans="1:7" x14ac:dyDescent="0.3">
      <c r="A2242" s="33">
        <v>45670</v>
      </c>
      <c r="B2242" s="34">
        <v>1438.8</v>
      </c>
      <c r="C2242" s="34">
        <f t="shared" si="68"/>
        <v>-2.148698097830579E-2</v>
      </c>
      <c r="E2242" s="33">
        <v>45670</v>
      </c>
      <c r="F2242" s="34">
        <v>76330.009999999995</v>
      </c>
      <c r="G2242" s="34">
        <f t="shared" si="69"/>
        <v>-1.3648086025479258E-2</v>
      </c>
    </row>
    <row r="2243" spans="1:7" x14ac:dyDescent="0.3">
      <c r="A2243" s="33">
        <v>45671</v>
      </c>
      <c r="B2243" s="34">
        <v>1448</v>
      </c>
      <c r="C2243" s="34">
        <f t="shared" si="68"/>
        <v>6.3738611241928329E-3</v>
      </c>
      <c r="E2243" s="33">
        <v>45671</v>
      </c>
      <c r="F2243" s="34">
        <v>76499.63</v>
      </c>
      <c r="G2243" s="34">
        <f t="shared" si="69"/>
        <v>2.2197273990286056E-3</v>
      </c>
    </row>
    <row r="2244" spans="1:7" x14ac:dyDescent="0.3">
      <c r="A2244" s="33">
        <v>45672</v>
      </c>
      <c r="B2244" s="34">
        <v>1446.9</v>
      </c>
      <c r="C2244" s="34">
        <f t="shared" si="68"/>
        <v>-7.599572026257363E-4</v>
      </c>
      <c r="E2244" s="33">
        <v>45672</v>
      </c>
      <c r="F2244" s="34">
        <v>76724.08</v>
      </c>
      <c r="G2244" s="34">
        <f t="shared" si="69"/>
        <v>2.9297053379151758E-3</v>
      </c>
    </row>
    <row r="2245" spans="1:7" x14ac:dyDescent="0.3">
      <c r="A2245" s="33">
        <v>45673</v>
      </c>
      <c r="B2245" s="34">
        <v>1443.5</v>
      </c>
      <c r="C2245" s="34">
        <f t="shared" si="68"/>
        <v>-2.3526166400461906E-3</v>
      </c>
      <c r="E2245" s="33">
        <v>45673</v>
      </c>
      <c r="F2245" s="34">
        <v>77042.820000000007</v>
      </c>
      <c r="G2245" s="34">
        <f t="shared" si="69"/>
        <v>4.1457616239159532E-3</v>
      </c>
    </row>
    <row r="2246" spans="1:7" x14ac:dyDescent="0.3">
      <c r="A2246" s="33">
        <v>45674</v>
      </c>
      <c r="B2246" s="34">
        <v>1442.45</v>
      </c>
      <c r="C2246" s="34">
        <f t="shared" si="68"/>
        <v>-7.2766336653832945E-4</v>
      </c>
      <c r="E2246" s="33">
        <v>45674</v>
      </c>
      <c r="F2246" s="34">
        <v>76619.33</v>
      </c>
      <c r="G2246" s="34">
        <f t="shared" si="69"/>
        <v>-5.5119764001930758E-3</v>
      </c>
    </row>
    <row r="2247" spans="1:7" x14ac:dyDescent="0.3">
      <c r="A2247" s="33">
        <v>45677</v>
      </c>
      <c r="B2247" s="34">
        <v>1445.9</v>
      </c>
      <c r="C2247" s="34">
        <f t="shared" ref="C2247:C2310" si="70">LN(B2247/B2246)</f>
        <v>2.3889082976292142E-3</v>
      </c>
      <c r="E2247" s="33">
        <v>45677</v>
      </c>
      <c r="F2247" s="34">
        <v>77073.440000000002</v>
      </c>
      <c r="G2247" s="34">
        <f t="shared" ref="G2247:G2310" si="71">LN(F2247/F2246)</f>
        <v>5.9093387603085515E-3</v>
      </c>
    </row>
    <row r="2248" spans="1:7" x14ac:dyDescent="0.3">
      <c r="A2248" s="33">
        <v>45678</v>
      </c>
      <c r="B2248" s="34">
        <v>1427.3</v>
      </c>
      <c r="C2248" s="34">
        <f t="shared" si="70"/>
        <v>-1.29474173983579E-2</v>
      </c>
      <c r="E2248" s="33">
        <v>45678</v>
      </c>
      <c r="F2248" s="34">
        <v>75838.36</v>
      </c>
      <c r="G2248" s="34">
        <f t="shared" si="71"/>
        <v>-1.6154500301053011E-2</v>
      </c>
    </row>
    <row r="2249" spans="1:7" x14ac:dyDescent="0.3">
      <c r="A2249" s="33">
        <v>45679</v>
      </c>
      <c r="B2249" s="34">
        <v>1439.3</v>
      </c>
      <c r="C2249" s="34">
        <f t="shared" si="70"/>
        <v>8.372336632902275E-3</v>
      </c>
      <c r="E2249" s="33">
        <v>45679</v>
      </c>
      <c r="F2249" s="34">
        <v>76404.990000000005</v>
      </c>
      <c r="G2249" s="34">
        <f t="shared" si="71"/>
        <v>7.4437749353449961E-3</v>
      </c>
    </row>
    <row r="2250" spans="1:7" x14ac:dyDescent="0.3">
      <c r="A2250" s="33">
        <v>45680</v>
      </c>
      <c r="B2250" s="34">
        <v>1451.15</v>
      </c>
      <c r="C2250" s="34">
        <f t="shared" si="70"/>
        <v>8.1994612539232278E-3</v>
      </c>
      <c r="E2250" s="33">
        <v>45680</v>
      </c>
      <c r="F2250" s="34">
        <v>76520.38</v>
      </c>
      <c r="G2250" s="34">
        <f t="shared" si="71"/>
        <v>1.5091024059513524E-3</v>
      </c>
    </row>
    <row r="2251" spans="1:7" x14ac:dyDescent="0.3">
      <c r="A2251" s="33">
        <v>45681</v>
      </c>
      <c r="B2251" s="34">
        <v>1411.8</v>
      </c>
      <c r="C2251" s="34">
        <f t="shared" si="70"/>
        <v>-2.7490859561176362E-2</v>
      </c>
      <c r="E2251" s="33">
        <v>45681</v>
      </c>
      <c r="F2251" s="34">
        <v>76190.460000000006</v>
      </c>
      <c r="G2251" s="34">
        <f t="shared" si="71"/>
        <v>-4.3208525772494557E-3</v>
      </c>
    </row>
    <row r="2252" spans="1:7" x14ac:dyDescent="0.3">
      <c r="A2252" s="33">
        <v>45684</v>
      </c>
      <c r="B2252" s="34">
        <v>1395.9</v>
      </c>
      <c r="C2252" s="34">
        <f t="shared" si="70"/>
        <v>-1.1326117442659177E-2</v>
      </c>
      <c r="E2252" s="33">
        <v>45684</v>
      </c>
      <c r="F2252" s="34">
        <v>75366.17</v>
      </c>
      <c r="G2252" s="34">
        <f t="shared" si="71"/>
        <v>-1.0877757414749714E-2</v>
      </c>
    </row>
    <row r="2253" spans="1:7" x14ac:dyDescent="0.3">
      <c r="A2253" s="33">
        <v>45685</v>
      </c>
      <c r="B2253" s="34">
        <v>1419.55</v>
      </c>
      <c r="C2253" s="34">
        <f t="shared" si="70"/>
        <v>1.6800551444280755E-2</v>
      </c>
      <c r="E2253" s="33">
        <v>45685</v>
      </c>
      <c r="F2253" s="34">
        <v>75901.41</v>
      </c>
      <c r="G2253" s="34">
        <f t="shared" si="71"/>
        <v>7.076760714453862E-3</v>
      </c>
    </row>
    <row r="2254" spans="1:7" x14ac:dyDescent="0.3">
      <c r="A2254" s="33">
        <v>45686</v>
      </c>
      <c r="B2254" s="34">
        <v>1423.95</v>
      </c>
      <c r="C2254" s="34">
        <f t="shared" si="70"/>
        <v>3.0947800329239393E-3</v>
      </c>
      <c r="E2254" s="33">
        <v>45686</v>
      </c>
      <c r="F2254" s="34">
        <v>76532.960000000006</v>
      </c>
      <c r="G2254" s="34">
        <f t="shared" si="71"/>
        <v>8.2862364124920533E-3</v>
      </c>
    </row>
    <row r="2255" spans="1:7" x14ac:dyDescent="0.3">
      <c r="A2255" s="33">
        <v>45687</v>
      </c>
      <c r="B2255" s="34">
        <v>1458.15</v>
      </c>
      <c r="C2255" s="34">
        <f t="shared" si="70"/>
        <v>2.3733808939270438E-2</v>
      </c>
      <c r="E2255" s="33">
        <v>45687</v>
      </c>
      <c r="F2255" s="34">
        <v>76759.81</v>
      </c>
      <c r="G2255" s="34">
        <f t="shared" si="71"/>
        <v>2.9596981722874506E-3</v>
      </c>
    </row>
    <row r="2256" spans="1:7" x14ac:dyDescent="0.3">
      <c r="A2256" s="33">
        <v>45688</v>
      </c>
      <c r="B2256" s="34">
        <v>1479.35</v>
      </c>
      <c r="C2256" s="34">
        <f t="shared" si="70"/>
        <v>1.4434293161964536E-2</v>
      </c>
      <c r="E2256" s="33">
        <v>45688</v>
      </c>
      <c r="F2256" s="34">
        <v>77500.570000000007</v>
      </c>
      <c r="G2256" s="34">
        <f t="shared" si="71"/>
        <v>9.6040952820533633E-3</v>
      </c>
    </row>
    <row r="2257" spans="1:7" x14ac:dyDescent="0.3">
      <c r="A2257" s="33">
        <v>45689</v>
      </c>
      <c r="B2257" s="34">
        <v>1437.85</v>
      </c>
      <c r="C2257" s="34">
        <f t="shared" si="70"/>
        <v>-2.8453859800798599E-2</v>
      </c>
      <c r="E2257" s="33">
        <v>45689</v>
      </c>
      <c r="F2257" s="34">
        <v>77505.960000000006</v>
      </c>
      <c r="G2257" s="34">
        <f t="shared" si="71"/>
        <v>6.9545457242069483E-5</v>
      </c>
    </row>
    <row r="2258" spans="1:7" x14ac:dyDescent="0.3">
      <c r="A2258" s="33">
        <v>45691</v>
      </c>
      <c r="B2258" s="34">
        <v>1420.9</v>
      </c>
      <c r="C2258" s="34">
        <f t="shared" si="70"/>
        <v>-1.1858468652323997E-2</v>
      </c>
      <c r="E2258" s="33">
        <v>45691</v>
      </c>
      <c r="F2258" s="34">
        <v>77186.740000000005</v>
      </c>
      <c r="G2258" s="34">
        <f t="shared" si="71"/>
        <v>-4.1271560082297666E-3</v>
      </c>
    </row>
    <row r="2259" spans="1:7" x14ac:dyDescent="0.3">
      <c r="A2259" s="33">
        <v>45692</v>
      </c>
      <c r="B2259" s="34">
        <v>1448.7</v>
      </c>
      <c r="C2259" s="34">
        <f t="shared" si="70"/>
        <v>1.9376128903576224E-2</v>
      </c>
      <c r="E2259" s="33">
        <v>45692</v>
      </c>
      <c r="F2259" s="34">
        <v>78583.81</v>
      </c>
      <c r="G2259" s="34">
        <f t="shared" si="71"/>
        <v>1.7938017954698123E-2</v>
      </c>
    </row>
    <row r="2260" spans="1:7" x14ac:dyDescent="0.3">
      <c r="A2260" s="33">
        <v>45693</v>
      </c>
      <c r="B2260" s="34">
        <v>1436.6</v>
      </c>
      <c r="C2260" s="34">
        <f t="shared" si="70"/>
        <v>-8.3873919069047363E-3</v>
      </c>
      <c r="E2260" s="33">
        <v>45693</v>
      </c>
      <c r="F2260" s="34">
        <v>78271.28</v>
      </c>
      <c r="G2260" s="34">
        <f t="shared" si="71"/>
        <v>-3.9849572440173306E-3</v>
      </c>
    </row>
    <row r="2261" spans="1:7" x14ac:dyDescent="0.3">
      <c r="A2261" s="33">
        <v>45694</v>
      </c>
      <c r="B2261" s="34">
        <v>1471.65</v>
      </c>
      <c r="C2261" s="34">
        <f t="shared" si="70"/>
        <v>2.4105009636808325E-2</v>
      </c>
      <c r="E2261" s="33">
        <v>45694</v>
      </c>
      <c r="F2261" s="34">
        <v>78058.16</v>
      </c>
      <c r="G2261" s="34">
        <f t="shared" si="71"/>
        <v>-2.7265514675839531E-3</v>
      </c>
    </row>
    <row r="2262" spans="1:7" x14ac:dyDescent="0.3">
      <c r="A2262" s="33">
        <v>45695</v>
      </c>
      <c r="B2262" s="34">
        <v>1472.3</v>
      </c>
      <c r="C2262" s="34">
        <f t="shared" si="70"/>
        <v>4.4158359385315638E-4</v>
      </c>
      <c r="E2262" s="33">
        <v>45695</v>
      </c>
      <c r="F2262" s="34">
        <v>77860.19</v>
      </c>
      <c r="G2262" s="34">
        <f t="shared" si="71"/>
        <v>-2.5394074063200796E-3</v>
      </c>
    </row>
    <row r="2263" spans="1:7" x14ac:dyDescent="0.3">
      <c r="A2263" s="33">
        <v>45698</v>
      </c>
      <c r="B2263" s="34">
        <v>1458.35</v>
      </c>
      <c r="C2263" s="34">
        <f t="shared" si="70"/>
        <v>-9.5201442416348314E-3</v>
      </c>
      <c r="E2263" s="33">
        <v>45698</v>
      </c>
      <c r="F2263" s="34">
        <v>77311.8</v>
      </c>
      <c r="G2263" s="34">
        <f t="shared" si="71"/>
        <v>-7.0681865083340404E-3</v>
      </c>
    </row>
    <row r="2264" spans="1:7" x14ac:dyDescent="0.3">
      <c r="A2264" s="33">
        <v>45699</v>
      </c>
      <c r="B2264" s="34">
        <v>1452.7</v>
      </c>
      <c r="C2264" s="34">
        <f t="shared" si="70"/>
        <v>-3.8817657508900781E-3</v>
      </c>
      <c r="E2264" s="33">
        <v>45699</v>
      </c>
      <c r="F2264" s="34">
        <v>76293.600000000006</v>
      </c>
      <c r="G2264" s="34">
        <f t="shared" si="71"/>
        <v>-1.3257540599412285E-2</v>
      </c>
    </row>
    <row r="2265" spans="1:7" x14ac:dyDescent="0.3">
      <c r="A2265" s="33">
        <v>45700</v>
      </c>
      <c r="B2265" s="34">
        <v>1449.8</v>
      </c>
      <c r="C2265" s="34">
        <f t="shared" si="70"/>
        <v>-1.9982780120604729E-3</v>
      </c>
      <c r="E2265" s="33">
        <v>45700</v>
      </c>
      <c r="F2265" s="34">
        <v>76171.08</v>
      </c>
      <c r="G2265" s="34">
        <f t="shared" si="71"/>
        <v>-1.6071922542731476E-3</v>
      </c>
    </row>
    <row r="2266" spans="1:7" x14ac:dyDescent="0.3">
      <c r="A2266" s="33">
        <v>45701</v>
      </c>
      <c r="B2266" s="34">
        <v>1472.1</v>
      </c>
      <c r="C2266" s="34">
        <f t="shared" si="70"/>
        <v>1.5264336897189968E-2</v>
      </c>
      <c r="E2266" s="33">
        <v>45701</v>
      </c>
      <c r="F2266" s="34">
        <v>76138.97</v>
      </c>
      <c r="G2266" s="34">
        <f t="shared" si="71"/>
        <v>-4.2163994399206168E-4</v>
      </c>
    </row>
    <row r="2267" spans="1:7" x14ac:dyDescent="0.3">
      <c r="A2267" s="33">
        <v>45702</v>
      </c>
      <c r="B2267" s="34">
        <v>1459.05</v>
      </c>
      <c r="C2267" s="34">
        <f t="shared" si="70"/>
        <v>-8.9044137804083646E-3</v>
      </c>
      <c r="E2267" s="33">
        <v>45702</v>
      </c>
      <c r="F2267" s="34">
        <v>75939.210000000006</v>
      </c>
      <c r="G2267" s="34">
        <f t="shared" si="71"/>
        <v>-2.627071350893513E-3</v>
      </c>
    </row>
    <row r="2268" spans="1:7" x14ac:dyDescent="0.3">
      <c r="A2268" s="33">
        <v>45705</v>
      </c>
      <c r="B2268" s="34">
        <v>1473.15</v>
      </c>
      <c r="C2268" s="34">
        <f t="shared" si="70"/>
        <v>9.6174262883340581E-3</v>
      </c>
      <c r="E2268" s="33">
        <v>45705</v>
      </c>
      <c r="F2268" s="34">
        <v>75996.86</v>
      </c>
      <c r="G2268" s="34">
        <f t="shared" si="71"/>
        <v>7.5887184348850652E-4</v>
      </c>
    </row>
    <row r="2269" spans="1:7" x14ac:dyDescent="0.3">
      <c r="A2269" s="33">
        <v>45706</v>
      </c>
      <c r="B2269" s="34">
        <v>1482.2</v>
      </c>
      <c r="C2269" s="34">
        <f t="shared" si="70"/>
        <v>6.1245052453654629E-3</v>
      </c>
      <c r="E2269" s="33">
        <v>45706</v>
      </c>
      <c r="F2269" s="34">
        <v>75967.39</v>
      </c>
      <c r="G2269" s="34">
        <f t="shared" si="71"/>
        <v>-3.8785438508640095E-4</v>
      </c>
    </row>
    <row r="2270" spans="1:7" x14ac:dyDescent="0.3">
      <c r="A2270" s="33">
        <v>45707</v>
      </c>
      <c r="B2270" s="34">
        <v>1464.05</v>
      </c>
      <c r="C2270" s="34">
        <f t="shared" si="70"/>
        <v>-1.2320902573737856E-2</v>
      </c>
      <c r="E2270" s="33">
        <v>45707</v>
      </c>
      <c r="F2270" s="34">
        <v>75939.179999999993</v>
      </c>
      <c r="G2270" s="34">
        <f t="shared" si="71"/>
        <v>-3.7141251131271748E-4</v>
      </c>
    </row>
    <row r="2271" spans="1:7" x14ac:dyDescent="0.3">
      <c r="A2271" s="33">
        <v>45708</v>
      </c>
      <c r="B2271" s="34">
        <v>1479.8</v>
      </c>
      <c r="C2271" s="34">
        <f t="shared" si="70"/>
        <v>1.0700375547929934E-2</v>
      </c>
      <c r="E2271" s="33">
        <v>45708</v>
      </c>
      <c r="F2271" s="34">
        <v>75735.960000000006</v>
      </c>
      <c r="G2271" s="34">
        <f t="shared" si="71"/>
        <v>-2.6796760709041226E-3</v>
      </c>
    </row>
    <row r="2272" spans="1:7" x14ac:dyDescent="0.3">
      <c r="A2272" s="33">
        <v>45709</v>
      </c>
      <c r="B2272" s="34">
        <v>1474.3</v>
      </c>
      <c r="C2272" s="34">
        <f t="shared" si="70"/>
        <v>-3.7236426356764755E-3</v>
      </c>
      <c r="E2272" s="33">
        <v>45709</v>
      </c>
      <c r="F2272" s="34">
        <v>75311.06</v>
      </c>
      <c r="G2272" s="34">
        <f t="shared" si="71"/>
        <v>-5.6260775058055079E-3</v>
      </c>
    </row>
    <row r="2273" spans="1:7" x14ac:dyDescent="0.3">
      <c r="A2273" s="33">
        <v>45712</v>
      </c>
      <c r="B2273" s="34">
        <v>1476.6</v>
      </c>
      <c r="C2273" s="34">
        <f t="shared" si="70"/>
        <v>1.5588467692910996E-3</v>
      </c>
      <c r="E2273" s="33">
        <v>45712</v>
      </c>
      <c r="F2273" s="34">
        <v>74454.41</v>
      </c>
      <c r="G2273" s="34">
        <f t="shared" si="71"/>
        <v>-1.1440011409003262E-2</v>
      </c>
    </row>
    <row r="2274" spans="1:7" x14ac:dyDescent="0.3">
      <c r="A2274" s="33">
        <v>45713</v>
      </c>
      <c r="B2274" s="34">
        <v>1463.25</v>
      </c>
      <c r="C2274" s="34">
        <f t="shared" si="70"/>
        <v>-9.0821584537348222E-3</v>
      </c>
      <c r="E2274" s="33">
        <v>45713</v>
      </c>
      <c r="F2274" s="34">
        <v>74602.12</v>
      </c>
      <c r="G2274" s="34">
        <f t="shared" si="71"/>
        <v>1.9819332752632232E-3</v>
      </c>
    </row>
    <row r="2275" spans="1:7" x14ac:dyDescent="0.3">
      <c r="A2275" s="33">
        <v>45715</v>
      </c>
      <c r="B2275" s="34">
        <v>1441.15</v>
      </c>
      <c r="C2275" s="34">
        <f t="shared" si="70"/>
        <v>-1.5218583210348496E-2</v>
      </c>
      <c r="E2275" s="33">
        <v>45715</v>
      </c>
      <c r="F2275" s="34">
        <v>74612.429999999993</v>
      </c>
      <c r="G2275" s="34">
        <f t="shared" si="71"/>
        <v>1.3819027724043851E-4</v>
      </c>
    </row>
    <row r="2276" spans="1:7" x14ac:dyDescent="0.3">
      <c r="A2276" s="33">
        <v>45716</v>
      </c>
      <c r="B2276" s="34">
        <v>1410.95</v>
      </c>
      <c r="C2276" s="34">
        <f t="shared" si="70"/>
        <v>-2.1178169597124173E-2</v>
      </c>
      <c r="E2276" s="33">
        <v>45716</v>
      </c>
      <c r="F2276" s="34">
        <v>73198.100000000006</v>
      </c>
      <c r="G2276" s="34">
        <f t="shared" si="71"/>
        <v>-1.9137650967485504E-2</v>
      </c>
    </row>
    <row r="2277" spans="1:7" x14ac:dyDescent="0.3">
      <c r="A2277" s="33">
        <v>45719</v>
      </c>
      <c r="B2277" s="34">
        <v>1407.45</v>
      </c>
      <c r="C2277" s="34">
        <f t="shared" si="70"/>
        <v>-2.4836799596892559E-3</v>
      </c>
      <c r="E2277" s="33">
        <v>45719</v>
      </c>
      <c r="F2277" s="34">
        <v>73085.94</v>
      </c>
      <c r="G2277" s="34">
        <f t="shared" si="71"/>
        <v>-1.5334553513637391E-3</v>
      </c>
    </row>
    <row r="2278" spans="1:7" x14ac:dyDescent="0.3">
      <c r="A2278" s="33">
        <v>45720</v>
      </c>
      <c r="B2278" s="34">
        <v>1401.4</v>
      </c>
      <c r="C2278" s="34">
        <f t="shared" si="70"/>
        <v>-4.3078194677348535E-3</v>
      </c>
      <c r="E2278" s="33">
        <v>45720</v>
      </c>
      <c r="F2278" s="34">
        <v>72989.929999999993</v>
      </c>
      <c r="G2278" s="34">
        <f t="shared" si="71"/>
        <v>-1.3145225672824225E-3</v>
      </c>
    </row>
    <row r="2279" spans="1:7" x14ac:dyDescent="0.3">
      <c r="A2279" s="33">
        <v>45721</v>
      </c>
      <c r="B2279" s="34">
        <v>1418.45</v>
      </c>
      <c r="C2279" s="34">
        <f t="shared" si="70"/>
        <v>1.2092989189290864E-2</v>
      </c>
      <c r="E2279" s="33">
        <v>45721</v>
      </c>
      <c r="F2279" s="34">
        <v>73730.23</v>
      </c>
      <c r="G2279" s="34">
        <f t="shared" si="71"/>
        <v>1.0091405059128082E-2</v>
      </c>
    </row>
    <row r="2280" spans="1:7" x14ac:dyDescent="0.3">
      <c r="A2280" s="33">
        <v>45722</v>
      </c>
      <c r="B2280" s="34">
        <v>1461.85</v>
      </c>
      <c r="C2280" s="34">
        <f t="shared" si="70"/>
        <v>3.0138030741136902E-2</v>
      </c>
      <c r="E2280" s="33">
        <v>45722</v>
      </c>
      <c r="F2280" s="34">
        <v>74340.09</v>
      </c>
      <c r="G2280" s="34">
        <f t="shared" si="71"/>
        <v>8.2374840354015391E-3</v>
      </c>
    </row>
    <row r="2281" spans="1:7" x14ac:dyDescent="0.3">
      <c r="A2281" s="33">
        <v>45723</v>
      </c>
      <c r="B2281" s="34">
        <v>1458.65</v>
      </c>
      <c r="C2281" s="34">
        <f t="shared" si="70"/>
        <v>-2.1914064582112436E-3</v>
      </c>
      <c r="E2281" s="33">
        <v>45723</v>
      </c>
      <c r="F2281" s="34">
        <v>74332.58</v>
      </c>
      <c r="G2281" s="34">
        <f t="shared" si="71"/>
        <v>-1.0102731061983516E-4</v>
      </c>
    </row>
    <row r="2282" spans="1:7" x14ac:dyDescent="0.3">
      <c r="A2282" s="33">
        <v>45726</v>
      </c>
      <c r="B2282" s="34">
        <v>1462.45</v>
      </c>
      <c r="C2282" s="34">
        <f t="shared" si="70"/>
        <v>2.6017610787493007E-3</v>
      </c>
      <c r="E2282" s="33">
        <v>45726</v>
      </c>
      <c r="F2282" s="34">
        <v>74115.17</v>
      </c>
      <c r="G2282" s="34">
        <f t="shared" si="71"/>
        <v>-2.9291135156013525E-3</v>
      </c>
    </row>
    <row r="2283" spans="1:7" x14ac:dyDescent="0.3">
      <c r="A2283" s="33">
        <v>45727</v>
      </c>
      <c r="B2283" s="34">
        <v>1446.3</v>
      </c>
      <c r="C2283" s="34">
        <f t="shared" si="70"/>
        <v>-1.1104540407713193E-2</v>
      </c>
      <c r="E2283" s="33">
        <v>45727</v>
      </c>
      <c r="F2283" s="34">
        <v>74102.320000000007</v>
      </c>
      <c r="G2283" s="34">
        <f t="shared" si="71"/>
        <v>-1.73393842146196E-4</v>
      </c>
    </row>
    <row r="2284" spans="1:7" x14ac:dyDescent="0.3">
      <c r="A2284" s="33">
        <v>45728</v>
      </c>
      <c r="B2284" s="34">
        <v>1453.85</v>
      </c>
      <c r="C2284" s="34">
        <f t="shared" si="70"/>
        <v>5.2066390056569262E-3</v>
      </c>
      <c r="E2284" s="33">
        <v>45728</v>
      </c>
      <c r="F2284" s="34">
        <v>74029.759999999995</v>
      </c>
      <c r="G2284" s="34">
        <f t="shared" si="71"/>
        <v>-9.7966633295466462E-4</v>
      </c>
    </row>
    <row r="2285" spans="1:7" x14ac:dyDescent="0.3">
      <c r="A2285" s="33">
        <v>45729</v>
      </c>
      <c r="B2285" s="34">
        <v>1461.6</v>
      </c>
      <c r="C2285" s="34">
        <f t="shared" si="70"/>
        <v>5.3165159784538795E-3</v>
      </c>
      <c r="E2285" s="33">
        <v>45729</v>
      </c>
      <c r="F2285" s="34">
        <v>73828.91</v>
      </c>
      <c r="G2285" s="34">
        <f t="shared" si="71"/>
        <v>-2.7167852049278219E-3</v>
      </c>
    </row>
    <row r="2286" spans="1:7" x14ac:dyDescent="0.3">
      <c r="A2286" s="33">
        <v>45733</v>
      </c>
      <c r="B2286" s="34">
        <v>1493.05</v>
      </c>
      <c r="C2286" s="34">
        <f t="shared" si="70"/>
        <v>2.1289281532847169E-2</v>
      </c>
      <c r="E2286" s="33">
        <v>45733</v>
      </c>
      <c r="F2286" s="34">
        <v>74169.95</v>
      </c>
      <c r="G2286" s="34">
        <f t="shared" si="71"/>
        <v>4.6086923053575823E-3</v>
      </c>
    </row>
    <row r="2287" spans="1:7" x14ac:dyDescent="0.3">
      <c r="A2287" s="33">
        <v>45734</v>
      </c>
      <c r="B2287" s="34">
        <v>1508.7</v>
      </c>
      <c r="C2287" s="34">
        <f t="shared" si="70"/>
        <v>1.0427345249384734E-2</v>
      </c>
      <c r="E2287" s="33">
        <v>45734</v>
      </c>
      <c r="F2287" s="34">
        <v>75301.259999999995</v>
      </c>
      <c r="G2287" s="34">
        <f t="shared" si="71"/>
        <v>1.5137786112346788E-2</v>
      </c>
    </row>
    <row r="2288" spans="1:7" x14ac:dyDescent="0.3">
      <c r="A2288" s="33">
        <v>45735</v>
      </c>
      <c r="B2288" s="34">
        <v>1498.5</v>
      </c>
      <c r="C2288" s="34">
        <f t="shared" si="70"/>
        <v>-6.7837450893109509E-3</v>
      </c>
      <c r="E2288" s="33">
        <v>45735</v>
      </c>
      <c r="F2288" s="34">
        <v>75449.05</v>
      </c>
      <c r="G2288" s="34">
        <f t="shared" si="71"/>
        <v>1.9607262810614951E-3</v>
      </c>
    </row>
    <row r="2289" spans="1:7" x14ac:dyDescent="0.3">
      <c r="A2289" s="33">
        <v>45736</v>
      </c>
      <c r="B2289" s="34">
        <v>1513.05</v>
      </c>
      <c r="C2289" s="34">
        <f t="shared" si="70"/>
        <v>9.6628734122361174E-3</v>
      </c>
      <c r="E2289" s="33">
        <v>45736</v>
      </c>
      <c r="F2289" s="34">
        <v>76348.06</v>
      </c>
      <c r="G2289" s="34">
        <f t="shared" si="71"/>
        <v>1.1845028027897844E-2</v>
      </c>
    </row>
    <row r="2290" spans="1:7" x14ac:dyDescent="0.3">
      <c r="A2290" s="33">
        <v>45737</v>
      </c>
      <c r="B2290" s="34">
        <v>1523.3</v>
      </c>
      <c r="C2290" s="34">
        <f t="shared" si="70"/>
        <v>6.7515529737012846E-3</v>
      </c>
      <c r="E2290" s="33">
        <v>45737</v>
      </c>
      <c r="F2290" s="34">
        <v>76905.509999999995</v>
      </c>
      <c r="G2290" s="34">
        <f t="shared" si="71"/>
        <v>7.2749033976609685E-3</v>
      </c>
    </row>
    <row r="2291" spans="1:7" x14ac:dyDescent="0.3">
      <c r="A2291" s="33">
        <v>45740</v>
      </c>
      <c r="B2291" s="34">
        <v>1524.35</v>
      </c>
      <c r="C2291" s="34">
        <f t="shared" si="70"/>
        <v>6.8905552904357094E-4</v>
      </c>
      <c r="E2291" s="33">
        <v>45740</v>
      </c>
      <c r="F2291" s="34">
        <v>77984.38</v>
      </c>
      <c r="G2291" s="34">
        <f t="shared" si="71"/>
        <v>1.3931024785141955E-2</v>
      </c>
    </row>
    <row r="2292" spans="1:7" x14ac:dyDescent="0.3">
      <c r="A2292" s="33">
        <v>45741</v>
      </c>
      <c r="B2292" s="34">
        <v>1510.65</v>
      </c>
      <c r="C2292" s="34">
        <f t="shared" si="70"/>
        <v>-9.028067909435453E-3</v>
      </c>
      <c r="E2292" s="33">
        <v>45741</v>
      </c>
      <c r="F2292" s="34">
        <v>78017.19</v>
      </c>
      <c r="G2292" s="34">
        <f t="shared" si="71"/>
        <v>4.2063679851137627E-4</v>
      </c>
    </row>
    <row r="2293" spans="1:7" x14ac:dyDescent="0.3">
      <c r="A2293" s="33">
        <v>45742</v>
      </c>
      <c r="B2293" s="34">
        <v>1475.5</v>
      </c>
      <c r="C2293" s="34">
        <f t="shared" si="70"/>
        <v>-2.3543106379269308E-2</v>
      </c>
      <c r="E2293" s="33">
        <v>45742</v>
      </c>
      <c r="F2293" s="34">
        <v>77288.5</v>
      </c>
      <c r="G2293" s="34">
        <f t="shared" si="71"/>
        <v>-9.384013519976581E-3</v>
      </c>
    </row>
    <row r="2294" spans="1:7" x14ac:dyDescent="0.3">
      <c r="A2294" s="33">
        <v>45743</v>
      </c>
      <c r="B2294" s="34">
        <v>1483</v>
      </c>
      <c r="C2294" s="34">
        <f t="shared" si="70"/>
        <v>5.0701477549379651E-3</v>
      </c>
      <c r="E2294" s="33">
        <v>45743</v>
      </c>
      <c r="F2294" s="34">
        <v>77606.429999999993</v>
      </c>
      <c r="G2294" s="34">
        <f t="shared" si="71"/>
        <v>4.1051110772688734E-3</v>
      </c>
    </row>
    <row r="2295" spans="1:7" x14ac:dyDescent="0.3">
      <c r="A2295" s="33">
        <v>45744</v>
      </c>
      <c r="B2295" s="34">
        <v>1441.7</v>
      </c>
      <c r="C2295" s="34">
        <f t="shared" si="70"/>
        <v>-2.8244090320073963E-2</v>
      </c>
      <c r="E2295" s="33">
        <v>45744</v>
      </c>
      <c r="F2295" s="34">
        <v>77414.92</v>
      </c>
      <c r="G2295" s="34">
        <f t="shared" si="71"/>
        <v>-2.4707577043421142E-3</v>
      </c>
    </row>
    <row r="2296" spans="1:7" x14ac:dyDescent="0.3">
      <c r="A2296" s="33">
        <v>45748</v>
      </c>
      <c r="B2296" s="34">
        <v>1444.55</v>
      </c>
      <c r="C2296" s="34">
        <f t="shared" si="70"/>
        <v>1.9748815426849963E-3</v>
      </c>
      <c r="E2296" s="33">
        <v>45748</v>
      </c>
      <c r="F2296" s="34">
        <v>76024.509999999995</v>
      </c>
      <c r="G2296" s="34">
        <f t="shared" si="71"/>
        <v>-1.8123738582420588E-2</v>
      </c>
    </row>
    <row r="2297" spans="1:7" x14ac:dyDescent="0.3">
      <c r="A2297" s="33">
        <v>45749</v>
      </c>
      <c r="B2297" s="34">
        <v>1452.7</v>
      </c>
      <c r="C2297" s="34">
        <f t="shared" si="70"/>
        <v>5.6260395182947624E-3</v>
      </c>
      <c r="E2297" s="33">
        <v>45749</v>
      </c>
      <c r="F2297" s="34">
        <v>76617.440000000002</v>
      </c>
      <c r="G2297" s="34">
        <f t="shared" si="71"/>
        <v>7.7689387780687453E-3</v>
      </c>
    </row>
    <row r="2298" spans="1:7" x14ac:dyDescent="0.3">
      <c r="A2298" s="33">
        <v>45750</v>
      </c>
      <c r="B2298" s="34">
        <v>1495.15</v>
      </c>
      <c r="C2298" s="34">
        <f t="shared" si="70"/>
        <v>2.8802642360945419E-2</v>
      </c>
      <c r="E2298" s="33">
        <v>45750</v>
      </c>
      <c r="F2298" s="34">
        <v>76295.360000000001</v>
      </c>
      <c r="G2298" s="34">
        <f t="shared" si="71"/>
        <v>-4.2126032131148657E-3</v>
      </c>
    </row>
    <row r="2299" spans="1:7" x14ac:dyDescent="0.3">
      <c r="A2299" s="33">
        <v>45751</v>
      </c>
      <c r="B2299" s="34">
        <v>1415.55</v>
      </c>
      <c r="C2299" s="34">
        <f t="shared" si="70"/>
        <v>-5.4708388104331679E-2</v>
      </c>
      <c r="E2299" s="33">
        <v>45751</v>
      </c>
      <c r="F2299" s="34">
        <v>75364.69</v>
      </c>
      <c r="G2299" s="34">
        <f t="shared" si="71"/>
        <v>-1.2273260920504306E-2</v>
      </c>
    </row>
    <row r="2300" spans="1:7" x14ac:dyDescent="0.3">
      <c r="A2300" s="33">
        <v>45754</v>
      </c>
      <c r="B2300" s="34">
        <v>1384.4</v>
      </c>
      <c r="C2300" s="34">
        <f t="shared" si="70"/>
        <v>-2.2251315374262448E-2</v>
      </c>
      <c r="E2300" s="33">
        <v>45754</v>
      </c>
      <c r="F2300" s="34">
        <v>73137.899999999994</v>
      </c>
      <c r="G2300" s="34">
        <f t="shared" si="71"/>
        <v>-2.999216268886231E-2</v>
      </c>
    </row>
    <row r="2301" spans="1:7" x14ac:dyDescent="0.3">
      <c r="A2301" s="33">
        <v>45755</v>
      </c>
      <c r="B2301" s="34">
        <v>1433.45</v>
      </c>
      <c r="C2301" s="34">
        <f t="shared" si="70"/>
        <v>3.4817293288770347E-2</v>
      </c>
      <c r="E2301" s="33">
        <v>45755</v>
      </c>
      <c r="F2301" s="34">
        <v>74227.08</v>
      </c>
      <c r="G2301" s="34">
        <f t="shared" si="71"/>
        <v>1.4782342910552644E-2</v>
      </c>
    </row>
    <row r="2302" spans="1:7" x14ac:dyDescent="0.3">
      <c r="A2302" s="33">
        <v>45756</v>
      </c>
      <c r="B2302" s="34">
        <v>1416.3</v>
      </c>
      <c r="C2302" s="34">
        <f t="shared" si="70"/>
        <v>-1.2036288829608959E-2</v>
      </c>
      <c r="E2302" s="33">
        <v>45756</v>
      </c>
      <c r="F2302" s="34">
        <v>73847.149999999994</v>
      </c>
      <c r="G2302" s="34">
        <f t="shared" si="71"/>
        <v>-5.1316266678289148E-3</v>
      </c>
    </row>
    <row r="2303" spans="1:7" x14ac:dyDescent="0.3">
      <c r="A2303" s="33">
        <v>45758</v>
      </c>
      <c r="B2303" s="34">
        <v>1463.15</v>
      </c>
      <c r="C2303" s="34">
        <f t="shared" si="70"/>
        <v>3.254380859392729E-2</v>
      </c>
      <c r="E2303" s="33">
        <v>45758</v>
      </c>
      <c r="F2303" s="34">
        <v>75157.259999999995</v>
      </c>
      <c r="G2303" s="34">
        <f t="shared" si="71"/>
        <v>1.7585301826580635E-2</v>
      </c>
    </row>
    <row r="2304" spans="1:7" x14ac:dyDescent="0.3">
      <c r="A2304" s="33">
        <v>45762</v>
      </c>
      <c r="B2304" s="34">
        <v>1481.4</v>
      </c>
      <c r="C2304" s="34">
        <f t="shared" si="70"/>
        <v>1.2395940764910848E-2</v>
      </c>
      <c r="E2304" s="33">
        <v>45762</v>
      </c>
      <c r="F2304" s="34">
        <v>76734.89</v>
      </c>
      <c r="G2304" s="34">
        <f t="shared" si="71"/>
        <v>2.0773775801835814E-2</v>
      </c>
    </row>
    <row r="2305" spans="1:7" x14ac:dyDescent="0.3">
      <c r="A2305" s="33">
        <v>45763</v>
      </c>
      <c r="B2305" s="34">
        <v>1496.5</v>
      </c>
      <c r="C2305" s="34">
        <f t="shared" si="70"/>
        <v>1.0141461713564821E-2</v>
      </c>
      <c r="E2305" s="33">
        <v>45763</v>
      </c>
      <c r="F2305" s="34">
        <v>77044.289999999994</v>
      </c>
      <c r="G2305" s="34">
        <f t="shared" si="71"/>
        <v>4.0239571766423074E-3</v>
      </c>
    </row>
    <row r="2306" spans="1:7" x14ac:dyDescent="0.3">
      <c r="A2306" s="33">
        <v>45764</v>
      </c>
      <c r="B2306" s="34">
        <v>1515.45</v>
      </c>
      <c r="C2306" s="34">
        <f t="shared" si="70"/>
        <v>1.2583376249097323E-2</v>
      </c>
      <c r="E2306" s="33">
        <v>45764</v>
      </c>
      <c r="F2306" s="34">
        <v>78553.2</v>
      </c>
      <c r="G2306" s="34">
        <f t="shared" si="71"/>
        <v>1.9395650957286629E-2</v>
      </c>
    </row>
    <row r="2307" spans="1:7" x14ac:dyDescent="0.3">
      <c r="A2307" s="33">
        <v>45768</v>
      </c>
      <c r="B2307" s="34">
        <v>1511.5</v>
      </c>
      <c r="C2307" s="34">
        <f t="shared" si="70"/>
        <v>-2.6098893223381937E-3</v>
      </c>
      <c r="E2307" s="33">
        <v>45768</v>
      </c>
      <c r="F2307" s="34">
        <v>79408.5</v>
      </c>
      <c r="G2307" s="34">
        <f t="shared" si="71"/>
        <v>1.0829313165022846E-2</v>
      </c>
    </row>
    <row r="2308" spans="1:7" x14ac:dyDescent="0.3">
      <c r="A2308" s="33">
        <v>45769</v>
      </c>
      <c r="B2308" s="34">
        <v>1528.1</v>
      </c>
      <c r="C2308" s="34">
        <f t="shared" si="70"/>
        <v>1.0922598391698813E-2</v>
      </c>
      <c r="E2308" s="33">
        <v>45769</v>
      </c>
      <c r="F2308" s="34">
        <v>79595.59</v>
      </c>
      <c r="G2308" s="34">
        <f t="shared" si="71"/>
        <v>2.3532738854759351E-3</v>
      </c>
    </row>
    <row r="2309" spans="1:7" x14ac:dyDescent="0.3">
      <c r="A2309" s="33">
        <v>45770</v>
      </c>
      <c r="B2309" s="34">
        <v>1533.55</v>
      </c>
      <c r="C2309" s="34">
        <f t="shared" si="70"/>
        <v>3.5601755631723916E-3</v>
      </c>
      <c r="E2309" s="33">
        <v>45770</v>
      </c>
      <c r="F2309" s="34">
        <v>80116.490000000005</v>
      </c>
      <c r="G2309" s="34">
        <f t="shared" si="71"/>
        <v>6.5230112463528023E-3</v>
      </c>
    </row>
    <row r="2310" spans="1:7" x14ac:dyDescent="0.3">
      <c r="A2310" s="33">
        <v>45771</v>
      </c>
      <c r="B2310" s="34">
        <v>1551.3</v>
      </c>
      <c r="C2310" s="34">
        <f t="shared" si="70"/>
        <v>1.1507979895901771E-2</v>
      </c>
      <c r="E2310" s="33">
        <v>45771</v>
      </c>
      <c r="F2310" s="34">
        <v>79801.429999999993</v>
      </c>
      <c r="G2310" s="34">
        <f t="shared" si="71"/>
        <v>-3.9402764571878591E-3</v>
      </c>
    </row>
    <row r="2311" spans="1:7" x14ac:dyDescent="0.3">
      <c r="A2311" s="33">
        <v>45772</v>
      </c>
      <c r="B2311" s="34">
        <v>1525.5</v>
      </c>
      <c r="C2311" s="34">
        <f t="shared" ref="C2311:C2374" si="72">LN(B2311/B2310)</f>
        <v>-1.6771063913561084E-2</v>
      </c>
      <c r="E2311" s="33">
        <v>45772</v>
      </c>
      <c r="F2311" s="34">
        <v>79212.53</v>
      </c>
      <c r="G2311" s="34">
        <f t="shared" ref="G2311:G2374" si="73">LN(F2311/F2310)</f>
        <v>-7.4069307170356868E-3</v>
      </c>
    </row>
    <row r="2312" spans="1:7" x14ac:dyDescent="0.3">
      <c r="A2312" s="33">
        <v>45775</v>
      </c>
      <c r="B2312" s="34">
        <v>1554.4</v>
      </c>
      <c r="C2312" s="34">
        <f t="shared" si="72"/>
        <v>1.8767393906506141E-2</v>
      </c>
      <c r="E2312" s="33">
        <v>45775</v>
      </c>
      <c r="F2312" s="34">
        <v>80218.37</v>
      </c>
      <c r="G2312" s="34">
        <f t="shared" si="73"/>
        <v>1.2618047635388815E-2</v>
      </c>
    </row>
    <row r="2313" spans="1:7" x14ac:dyDescent="0.3">
      <c r="A2313" s="33">
        <v>45776</v>
      </c>
      <c r="B2313" s="34">
        <v>1541</v>
      </c>
      <c r="C2313" s="34">
        <f t="shared" si="72"/>
        <v>-8.6580627431146542E-3</v>
      </c>
      <c r="E2313" s="33">
        <v>45776</v>
      </c>
      <c r="F2313" s="34">
        <v>80288.38</v>
      </c>
      <c r="G2313" s="34">
        <f t="shared" si="73"/>
        <v>8.7236212109341709E-4</v>
      </c>
    </row>
    <row r="2314" spans="1:7" x14ac:dyDescent="0.3">
      <c r="A2314" s="33">
        <v>45777</v>
      </c>
      <c r="B2314" s="34">
        <v>1549.65</v>
      </c>
      <c r="C2314" s="34">
        <f t="shared" si="72"/>
        <v>5.5975426434483203E-3</v>
      </c>
      <c r="E2314" s="33">
        <v>45777</v>
      </c>
      <c r="F2314" s="34">
        <v>80242.240000000005</v>
      </c>
      <c r="G2314" s="34">
        <f t="shared" si="73"/>
        <v>-5.7484361887548234E-4</v>
      </c>
    </row>
    <row r="2315" spans="1:7" x14ac:dyDescent="0.3">
      <c r="A2315" s="33">
        <v>45779</v>
      </c>
      <c r="B2315" s="34">
        <v>1525.7</v>
      </c>
      <c r="C2315" s="34">
        <f t="shared" si="72"/>
        <v>-1.5575777844407649E-2</v>
      </c>
      <c r="E2315" s="33">
        <v>45779</v>
      </c>
      <c r="F2315" s="34">
        <v>80501.990000000005</v>
      </c>
      <c r="G2315" s="34">
        <f t="shared" si="73"/>
        <v>3.2318451005905664E-3</v>
      </c>
    </row>
    <row r="2316" spans="1:7" x14ac:dyDescent="0.3">
      <c r="A2316" s="33">
        <v>45782</v>
      </c>
      <c r="B2316" s="34">
        <v>1543.1</v>
      </c>
      <c r="C2316" s="34">
        <f t="shared" si="72"/>
        <v>1.134005895800257E-2</v>
      </c>
      <c r="E2316" s="33">
        <v>45782</v>
      </c>
      <c r="F2316" s="34">
        <v>80796.84</v>
      </c>
      <c r="G2316" s="34">
        <f t="shared" si="73"/>
        <v>3.6559512355194565E-3</v>
      </c>
    </row>
    <row r="2317" spans="1:7" x14ac:dyDescent="0.3">
      <c r="A2317" s="33">
        <v>45783</v>
      </c>
      <c r="B2317" s="34">
        <v>1510.7</v>
      </c>
      <c r="C2317" s="34">
        <f t="shared" si="72"/>
        <v>-2.1220260527479728E-2</v>
      </c>
      <c r="E2317" s="33">
        <v>45783</v>
      </c>
      <c r="F2317" s="34">
        <v>80641.070000000007</v>
      </c>
      <c r="G2317" s="34">
        <f t="shared" si="73"/>
        <v>-1.9297827671506955E-3</v>
      </c>
    </row>
    <row r="2318" spans="1:7" x14ac:dyDescent="0.3">
      <c r="A2318" s="33">
        <v>45784</v>
      </c>
      <c r="B2318" s="34">
        <v>1508.95</v>
      </c>
      <c r="C2318" s="34">
        <f t="shared" si="72"/>
        <v>-1.1590748569671107E-3</v>
      </c>
      <c r="E2318" s="33">
        <v>45784</v>
      </c>
      <c r="F2318" s="34">
        <v>80746.78</v>
      </c>
      <c r="G2318" s="34">
        <f t="shared" si="73"/>
        <v>1.3100120624653755E-3</v>
      </c>
    </row>
    <row r="2319" spans="1:7" x14ac:dyDescent="0.3">
      <c r="A2319" s="33">
        <v>45785</v>
      </c>
      <c r="B2319" s="34">
        <v>1486.75</v>
      </c>
      <c r="C2319" s="34">
        <f t="shared" si="72"/>
        <v>-1.4821515106009099E-2</v>
      </c>
      <c r="E2319" s="33">
        <v>45785</v>
      </c>
      <c r="F2319" s="34">
        <v>80334.81</v>
      </c>
      <c r="G2319" s="34">
        <f t="shared" si="73"/>
        <v>-5.1150587503582621E-3</v>
      </c>
    </row>
    <row r="2320" spans="1:7" x14ac:dyDescent="0.3">
      <c r="A2320" s="33">
        <v>45786</v>
      </c>
      <c r="B2320" s="34">
        <v>1478.5</v>
      </c>
      <c r="C2320" s="34">
        <f t="shared" si="72"/>
        <v>-5.5644692941711283E-3</v>
      </c>
      <c r="E2320" s="33">
        <v>45786</v>
      </c>
      <c r="F2320" s="34">
        <v>79454.47</v>
      </c>
      <c r="G2320" s="34">
        <f t="shared" si="73"/>
        <v>-1.1018873196378258E-2</v>
      </c>
    </row>
    <row r="2321" spans="1:7" x14ac:dyDescent="0.3">
      <c r="A2321" s="33">
        <v>45789</v>
      </c>
      <c r="B2321" s="34">
        <v>1512</v>
      </c>
      <c r="C2321" s="34">
        <f t="shared" si="72"/>
        <v>2.2405217446946294E-2</v>
      </c>
      <c r="E2321" s="33">
        <v>45789</v>
      </c>
      <c r="F2321" s="34">
        <v>82429.899999999994</v>
      </c>
      <c r="G2321" s="34">
        <f t="shared" si="73"/>
        <v>3.6764081973884769E-2</v>
      </c>
    </row>
    <row r="2322" spans="1:7" x14ac:dyDescent="0.3">
      <c r="A2322" s="33">
        <v>45790</v>
      </c>
      <c r="B2322" s="34">
        <v>1519.45</v>
      </c>
      <c r="C2322" s="34">
        <f t="shared" si="72"/>
        <v>4.9151495149298086E-3</v>
      </c>
      <c r="E2322" s="33">
        <v>45790</v>
      </c>
      <c r="F2322" s="34">
        <v>81148.22</v>
      </c>
      <c r="G2322" s="34">
        <f t="shared" si="73"/>
        <v>-1.5670876142664651E-2</v>
      </c>
    </row>
    <row r="2323" spans="1:7" x14ac:dyDescent="0.3">
      <c r="A2323" s="33">
        <v>45791</v>
      </c>
      <c r="B2323" s="34">
        <v>1495.4</v>
      </c>
      <c r="C2323" s="34">
        <f t="shared" si="72"/>
        <v>-1.5954697688592912E-2</v>
      </c>
      <c r="E2323" s="33">
        <v>45791</v>
      </c>
      <c r="F2323" s="34">
        <v>81330.559999999998</v>
      </c>
      <c r="G2323" s="34">
        <f t="shared" si="73"/>
        <v>2.2444786518905149E-3</v>
      </c>
    </row>
    <row r="2324" spans="1:7" x14ac:dyDescent="0.3">
      <c r="A2324" s="33">
        <v>45792</v>
      </c>
      <c r="B2324" s="34">
        <v>1502.25</v>
      </c>
      <c r="C2324" s="34">
        <f t="shared" si="72"/>
        <v>4.5702546482221731E-3</v>
      </c>
      <c r="E2324" s="33">
        <v>45792</v>
      </c>
      <c r="F2324" s="34">
        <v>82530.740000000005</v>
      </c>
      <c r="G2324" s="34">
        <f t="shared" si="73"/>
        <v>1.4648992317767996E-2</v>
      </c>
    </row>
    <row r="2325" spans="1:7" x14ac:dyDescent="0.3">
      <c r="A2325" s="33">
        <v>45793</v>
      </c>
      <c r="B2325" s="34">
        <v>1499.7</v>
      </c>
      <c r="C2325" s="34">
        <f t="shared" si="72"/>
        <v>-1.6988961264029761E-3</v>
      </c>
      <c r="E2325" s="33">
        <v>45793</v>
      </c>
      <c r="F2325" s="34">
        <v>82330.59</v>
      </c>
      <c r="G2325" s="34">
        <f t="shared" si="73"/>
        <v>-2.4281024341493689E-3</v>
      </c>
    </row>
    <row r="2326" spans="1:7" x14ac:dyDescent="0.3">
      <c r="A2326" s="33">
        <v>45796</v>
      </c>
      <c r="B2326" s="34">
        <v>1491.7</v>
      </c>
      <c r="C2326" s="34">
        <f t="shared" si="72"/>
        <v>-5.3486789277496548E-3</v>
      </c>
      <c r="E2326" s="33">
        <v>45796</v>
      </c>
      <c r="F2326" s="34">
        <v>82059.42</v>
      </c>
      <c r="G2326" s="34">
        <f t="shared" si="73"/>
        <v>-3.2991085766561697E-3</v>
      </c>
    </row>
    <row r="2327" spans="1:7" x14ac:dyDescent="0.3">
      <c r="A2327" s="33">
        <v>45797</v>
      </c>
      <c r="B2327" s="34">
        <v>1454.5</v>
      </c>
      <c r="C2327" s="34">
        <f t="shared" si="72"/>
        <v>-2.5254210224628416E-2</v>
      </c>
      <c r="E2327" s="33">
        <v>45797</v>
      </c>
      <c r="F2327" s="34">
        <v>81186.44</v>
      </c>
      <c r="G2327" s="34">
        <f t="shared" si="73"/>
        <v>-1.0695380841525699E-2</v>
      </c>
    </row>
    <row r="2328" spans="1:7" x14ac:dyDescent="0.3">
      <c r="A2328" s="33">
        <v>45798</v>
      </c>
      <c r="B2328" s="34">
        <v>1482.05</v>
      </c>
      <c r="C2328" s="34">
        <f t="shared" si="72"/>
        <v>1.876406554328881E-2</v>
      </c>
      <c r="E2328" s="33">
        <v>45798</v>
      </c>
      <c r="F2328" s="34">
        <v>81596.63</v>
      </c>
      <c r="G2328" s="34">
        <f t="shared" si="73"/>
        <v>5.0397239491148452E-3</v>
      </c>
    </row>
    <row r="2329" spans="1:7" x14ac:dyDescent="0.3">
      <c r="A2329" s="33">
        <v>45799</v>
      </c>
      <c r="B2329" s="34">
        <v>1467.3</v>
      </c>
      <c r="C2329" s="34">
        <f t="shared" si="72"/>
        <v>-1.000228726512393E-2</v>
      </c>
      <c r="E2329" s="33">
        <v>45799</v>
      </c>
      <c r="F2329" s="34">
        <v>80951.990000000005</v>
      </c>
      <c r="G2329" s="34">
        <f t="shared" si="73"/>
        <v>-7.9316992001674073E-3</v>
      </c>
    </row>
    <row r="2330" spans="1:7" x14ac:dyDescent="0.3">
      <c r="A2330" s="33">
        <v>45800</v>
      </c>
      <c r="B2330" s="34">
        <v>1484.55</v>
      </c>
      <c r="C2330" s="34">
        <f t="shared" si="72"/>
        <v>1.1687718797388598E-2</v>
      </c>
      <c r="E2330" s="33">
        <v>45800</v>
      </c>
      <c r="F2330" s="34">
        <v>81721.08</v>
      </c>
      <c r="G2330" s="34">
        <f t="shared" si="73"/>
        <v>9.4557228236654099E-3</v>
      </c>
    </row>
    <row r="2331" spans="1:7" x14ac:dyDescent="0.3">
      <c r="A2331" s="33">
        <v>45803</v>
      </c>
      <c r="B2331" s="34">
        <v>1483.7</v>
      </c>
      <c r="C2331" s="34">
        <f t="shared" si="72"/>
        <v>-5.7272805406181958E-4</v>
      </c>
      <c r="E2331" s="33">
        <v>45803</v>
      </c>
      <c r="F2331" s="34">
        <v>82176.45</v>
      </c>
      <c r="G2331" s="34">
        <f t="shared" si="73"/>
        <v>5.5567789427261984E-3</v>
      </c>
    </row>
    <row r="2332" spans="1:7" x14ac:dyDescent="0.3">
      <c r="A2332" s="33">
        <v>45804</v>
      </c>
      <c r="B2332" s="34">
        <v>1480.35</v>
      </c>
      <c r="C2332" s="34">
        <f t="shared" si="72"/>
        <v>-2.2604216706221857E-3</v>
      </c>
      <c r="E2332" s="33">
        <v>45804</v>
      </c>
      <c r="F2332" s="34">
        <v>81551.63</v>
      </c>
      <c r="G2332" s="34">
        <f t="shared" si="73"/>
        <v>-7.6324480589944829E-3</v>
      </c>
    </row>
    <row r="2333" spans="1:7" x14ac:dyDescent="0.3">
      <c r="A2333" s="33">
        <v>45805</v>
      </c>
      <c r="B2333" s="34">
        <v>1468.75</v>
      </c>
      <c r="C2333" s="34">
        <f t="shared" si="72"/>
        <v>-7.8668473936567129E-3</v>
      </c>
      <c r="E2333" s="33">
        <v>45805</v>
      </c>
      <c r="F2333" s="34">
        <v>81312.320000000007</v>
      </c>
      <c r="G2333" s="34">
        <f t="shared" si="73"/>
        <v>-2.9387740163643677E-3</v>
      </c>
    </row>
    <row r="2334" spans="1:7" x14ac:dyDescent="0.3">
      <c r="A2334" s="33">
        <v>45806</v>
      </c>
      <c r="B2334" s="34">
        <v>1476.55</v>
      </c>
      <c r="C2334" s="34">
        <f t="shared" si="72"/>
        <v>5.2965865853940204E-3</v>
      </c>
      <c r="E2334" s="33">
        <v>45806</v>
      </c>
      <c r="F2334" s="34">
        <v>81633.02</v>
      </c>
      <c r="G2334" s="34">
        <f t="shared" si="73"/>
        <v>3.9362943928080039E-3</v>
      </c>
    </row>
    <row r="2335" spans="1:7" x14ac:dyDescent="0.3">
      <c r="A2335" s="33">
        <v>45807</v>
      </c>
      <c r="B2335" s="34">
        <v>1464.85</v>
      </c>
      <c r="C2335" s="34">
        <f t="shared" si="72"/>
        <v>-7.9554373473133717E-3</v>
      </c>
      <c r="E2335" s="33">
        <v>45807</v>
      </c>
      <c r="F2335" s="34">
        <v>81451.009999999995</v>
      </c>
      <c r="G2335" s="34">
        <f t="shared" si="73"/>
        <v>-2.2321017645775187E-3</v>
      </c>
    </row>
    <row r="2336" spans="1:7" x14ac:dyDescent="0.3">
      <c r="A2336" s="33">
        <v>45810</v>
      </c>
      <c r="B2336" s="34">
        <v>1469.75</v>
      </c>
      <c r="C2336" s="34">
        <f t="shared" si="72"/>
        <v>3.3394701518144995E-3</v>
      </c>
      <c r="E2336" s="33">
        <v>45810</v>
      </c>
      <c r="F2336" s="34">
        <v>81373.75</v>
      </c>
      <c r="G2336" s="34">
        <f t="shared" si="73"/>
        <v>-9.4899578907183544E-4</v>
      </c>
    </row>
    <row r="2337" spans="1:7" x14ac:dyDescent="0.3">
      <c r="A2337" s="33">
        <v>45811</v>
      </c>
      <c r="B2337" s="34">
        <v>1472.8</v>
      </c>
      <c r="C2337" s="34">
        <f t="shared" si="72"/>
        <v>2.0730326365037922E-3</v>
      </c>
      <c r="E2337" s="33">
        <v>45811</v>
      </c>
      <c r="F2337" s="34">
        <v>80737.509999999995</v>
      </c>
      <c r="G2337" s="34">
        <f t="shared" si="73"/>
        <v>-7.8494642108835073E-3</v>
      </c>
    </row>
    <row r="2338" spans="1:7" x14ac:dyDescent="0.3">
      <c r="A2338" s="33">
        <v>45812</v>
      </c>
      <c r="B2338" s="34">
        <v>1472.2</v>
      </c>
      <c r="C2338" s="34">
        <f t="shared" si="72"/>
        <v>-4.0747029426248412E-4</v>
      </c>
      <c r="E2338" s="33">
        <v>45812</v>
      </c>
      <c r="F2338" s="34">
        <v>80998.25</v>
      </c>
      <c r="G2338" s="34">
        <f t="shared" si="73"/>
        <v>3.2242742840114039E-3</v>
      </c>
    </row>
    <row r="2339" spans="1:7" x14ac:dyDescent="0.3">
      <c r="A2339" s="33">
        <v>45813</v>
      </c>
      <c r="B2339" s="34">
        <v>1489.65</v>
      </c>
      <c r="C2339" s="34">
        <f t="shared" si="72"/>
        <v>1.1783312392871656E-2</v>
      </c>
      <c r="E2339" s="33">
        <v>45813</v>
      </c>
      <c r="F2339" s="34">
        <v>81442.039999999994</v>
      </c>
      <c r="G2339" s="34">
        <f t="shared" si="73"/>
        <v>5.4640521036252087E-3</v>
      </c>
    </row>
    <row r="2340" spans="1:7" x14ac:dyDescent="0.3">
      <c r="A2340" s="33">
        <v>45814</v>
      </c>
      <c r="B2340" s="34">
        <v>1503.75</v>
      </c>
      <c r="C2340" s="34">
        <f t="shared" si="72"/>
        <v>9.4207952714113405E-3</v>
      </c>
      <c r="E2340" s="33">
        <v>45814</v>
      </c>
      <c r="F2340" s="34">
        <v>82188.990000000005</v>
      </c>
      <c r="G2340" s="34">
        <f t="shared" si="73"/>
        <v>9.1297498809147174E-3</v>
      </c>
    </row>
    <row r="2341" spans="1:7" x14ac:dyDescent="0.3">
      <c r="A2341" s="33">
        <v>45817</v>
      </c>
      <c r="B2341" s="34">
        <v>1506.35</v>
      </c>
      <c r="C2341" s="34">
        <f t="shared" si="72"/>
        <v>1.7275177878489489E-3</v>
      </c>
      <c r="E2341" s="33">
        <v>45817</v>
      </c>
      <c r="F2341" s="34">
        <v>82445.210000000006</v>
      </c>
      <c r="G2341" s="34">
        <f t="shared" si="73"/>
        <v>3.1126000170178837E-3</v>
      </c>
    </row>
    <row r="2342" spans="1:7" x14ac:dyDescent="0.3">
      <c r="A2342" s="33">
        <v>45818</v>
      </c>
      <c r="B2342" s="34">
        <v>1510.65</v>
      </c>
      <c r="C2342" s="34">
        <f t="shared" si="72"/>
        <v>2.8505156855257491E-3</v>
      </c>
      <c r="E2342" s="33">
        <v>45818</v>
      </c>
      <c r="F2342" s="34">
        <v>82391.72</v>
      </c>
      <c r="G2342" s="34">
        <f t="shared" si="73"/>
        <v>-6.4900507280179847E-4</v>
      </c>
    </row>
    <row r="2343" spans="1:7" x14ac:dyDescent="0.3">
      <c r="A2343" s="33">
        <v>45819</v>
      </c>
      <c r="B2343" s="34">
        <v>1521.95</v>
      </c>
      <c r="C2343" s="34">
        <f t="shared" si="72"/>
        <v>7.4523856085755196E-3</v>
      </c>
      <c r="E2343" s="33">
        <v>45819</v>
      </c>
      <c r="F2343" s="34">
        <v>82515.14</v>
      </c>
      <c r="G2343" s="34">
        <f t="shared" si="73"/>
        <v>1.4968452257717914E-3</v>
      </c>
    </row>
    <row r="2344" spans="1:7" x14ac:dyDescent="0.3">
      <c r="A2344" s="33">
        <v>45820</v>
      </c>
      <c r="B2344" s="34">
        <v>1502.1</v>
      </c>
      <c r="C2344" s="34">
        <f t="shared" si="72"/>
        <v>-1.3128278366830205E-2</v>
      </c>
      <c r="E2344" s="33">
        <v>45820</v>
      </c>
      <c r="F2344" s="34">
        <v>81691.98</v>
      </c>
      <c r="G2344" s="34">
        <f t="shared" si="73"/>
        <v>-1.0025958622437882E-2</v>
      </c>
    </row>
    <row r="2345" spans="1:7" x14ac:dyDescent="0.3">
      <c r="A2345" s="33">
        <v>45821</v>
      </c>
      <c r="B2345" s="34">
        <v>1505.4</v>
      </c>
      <c r="C2345" s="34">
        <f t="shared" si="72"/>
        <v>2.1945145964230375E-3</v>
      </c>
      <c r="E2345" s="33">
        <v>45821</v>
      </c>
      <c r="F2345" s="34">
        <v>81118.600000000006</v>
      </c>
      <c r="G2345" s="34">
        <f t="shared" si="73"/>
        <v>-7.0435517215645229E-3</v>
      </c>
    </row>
    <row r="2346" spans="1:7" x14ac:dyDescent="0.3">
      <c r="A2346" s="33">
        <v>45824</v>
      </c>
      <c r="B2346" s="34">
        <v>1526.9</v>
      </c>
      <c r="C2346" s="34">
        <f t="shared" si="72"/>
        <v>1.4180892589034433E-2</v>
      </c>
      <c r="E2346" s="33">
        <v>45824</v>
      </c>
      <c r="F2346" s="34">
        <v>81796.149999999994</v>
      </c>
      <c r="G2346" s="34">
        <f t="shared" si="73"/>
        <v>8.3178951750893151E-3</v>
      </c>
    </row>
    <row r="2347" spans="1:7" x14ac:dyDescent="0.3">
      <c r="A2347" s="33">
        <v>45825</v>
      </c>
      <c r="B2347" s="34">
        <v>1503.5</v>
      </c>
      <c r="C2347" s="34">
        <f t="shared" si="72"/>
        <v>-1.544381276088231E-2</v>
      </c>
      <c r="E2347" s="33">
        <v>45825</v>
      </c>
      <c r="F2347" s="34">
        <v>81583.3</v>
      </c>
      <c r="G2347" s="34">
        <f t="shared" si="73"/>
        <v>-2.6055923241490118E-3</v>
      </c>
    </row>
    <row r="2348" spans="1:7" x14ac:dyDescent="0.3">
      <c r="A2348" s="33">
        <v>45826</v>
      </c>
      <c r="B2348" s="34">
        <v>1498.35</v>
      </c>
      <c r="C2348" s="34">
        <f t="shared" si="72"/>
        <v>-3.4312207823153479E-3</v>
      </c>
      <c r="E2348" s="33">
        <v>45826</v>
      </c>
      <c r="F2348" s="34">
        <v>81444.66</v>
      </c>
      <c r="G2348" s="34">
        <f t="shared" si="73"/>
        <v>-1.700812957741382E-3</v>
      </c>
    </row>
    <row r="2349" spans="1:7" x14ac:dyDescent="0.3">
      <c r="A2349" s="33">
        <v>45827</v>
      </c>
      <c r="B2349" s="34">
        <v>1483.15</v>
      </c>
      <c r="C2349" s="34">
        <f t="shared" si="72"/>
        <v>-1.0196298298263936E-2</v>
      </c>
      <c r="E2349" s="33">
        <v>45827</v>
      </c>
      <c r="F2349" s="34">
        <v>81361.87</v>
      </c>
      <c r="G2349" s="34">
        <f t="shared" si="73"/>
        <v>-1.0170354608778341E-3</v>
      </c>
    </row>
    <row r="2350" spans="1:7" x14ac:dyDescent="0.3">
      <c r="A2350" s="33">
        <v>45828</v>
      </c>
      <c r="B2350" s="34">
        <v>1500.5</v>
      </c>
      <c r="C2350" s="34">
        <f t="shared" si="72"/>
        <v>1.1630181532417346E-2</v>
      </c>
      <c r="E2350" s="33">
        <v>45828</v>
      </c>
      <c r="F2350" s="34">
        <v>82408.17</v>
      </c>
      <c r="G2350" s="34">
        <f t="shared" si="73"/>
        <v>1.2777846742154911E-2</v>
      </c>
    </row>
    <row r="2351" spans="1:7" x14ac:dyDescent="0.3">
      <c r="A2351" s="33">
        <v>45831</v>
      </c>
      <c r="B2351" s="34">
        <v>1498.35</v>
      </c>
      <c r="C2351" s="34">
        <f t="shared" si="72"/>
        <v>-1.4338832341534553E-3</v>
      </c>
      <c r="E2351" s="33">
        <v>45831</v>
      </c>
      <c r="F2351" s="34">
        <v>81896.789999999994</v>
      </c>
      <c r="G2351" s="34">
        <f t="shared" si="73"/>
        <v>-6.2247865340592512E-3</v>
      </c>
    </row>
    <row r="2352" spans="1:7" x14ac:dyDescent="0.3">
      <c r="A2352" s="33">
        <v>45832</v>
      </c>
      <c r="B2352" s="34">
        <v>1502.85</v>
      </c>
      <c r="C2352" s="34">
        <f t="shared" si="72"/>
        <v>2.9988027271132369E-3</v>
      </c>
      <c r="E2352" s="33">
        <v>45832</v>
      </c>
      <c r="F2352" s="34">
        <v>82055.11</v>
      </c>
      <c r="G2352" s="34">
        <f t="shared" si="73"/>
        <v>1.931298743229152E-3</v>
      </c>
    </row>
    <row r="2353" spans="1:7" x14ac:dyDescent="0.3">
      <c r="A2353" s="33">
        <v>45833</v>
      </c>
      <c r="B2353" s="34">
        <v>1510</v>
      </c>
      <c r="C2353" s="34">
        <f t="shared" si="72"/>
        <v>4.7463454355884749E-3</v>
      </c>
      <c r="E2353" s="33">
        <v>45833</v>
      </c>
      <c r="F2353" s="34">
        <v>82755.509999999995</v>
      </c>
      <c r="G2353" s="34">
        <f t="shared" si="73"/>
        <v>8.4995034481868646E-3</v>
      </c>
    </row>
    <row r="2354" spans="1:7" x14ac:dyDescent="0.3">
      <c r="A2354" s="33">
        <v>45834</v>
      </c>
      <c r="B2354" s="34">
        <v>1512.75</v>
      </c>
      <c r="C2354" s="34">
        <f t="shared" si="72"/>
        <v>1.819535693460736E-3</v>
      </c>
      <c r="E2354" s="33">
        <v>45834</v>
      </c>
      <c r="F2354" s="34">
        <v>83755.87</v>
      </c>
      <c r="G2354" s="34">
        <f t="shared" si="73"/>
        <v>1.2015659658121529E-2</v>
      </c>
    </row>
    <row r="2355" spans="1:7" x14ac:dyDescent="0.3">
      <c r="A2355" s="33">
        <v>45835</v>
      </c>
      <c r="B2355" s="34">
        <v>1502.75</v>
      </c>
      <c r="C2355" s="34">
        <f t="shared" si="72"/>
        <v>-6.6324235831593708E-3</v>
      </c>
      <c r="E2355" s="33">
        <v>45835</v>
      </c>
      <c r="F2355" s="34">
        <v>84058.9</v>
      </c>
      <c r="G2355" s="34">
        <f t="shared" si="73"/>
        <v>3.6114857990626678E-3</v>
      </c>
    </row>
    <row r="2356" spans="1:7" x14ac:dyDescent="0.3">
      <c r="A2356" s="33">
        <v>45838</v>
      </c>
      <c r="B2356" s="34">
        <v>1505.3</v>
      </c>
      <c r="C2356" s="34">
        <f t="shared" si="72"/>
        <v>1.6954509471868075E-3</v>
      </c>
      <c r="E2356" s="33">
        <v>45838</v>
      </c>
      <c r="F2356" s="34">
        <v>83606.460000000006</v>
      </c>
      <c r="G2356" s="34">
        <f t="shared" si="73"/>
        <v>-5.396953767773968E-3</v>
      </c>
    </row>
    <row r="2357" spans="1:7" x14ac:dyDescent="0.3">
      <c r="A2357" s="33">
        <v>45839</v>
      </c>
      <c r="B2357" s="34">
        <v>1515.95</v>
      </c>
      <c r="C2357" s="34">
        <f t="shared" si="72"/>
        <v>7.0500912616131076E-3</v>
      </c>
      <c r="E2357" s="33">
        <v>45839</v>
      </c>
      <c r="F2357" s="34">
        <v>83697.289999999994</v>
      </c>
      <c r="G2357" s="34">
        <f t="shared" si="73"/>
        <v>1.0858095998911679E-3</v>
      </c>
    </row>
    <row r="2358" spans="1:7" x14ac:dyDescent="0.3">
      <c r="A2358" s="33">
        <v>45840</v>
      </c>
      <c r="B2358" s="34">
        <v>1497.25</v>
      </c>
      <c r="C2358" s="34">
        <f t="shared" si="72"/>
        <v>-1.2412212983499581E-2</v>
      </c>
      <c r="E2358" s="33">
        <v>45840</v>
      </c>
      <c r="F2358" s="34">
        <v>83409.69</v>
      </c>
      <c r="G2358" s="34">
        <f t="shared" si="73"/>
        <v>-3.4421097665683171E-3</v>
      </c>
    </row>
    <row r="2359" spans="1:7" x14ac:dyDescent="0.3">
      <c r="A2359" s="33">
        <v>45841</v>
      </c>
      <c r="B2359" s="34">
        <v>1508.55</v>
      </c>
      <c r="C2359" s="34">
        <f t="shared" si="72"/>
        <v>7.518832414027319E-3</v>
      </c>
      <c r="E2359" s="33">
        <v>45841</v>
      </c>
      <c r="F2359" s="34">
        <v>83239.47</v>
      </c>
      <c r="G2359" s="34">
        <f t="shared" si="73"/>
        <v>-2.0428552918917158E-3</v>
      </c>
    </row>
    <row r="2360" spans="1:7" x14ac:dyDescent="0.3">
      <c r="A2360" s="33">
        <v>45842</v>
      </c>
      <c r="B2360" s="34">
        <v>1513.5</v>
      </c>
      <c r="C2360" s="34">
        <f t="shared" si="72"/>
        <v>3.2759249031743629E-3</v>
      </c>
      <c r="E2360" s="33">
        <v>45842</v>
      </c>
      <c r="F2360" s="34">
        <v>83432.89</v>
      </c>
      <c r="G2360" s="34">
        <f t="shared" si="73"/>
        <v>2.3209617578732696E-3</v>
      </c>
    </row>
    <row r="2361" spans="1:7" x14ac:dyDescent="0.3">
      <c r="A2361" s="33">
        <v>45845</v>
      </c>
      <c r="B2361" s="34">
        <v>1510.85</v>
      </c>
      <c r="C2361" s="34">
        <f t="shared" si="72"/>
        <v>-1.7524431221199353E-3</v>
      </c>
      <c r="E2361" s="33">
        <v>45845</v>
      </c>
      <c r="F2361" s="34">
        <v>83442.5</v>
      </c>
      <c r="G2361" s="34">
        <f t="shared" si="73"/>
        <v>1.1517576091502651E-4</v>
      </c>
    </row>
    <row r="2362" spans="1:7" x14ac:dyDescent="0.3">
      <c r="A2362" s="33">
        <v>45846</v>
      </c>
      <c r="B2362" s="34">
        <v>1488.15</v>
      </c>
      <c r="C2362" s="34">
        <f t="shared" si="72"/>
        <v>-1.5138668575632107E-2</v>
      </c>
      <c r="E2362" s="33">
        <v>45846</v>
      </c>
      <c r="F2362" s="34">
        <v>83712.509999999995</v>
      </c>
      <c r="G2362" s="34">
        <f t="shared" si="73"/>
        <v>3.2306567998694096E-3</v>
      </c>
    </row>
    <row r="2363" spans="1:7" x14ac:dyDescent="0.3">
      <c r="A2363" s="33">
        <v>45847</v>
      </c>
      <c r="B2363" s="34">
        <v>1491.8</v>
      </c>
      <c r="C2363" s="34">
        <f t="shared" si="72"/>
        <v>2.4497067570416974E-3</v>
      </c>
      <c r="E2363" s="33">
        <v>45847</v>
      </c>
      <c r="F2363" s="34">
        <v>83536.08</v>
      </c>
      <c r="G2363" s="34">
        <f t="shared" si="73"/>
        <v>-2.109794353952186E-3</v>
      </c>
    </row>
    <row r="2364" spans="1:7" x14ac:dyDescent="0.3">
      <c r="A2364" s="33">
        <v>45848</v>
      </c>
      <c r="B2364" s="34">
        <v>1477.3</v>
      </c>
      <c r="C2364" s="34">
        <f t="shared" si="72"/>
        <v>-9.7673471935004284E-3</v>
      </c>
      <c r="E2364" s="33">
        <v>45848</v>
      </c>
      <c r="F2364" s="34">
        <v>83190.28</v>
      </c>
      <c r="G2364" s="34">
        <f t="shared" si="73"/>
        <v>-4.148120259392798E-3</v>
      </c>
    </row>
    <row r="2365" spans="1:7" x14ac:dyDescent="0.3">
      <c r="A2365" s="33">
        <v>45849</v>
      </c>
      <c r="B2365" s="34">
        <v>1485.05</v>
      </c>
      <c r="C2365" s="34">
        <f t="shared" si="72"/>
        <v>5.2323443760846598E-3</v>
      </c>
      <c r="E2365" s="33">
        <v>45849</v>
      </c>
      <c r="F2365" s="34">
        <v>82500.47</v>
      </c>
      <c r="G2365" s="34">
        <f t="shared" si="73"/>
        <v>-8.3265237851848466E-3</v>
      </c>
    </row>
    <row r="2366" spans="1:7" x14ac:dyDescent="0.3">
      <c r="A2366" s="33">
        <v>45852</v>
      </c>
      <c r="B2366" s="34">
        <v>1484.6</v>
      </c>
      <c r="C2366" s="34">
        <f t="shared" si="72"/>
        <v>-3.0306602020060573E-4</v>
      </c>
      <c r="E2366" s="33">
        <v>45852</v>
      </c>
      <c r="F2366" s="34">
        <v>82253.460000000006</v>
      </c>
      <c r="G2366" s="34">
        <f t="shared" si="73"/>
        <v>-2.9985346641082803E-3</v>
      </c>
    </row>
    <row r="2367" spans="1:7" x14ac:dyDescent="0.3">
      <c r="A2367" s="33">
        <v>45853</v>
      </c>
      <c r="B2367" s="34">
        <v>1490.9</v>
      </c>
      <c r="C2367" s="34">
        <f t="shared" si="72"/>
        <v>4.2345887509070588E-3</v>
      </c>
      <c r="E2367" s="33">
        <v>45853</v>
      </c>
      <c r="F2367" s="34">
        <v>82570.91</v>
      </c>
      <c r="G2367" s="34">
        <f t="shared" si="73"/>
        <v>3.8519836905301628E-3</v>
      </c>
    </row>
    <row r="2368" spans="1:7" x14ac:dyDescent="0.3">
      <c r="A2368" s="33">
        <v>45854</v>
      </c>
      <c r="B2368" s="34">
        <v>1473.7</v>
      </c>
      <c r="C2368" s="34">
        <f t="shared" si="72"/>
        <v>-1.1603719215136218E-2</v>
      </c>
      <c r="E2368" s="33">
        <v>45854</v>
      </c>
      <c r="F2368" s="34">
        <v>82634.48</v>
      </c>
      <c r="G2368" s="34">
        <f t="shared" si="73"/>
        <v>7.6958751936028597E-4</v>
      </c>
    </row>
    <row r="2369" spans="1:7" x14ac:dyDescent="0.3">
      <c r="A2369" s="33">
        <v>45855</v>
      </c>
      <c r="B2369" s="34">
        <v>1482.45</v>
      </c>
      <c r="C2369" s="34">
        <f t="shared" si="72"/>
        <v>5.9198792710852561E-3</v>
      </c>
      <c r="E2369" s="33">
        <v>45855</v>
      </c>
      <c r="F2369" s="34">
        <v>82259.240000000005</v>
      </c>
      <c r="G2369" s="34">
        <f t="shared" si="73"/>
        <v>-4.5513030785865978E-3</v>
      </c>
    </row>
    <row r="2370" spans="1:7" x14ac:dyDescent="0.3">
      <c r="A2370" s="33">
        <v>45856</v>
      </c>
      <c r="B2370" s="34">
        <v>1482.05</v>
      </c>
      <c r="C2370" s="34">
        <f t="shared" si="72"/>
        <v>-2.6986001175747918E-4</v>
      </c>
      <c r="E2370" s="33">
        <v>45856</v>
      </c>
      <c r="F2370" s="34">
        <v>81757.73</v>
      </c>
      <c r="G2370" s="34">
        <f t="shared" si="73"/>
        <v>-6.1153618792050887E-3</v>
      </c>
    </row>
    <row r="2371" spans="1:7" x14ac:dyDescent="0.3">
      <c r="A2371" s="33">
        <v>45859</v>
      </c>
      <c r="B2371" s="34">
        <v>1475.5</v>
      </c>
      <c r="C2371" s="34">
        <f t="shared" si="72"/>
        <v>-4.4293490955509629E-3</v>
      </c>
      <c r="E2371" s="33">
        <v>45859</v>
      </c>
      <c r="F2371" s="34">
        <v>82200.34</v>
      </c>
      <c r="G2371" s="34">
        <f t="shared" si="73"/>
        <v>5.3990764245261651E-3</v>
      </c>
    </row>
    <row r="2372" spans="1:7" x14ac:dyDescent="0.3">
      <c r="A2372" s="33">
        <v>45860</v>
      </c>
      <c r="B2372" s="34">
        <v>1465</v>
      </c>
      <c r="C2372" s="34">
        <f t="shared" si="72"/>
        <v>-7.141672931826425E-3</v>
      </c>
      <c r="E2372" s="33">
        <v>45860</v>
      </c>
      <c r="F2372" s="34">
        <v>82186.81</v>
      </c>
      <c r="G2372" s="34">
        <f t="shared" si="73"/>
        <v>-1.6461140704182662E-4</v>
      </c>
    </row>
    <row r="2373" spans="1:7" x14ac:dyDescent="0.3">
      <c r="A2373" s="33">
        <v>45861</v>
      </c>
      <c r="B2373" s="34">
        <v>1473.35</v>
      </c>
      <c r="C2373" s="34">
        <f t="shared" si="72"/>
        <v>5.6834771056782319E-3</v>
      </c>
      <c r="E2373" s="33">
        <v>45861</v>
      </c>
      <c r="F2373" s="34">
        <v>82726.64</v>
      </c>
      <c r="G2373" s="34">
        <f t="shared" si="73"/>
        <v>6.5468514320486402E-3</v>
      </c>
    </row>
    <row r="2374" spans="1:7" x14ac:dyDescent="0.3">
      <c r="A2374" s="33">
        <v>45862</v>
      </c>
      <c r="B2374" s="34">
        <v>1487.25</v>
      </c>
      <c r="C2374" s="34">
        <f t="shared" si="72"/>
        <v>9.3900575111689755E-3</v>
      </c>
      <c r="E2374" s="33">
        <v>45862</v>
      </c>
      <c r="F2374" s="34">
        <v>82184.17</v>
      </c>
      <c r="G2374" s="34">
        <f t="shared" si="73"/>
        <v>-6.5789738906508266E-3</v>
      </c>
    </row>
    <row r="2375" spans="1:7" x14ac:dyDescent="0.3">
      <c r="A2375" s="33">
        <v>45863</v>
      </c>
      <c r="B2375" s="34">
        <v>1531.1</v>
      </c>
      <c r="C2375" s="34">
        <f t="shared" ref="C2375:C2438" si="74">LN(B2375/B2374)</f>
        <v>2.9057654243034393E-2</v>
      </c>
      <c r="E2375" s="33">
        <v>45863</v>
      </c>
      <c r="F2375" s="34">
        <v>81463.09</v>
      </c>
      <c r="G2375" s="34">
        <f t="shared" ref="G2375:G2438" si="75">LN(F2375/F2374)</f>
        <v>-8.8126702124193702E-3</v>
      </c>
    </row>
    <row r="2376" spans="1:7" x14ac:dyDescent="0.3">
      <c r="A2376" s="33">
        <v>45866</v>
      </c>
      <c r="B2376" s="34">
        <v>1570.95</v>
      </c>
      <c r="C2376" s="34">
        <f t="shared" si="74"/>
        <v>2.5694100576215021E-2</v>
      </c>
      <c r="E2376" s="33">
        <v>45866</v>
      </c>
      <c r="F2376" s="34">
        <v>80891.02</v>
      </c>
      <c r="G2376" s="34">
        <f t="shared" si="75"/>
        <v>-7.0472175612989168E-3</v>
      </c>
    </row>
    <row r="2377" spans="1:7" x14ac:dyDescent="0.3">
      <c r="A2377" s="33">
        <v>45867</v>
      </c>
      <c r="B2377" s="34">
        <v>1574</v>
      </c>
      <c r="C2377" s="34">
        <f t="shared" si="74"/>
        <v>1.9396180900841406E-3</v>
      </c>
      <c r="E2377" s="33">
        <v>45867</v>
      </c>
      <c r="F2377" s="34">
        <v>81337.95</v>
      </c>
      <c r="G2377" s="34">
        <f t="shared" si="75"/>
        <v>5.509880641996953E-3</v>
      </c>
    </row>
    <row r="2378" spans="1:7" x14ac:dyDescent="0.3">
      <c r="A2378" s="33">
        <v>45868</v>
      </c>
      <c r="B2378" s="34">
        <v>1559.8</v>
      </c>
      <c r="C2378" s="34">
        <f t="shared" si="74"/>
        <v>-9.0625420809509437E-3</v>
      </c>
      <c r="E2378" s="33">
        <v>45868</v>
      </c>
      <c r="F2378" s="34">
        <v>81481.86</v>
      </c>
      <c r="G2378" s="34">
        <f t="shared" si="75"/>
        <v>1.7677214765775379E-3</v>
      </c>
    </row>
    <row r="2379" spans="1:7" x14ac:dyDescent="0.3">
      <c r="A2379" s="33">
        <v>45869</v>
      </c>
      <c r="B2379" s="34">
        <v>1554.2</v>
      </c>
      <c r="C2379" s="34">
        <f t="shared" si="74"/>
        <v>-3.5966641212557713E-3</v>
      </c>
      <c r="E2379" s="33">
        <v>45869</v>
      </c>
      <c r="F2379" s="34">
        <v>81185.58</v>
      </c>
      <c r="G2379" s="34">
        <f t="shared" si="75"/>
        <v>-3.6427735953952745E-3</v>
      </c>
    </row>
    <row r="2380" spans="1:7" x14ac:dyDescent="0.3">
      <c r="A2380" s="33">
        <v>45870</v>
      </c>
      <c r="B2380" s="34">
        <v>1501.2</v>
      </c>
      <c r="C2380" s="34">
        <f t="shared" si="74"/>
        <v>-3.46961555142761E-2</v>
      </c>
      <c r="E2380" s="33">
        <v>45870</v>
      </c>
      <c r="F2380" s="34">
        <v>80599.91</v>
      </c>
      <c r="G2380" s="34">
        <f t="shared" si="75"/>
        <v>-7.2401123037891526E-3</v>
      </c>
    </row>
    <row r="2381" spans="1:7" x14ac:dyDescent="0.3">
      <c r="A2381" s="33">
        <v>45873</v>
      </c>
      <c r="B2381" s="34">
        <v>1515.45</v>
      </c>
      <c r="C2381" s="34">
        <f t="shared" si="74"/>
        <v>9.4476362809850951E-3</v>
      </c>
      <c r="E2381" s="33">
        <v>45873</v>
      </c>
      <c r="F2381" s="34">
        <v>81018.720000000001</v>
      </c>
      <c r="G2381" s="34">
        <f t="shared" si="75"/>
        <v>5.1827061948420319E-3</v>
      </c>
    </row>
    <row r="2382" spans="1:7" x14ac:dyDescent="0.3">
      <c r="A2382" s="33">
        <v>45874</v>
      </c>
      <c r="B2382" s="34">
        <v>1499.25</v>
      </c>
      <c r="C2382" s="34">
        <f t="shared" si="74"/>
        <v>-1.0747441493231905E-2</v>
      </c>
      <c r="E2382" s="33">
        <v>45874</v>
      </c>
      <c r="F2382" s="34">
        <v>80710.25</v>
      </c>
      <c r="G2382" s="34">
        <f t="shared" si="75"/>
        <v>-3.8146582404051362E-3</v>
      </c>
    </row>
    <row r="2383" spans="1:7" x14ac:dyDescent="0.3">
      <c r="A2383" s="33">
        <v>45875</v>
      </c>
      <c r="B2383" s="34">
        <v>1487.1</v>
      </c>
      <c r="C2383" s="34">
        <f t="shared" si="74"/>
        <v>-8.1370683539812843E-3</v>
      </c>
      <c r="E2383" s="33">
        <v>45875</v>
      </c>
      <c r="F2383" s="34">
        <v>80543.990000000005</v>
      </c>
      <c r="G2383" s="34">
        <f t="shared" si="75"/>
        <v>-2.0620860439292286E-3</v>
      </c>
    </row>
    <row r="2384" spans="1:7" x14ac:dyDescent="0.3">
      <c r="A2384" s="33">
        <v>45876</v>
      </c>
      <c r="B2384" s="34">
        <v>1491.4</v>
      </c>
      <c r="C2384" s="34">
        <f t="shared" si="74"/>
        <v>2.8873614150567739E-3</v>
      </c>
      <c r="E2384" s="33">
        <v>45876</v>
      </c>
      <c r="F2384" s="34">
        <v>80623.259999999995</v>
      </c>
      <c r="G2384" s="34">
        <f t="shared" si="75"/>
        <v>9.8369869054918172E-4</v>
      </c>
    </row>
    <row r="2385" spans="1:7" x14ac:dyDescent="0.3">
      <c r="A2385" s="33">
        <v>45877</v>
      </c>
      <c r="B2385" s="34">
        <v>1485.45</v>
      </c>
      <c r="C2385" s="34">
        <f t="shared" si="74"/>
        <v>-3.9975194742730329E-3</v>
      </c>
      <c r="E2385" s="33">
        <v>45877</v>
      </c>
      <c r="F2385" s="34">
        <v>79857.789999999994</v>
      </c>
      <c r="G2385" s="34">
        <f t="shared" si="75"/>
        <v>-9.5397656640470712E-3</v>
      </c>
    </row>
    <row r="2386" spans="1:7" x14ac:dyDescent="0.3">
      <c r="A2386" s="33">
        <v>45880</v>
      </c>
      <c r="B2386" s="34">
        <v>1503.45</v>
      </c>
      <c r="C2386" s="34">
        <f t="shared" si="74"/>
        <v>1.2044710503563434E-2</v>
      </c>
      <c r="E2386" s="33">
        <v>45880</v>
      </c>
      <c r="F2386" s="34">
        <v>80604.08</v>
      </c>
      <c r="G2386" s="34">
        <f t="shared" si="75"/>
        <v>9.3018407551517628E-3</v>
      </c>
    </row>
    <row r="2387" spans="1:7" x14ac:dyDescent="0.3">
      <c r="A2387" s="33">
        <v>45881</v>
      </c>
      <c r="B2387" s="34">
        <v>1520.7</v>
      </c>
      <c r="C2387" s="34">
        <f t="shared" si="74"/>
        <v>1.1408288007428402E-2</v>
      </c>
      <c r="E2387" s="33">
        <v>45881</v>
      </c>
      <c r="F2387" s="34">
        <v>80235.59</v>
      </c>
      <c r="G2387" s="34">
        <f t="shared" si="75"/>
        <v>-4.5820865551343968E-3</v>
      </c>
    </row>
    <row r="2388" spans="1:7" x14ac:dyDescent="0.3">
      <c r="A2388" s="33">
        <v>45882</v>
      </c>
      <c r="B2388" s="34">
        <v>1561.85</v>
      </c>
      <c r="C2388" s="34">
        <f t="shared" si="74"/>
        <v>2.6700260912138538E-2</v>
      </c>
      <c r="E2388" s="33">
        <v>45882</v>
      </c>
      <c r="F2388" s="34">
        <v>80539.91</v>
      </c>
      <c r="G2388" s="34">
        <f t="shared" si="75"/>
        <v>3.7856559418433687E-3</v>
      </c>
    </row>
    <row r="2389" spans="1:7" x14ac:dyDescent="0.3">
      <c r="A2389" s="33">
        <v>45883</v>
      </c>
      <c r="B2389" s="34">
        <v>1563.75</v>
      </c>
      <c r="C2389" s="34">
        <f t="shared" si="74"/>
        <v>1.2157667225689282E-3</v>
      </c>
      <c r="E2389" s="33">
        <v>45883</v>
      </c>
      <c r="F2389" s="34">
        <v>80597.66</v>
      </c>
      <c r="G2389" s="34">
        <f t="shared" si="75"/>
        <v>7.1677886755436987E-4</v>
      </c>
    </row>
    <row r="2390" spans="1:7" x14ac:dyDescent="0.3">
      <c r="A2390" s="33">
        <v>45887</v>
      </c>
      <c r="B2390" s="34">
        <v>1564.4</v>
      </c>
      <c r="C2390" s="34">
        <f t="shared" si="74"/>
        <v>4.1558110023814997E-4</v>
      </c>
      <c r="E2390" s="33">
        <v>45887</v>
      </c>
      <c r="F2390" s="34">
        <v>81273.75</v>
      </c>
      <c r="G2390" s="34">
        <f t="shared" si="75"/>
        <v>8.3534693555106579E-3</v>
      </c>
    </row>
    <row r="2391" spans="1:7" x14ac:dyDescent="0.3">
      <c r="A2391" s="33">
        <v>45888</v>
      </c>
      <c r="B2391" s="34">
        <v>1548.9</v>
      </c>
      <c r="C2391" s="34">
        <f t="shared" si="74"/>
        <v>-9.9573623276459407E-3</v>
      </c>
      <c r="E2391" s="33">
        <v>45888</v>
      </c>
      <c r="F2391" s="34">
        <v>81644.39</v>
      </c>
      <c r="G2391" s="34">
        <f t="shared" si="75"/>
        <v>4.5500229678224272E-3</v>
      </c>
    </row>
    <row r="2392" spans="1:7" x14ac:dyDescent="0.3">
      <c r="A2392" s="33">
        <v>45889</v>
      </c>
      <c r="B2392" s="34">
        <v>1545.85</v>
      </c>
      <c r="C2392" s="34">
        <f t="shared" si="74"/>
        <v>-1.9710806930951651E-3</v>
      </c>
      <c r="E2392" s="33">
        <v>45889</v>
      </c>
      <c r="F2392" s="34">
        <v>81857.84</v>
      </c>
      <c r="G2392" s="34">
        <f t="shared" si="75"/>
        <v>2.6109750461601536E-3</v>
      </c>
    </row>
    <row r="2393" spans="1:7" x14ac:dyDescent="0.3">
      <c r="A2393" s="33">
        <v>45890</v>
      </c>
      <c r="B2393" s="34">
        <v>1592.8</v>
      </c>
      <c r="C2393" s="34">
        <f t="shared" si="74"/>
        <v>2.9919552889368532E-2</v>
      </c>
      <c r="E2393" s="33">
        <v>45890</v>
      </c>
      <c r="F2393" s="34">
        <v>82000.710000000006</v>
      </c>
      <c r="G2393" s="34">
        <f t="shared" si="75"/>
        <v>1.7438215607865771E-3</v>
      </c>
    </row>
    <row r="2394" spans="1:7" x14ac:dyDescent="0.3">
      <c r="A2394" s="33">
        <v>45891</v>
      </c>
      <c r="B2394" s="34">
        <v>1592.3</v>
      </c>
      <c r="C2394" s="34">
        <f t="shared" si="74"/>
        <v>-3.1396188760616513E-4</v>
      </c>
      <c r="E2394" s="33">
        <v>45891</v>
      </c>
      <c r="F2394" s="34">
        <v>81306.850000000006</v>
      </c>
      <c r="G2394" s="34">
        <f t="shared" si="75"/>
        <v>-8.4976369163543997E-3</v>
      </c>
    </row>
    <row r="2395" spans="1:7" x14ac:dyDescent="0.3">
      <c r="A2395" s="33">
        <v>45894</v>
      </c>
      <c r="B2395" s="34">
        <v>1601.1</v>
      </c>
      <c r="C2395" s="34">
        <f t="shared" si="74"/>
        <v>5.5113811456283489E-3</v>
      </c>
      <c r="E2395" s="33">
        <v>45894</v>
      </c>
      <c r="F2395" s="34">
        <v>81635.91</v>
      </c>
      <c r="G2395" s="34">
        <f t="shared" si="75"/>
        <v>4.0389698485176831E-3</v>
      </c>
    </row>
    <row r="2396" spans="1:7" x14ac:dyDescent="0.3">
      <c r="A2396" s="33">
        <v>45895</v>
      </c>
      <c r="B2396" s="34">
        <v>1579.85</v>
      </c>
      <c r="C2396" s="34">
        <f t="shared" si="74"/>
        <v>-1.3360987202631652E-2</v>
      </c>
      <c r="E2396" s="33">
        <v>45895</v>
      </c>
      <c r="F2396" s="34">
        <v>80786.539999999994</v>
      </c>
      <c r="G2396" s="34">
        <f t="shared" si="75"/>
        <v>-1.0458871203565267E-2</v>
      </c>
    </row>
    <row r="2397" spans="1:7" x14ac:dyDescent="0.3">
      <c r="A2397" s="33">
        <v>45897</v>
      </c>
      <c r="B2397" s="34">
        <v>1578.55</v>
      </c>
      <c r="C2397" s="34">
        <f t="shared" si="74"/>
        <v>-8.23201667561575E-4</v>
      </c>
      <c r="E2397" s="33">
        <v>45897</v>
      </c>
      <c r="F2397" s="34">
        <v>80080.570000000007</v>
      </c>
      <c r="G2397" s="34">
        <f t="shared" si="75"/>
        <v>-8.7771146282006121E-3</v>
      </c>
    </row>
    <row r="2398" spans="1:7" x14ac:dyDescent="0.3">
      <c r="A2398" s="33">
        <v>45898</v>
      </c>
      <c r="B2398" s="34">
        <v>1589.65</v>
      </c>
      <c r="C2398" s="34">
        <f t="shared" si="74"/>
        <v>7.0071620590613235E-3</v>
      </c>
      <c r="E2398" s="33">
        <v>45898</v>
      </c>
      <c r="F2398" s="34">
        <v>79809.649999999994</v>
      </c>
      <c r="G2398" s="34">
        <f t="shared" si="75"/>
        <v>-3.3888284008110831E-3</v>
      </c>
    </row>
    <row r="2399" spans="1:7" x14ac:dyDescent="0.3">
      <c r="A2399" s="33">
        <v>45901</v>
      </c>
      <c r="B2399" s="34">
        <v>1587.6</v>
      </c>
      <c r="C2399" s="34">
        <f t="shared" si="74"/>
        <v>-1.2904242879666185E-3</v>
      </c>
      <c r="E2399" s="33">
        <v>45901</v>
      </c>
      <c r="F2399" s="34">
        <v>80364.490000000005</v>
      </c>
      <c r="G2399" s="34">
        <f t="shared" si="75"/>
        <v>6.9279874918637407E-3</v>
      </c>
    </row>
    <row r="2400" spans="1:7" x14ac:dyDescent="0.3">
      <c r="A2400" s="33">
        <v>45902</v>
      </c>
      <c r="B2400" s="34">
        <v>1568.95</v>
      </c>
      <c r="C2400" s="34">
        <f t="shared" si="74"/>
        <v>-1.1816836115140028E-2</v>
      </c>
      <c r="E2400" s="33">
        <v>45902</v>
      </c>
      <c r="F2400" s="34">
        <v>80157.88</v>
      </c>
      <c r="G2400" s="34">
        <f t="shared" si="75"/>
        <v>-2.5742220737683744E-3</v>
      </c>
    </row>
    <row r="2401" spans="1:7" x14ac:dyDescent="0.3">
      <c r="A2401" s="33">
        <v>45903</v>
      </c>
      <c r="B2401" s="34">
        <v>1579</v>
      </c>
      <c r="C2401" s="34">
        <f t="shared" si="74"/>
        <v>6.3851294618718505E-3</v>
      </c>
      <c r="E2401" s="33">
        <v>45903</v>
      </c>
      <c r="F2401" s="34">
        <v>80567.710000000006</v>
      </c>
      <c r="G2401" s="34">
        <f t="shared" si="75"/>
        <v>5.0997590143822026E-3</v>
      </c>
    </row>
    <row r="2402" spans="1:7" x14ac:dyDescent="0.3">
      <c r="A2402" s="33">
        <v>45904</v>
      </c>
      <c r="B2402" s="34">
        <v>1577.65</v>
      </c>
      <c r="C2402" s="34">
        <f t="shared" si="74"/>
        <v>-8.5533719753861379E-4</v>
      </c>
      <c r="E2402" s="33">
        <v>45904</v>
      </c>
      <c r="F2402" s="34">
        <v>80718.009999999995</v>
      </c>
      <c r="G2402" s="34">
        <f t="shared" si="75"/>
        <v>1.8637737241397265E-3</v>
      </c>
    </row>
    <row r="2403" spans="1:7" x14ac:dyDescent="0.3">
      <c r="A2403" s="33">
        <v>45905</v>
      </c>
      <c r="B2403" s="34">
        <v>1553.3</v>
      </c>
      <c r="C2403" s="34">
        <f t="shared" si="74"/>
        <v>-1.5554698064241975E-2</v>
      </c>
      <c r="E2403" s="33">
        <v>45905</v>
      </c>
      <c r="F2403" s="34">
        <v>80710.759999999995</v>
      </c>
      <c r="G2403" s="34">
        <f t="shared" si="75"/>
        <v>-8.9822898419889517E-5</v>
      </c>
    </row>
    <row r="2404" spans="1:7" x14ac:dyDescent="0.3">
      <c r="A2404" s="33">
        <v>45908</v>
      </c>
      <c r="B2404" s="34">
        <v>1541.4</v>
      </c>
      <c r="C2404" s="34">
        <f t="shared" si="74"/>
        <v>-7.6906056499685032E-3</v>
      </c>
      <c r="E2404" s="33">
        <v>45908</v>
      </c>
      <c r="F2404" s="34">
        <v>80787.3</v>
      </c>
      <c r="G2404" s="34">
        <f t="shared" si="75"/>
        <v>9.4787523429988769E-4</v>
      </c>
    </row>
    <row r="2405" spans="1:7" x14ac:dyDescent="0.3">
      <c r="A2405" s="33">
        <v>45909</v>
      </c>
      <c r="B2405" s="34">
        <v>1551.85</v>
      </c>
      <c r="C2405" s="34">
        <f t="shared" si="74"/>
        <v>6.7566732438726629E-3</v>
      </c>
      <c r="E2405" s="33">
        <v>45909</v>
      </c>
      <c r="F2405" s="34">
        <v>81101.320000000007</v>
      </c>
      <c r="G2405" s="34">
        <f t="shared" si="75"/>
        <v>3.879462235693484E-3</v>
      </c>
    </row>
    <row r="2406" spans="1:7" x14ac:dyDescent="0.3">
      <c r="A2406" s="33">
        <v>45910</v>
      </c>
      <c r="B2406" s="34">
        <v>1563.7</v>
      </c>
      <c r="C2406" s="34">
        <f t="shared" si="74"/>
        <v>7.6070402616990537E-3</v>
      </c>
      <c r="E2406" s="33">
        <v>45910</v>
      </c>
      <c r="F2406" s="34">
        <v>81425.149999999994</v>
      </c>
      <c r="G2406" s="34">
        <f t="shared" si="75"/>
        <v>3.9849561555301656E-3</v>
      </c>
    </row>
    <row r="2407" spans="1:7" x14ac:dyDescent="0.3">
      <c r="A2407" s="33">
        <v>45911</v>
      </c>
      <c r="B2407" s="34">
        <v>1560.9</v>
      </c>
      <c r="C2407" s="34">
        <f t="shared" si="74"/>
        <v>-1.7922298850970486E-3</v>
      </c>
      <c r="E2407" s="33">
        <v>45911</v>
      </c>
      <c r="F2407" s="34">
        <v>81548.73</v>
      </c>
      <c r="G2407" s="34">
        <f t="shared" si="75"/>
        <v>1.5165623311634705E-3</v>
      </c>
    </row>
    <row r="2408" spans="1:7" x14ac:dyDescent="0.3">
      <c r="A2408" s="33">
        <v>45912</v>
      </c>
      <c r="B2408" s="34">
        <v>1573.8</v>
      </c>
      <c r="C2408" s="34">
        <f t="shared" si="74"/>
        <v>8.2304991365154435E-3</v>
      </c>
      <c r="E2408" s="33">
        <v>45912</v>
      </c>
      <c r="F2408" s="34">
        <v>81904.7</v>
      </c>
      <c r="G2408" s="34">
        <f t="shared" si="75"/>
        <v>4.3556205920120611E-3</v>
      </c>
    </row>
    <row r="2409" spans="1:7" x14ac:dyDescent="0.3">
      <c r="A2409" s="33">
        <v>45915</v>
      </c>
      <c r="B2409" s="34">
        <v>1547.9</v>
      </c>
      <c r="C2409" s="34">
        <f t="shared" si="74"/>
        <v>-1.6593903521051116E-2</v>
      </c>
      <c r="E2409" s="33">
        <v>45915</v>
      </c>
      <c r="F2409" s="34">
        <v>81785.740000000005</v>
      </c>
      <c r="G2409" s="34">
        <f t="shared" si="75"/>
        <v>-1.4534754863242108E-3</v>
      </c>
    </row>
    <row r="2410" spans="1:7" x14ac:dyDescent="0.3">
      <c r="A2410" s="33">
        <v>45916</v>
      </c>
      <c r="B2410" s="34">
        <v>1558.25</v>
      </c>
      <c r="C2410" s="34">
        <f t="shared" si="74"/>
        <v>6.6642231091281375E-3</v>
      </c>
      <c r="E2410" s="33">
        <v>45916</v>
      </c>
      <c r="F2410" s="34">
        <v>82380.69</v>
      </c>
      <c r="G2410" s="34">
        <f t="shared" si="75"/>
        <v>7.2481640087189237E-3</v>
      </c>
    </row>
    <row r="2411" spans="1:7" x14ac:dyDescent="0.3">
      <c r="A2411" s="33">
        <v>45917</v>
      </c>
      <c r="B2411" s="34">
        <v>1559.25</v>
      </c>
      <c r="C2411" s="34">
        <f t="shared" si="74"/>
        <v>6.4153971727196697E-4</v>
      </c>
      <c r="E2411" s="33">
        <v>45917</v>
      </c>
      <c r="F2411" s="34">
        <v>82693.710000000006</v>
      </c>
      <c r="G2411" s="34">
        <f t="shared" si="75"/>
        <v>3.7924763037424682E-3</v>
      </c>
    </row>
    <row r="2412" spans="1:7" x14ac:dyDescent="0.3">
      <c r="A2412" s="33">
        <v>45918</v>
      </c>
      <c r="B2412" s="34">
        <v>1578.35</v>
      </c>
      <c r="C2412" s="34">
        <f t="shared" si="74"/>
        <v>1.2175061152174907E-2</v>
      </c>
      <c r="E2412" s="33">
        <v>45918</v>
      </c>
      <c r="F2412" s="34">
        <v>83013.960000000006</v>
      </c>
      <c r="G2412" s="34">
        <f t="shared" si="75"/>
        <v>3.8652453288902824E-3</v>
      </c>
    </row>
    <row r="2413" spans="1:7" x14ac:dyDescent="0.3">
      <c r="A2413" s="33">
        <v>45919</v>
      </c>
      <c r="B2413" s="34">
        <v>1575.45</v>
      </c>
      <c r="C2413" s="34">
        <f t="shared" si="74"/>
        <v>-1.8390518215127779E-3</v>
      </c>
      <c r="E2413" s="33">
        <v>45919</v>
      </c>
      <c r="F2413" s="34">
        <v>82626.23</v>
      </c>
      <c r="G2413" s="34">
        <f t="shared" si="75"/>
        <v>-4.681601828264853E-3</v>
      </c>
    </row>
    <row r="2414" spans="1:7" x14ac:dyDescent="0.3">
      <c r="A2414" s="33">
        <v>45922</v>
      </c>
      <c r="B2414" s="34">
        <v>1541.7</v>
      </c>
      <c r="C2414" s="34">
        <f t="shared" si="74"/>
        <v>-2.1655242070600485E-2</v>
      </c>
      <c r="E2414" s="33">
        <v>45922</v>
      </c>
      <c r="F2414" s="34">
        <v>82159.97</v>
      </c>
      <c r="G2414" s="34">
        <f t="shared" si="75"/>
        <v>-5.6589841175509392E-3</v>
      </c>
    </row>
    <row r="2415" spans="1:7" x14ac:dyDescent="0.3">
      <c r="A2415" s="33">
        <v>45923</v>
      </c>
      <c r="B2415" s="34">
        <v>1527.9</v>
      </c>
      <c r="C2415" s="34">
        <f t="shared" si="74"/>
        <v>-8.9914601076249122E-3</v>
      </c>
      <c r="E2415" s="33">
        <v>45923</v>
      </c>
      <c r="F2415" s="34">
        <v>82102.100000000006</v>
      </c>
      <c r="G2415" s="34">
        <f t="shared" si="75"/>
        <v>-7.0460578506305132E-4</v>
      </c>
    </row>
    <row r="2416" spans="1:7" x14ac:dyDescent="0.3">
      <c r="A2416" s="33">
        <v>45924</v>
      </c>
      <c r="B2416" s="34">
        <v>1537.85</v>
      </c>
      <c r="C2416" s="34">
        <f t="shared" si="74"/>
        <v>6.4910934918555483E-3</v>
      </c>
      <c r="E2416" s="33">
        <v>45924</v>
      </c>
      <c r="F2416" s="34">
        <v>81715.63</v>
      </c>
      <c r="G2416" s="34">
        <f t="shared" si="75"/>
        <v>-4.7183014558664325E-3</v>
      </c>
    </row>
    <row r="2417" spans="1:7" x14ac:dyDescent="0.3">
      <c r="A2417" s="33">
        <v>45925</v>
      </c>
      <c r="B2417" s="34">
        <v>1509.8</v>
      </c>
      <c r="C2417" s="34">
        <f t="shared" si="74"/>
        <v>-1.8408145344999759E-2</v>
      </c>
      <c r="E2417" s="33">
        <v>45925</v>
      </c>
      <c r="F2417" s="34">
        <v>81159.679999999993</v>
      </c>
      <c r="G2417" s="34">
        <f t="shared" si="75"/>
        <v>-6.8267211172575379E-3</v>
      </c>
    </row>
    <row r="2418" spans="1:7" x14ac:dyDescent="0.3">
      <c r="A2418" s="33">
        <v>45926</v>
      </c>
      <c r="B2418" s="34">
        <v>1498.95</v>
      </c>
      <c r="C2418" s="34">
        <f t="shared" si="74"/>
        <v>-7.2123287296163617E-3</v>
      </c>
      <c r="E2418" s="33">
        <v>45926</v>
      </c>
      <c r="F2418" s="34">
        <v>80426.460000000006</v>
      </c>
      <c r="G2418" s="34">
        <f t="shared" si="75"/>
        <v>-9.0753456013282496E-3</v>
      </c>
    </row>
    <row r="2419" spans="1:7" x14ac:dyDescent="0.3">
      <c r="A2419" s="33">
        <v>45929</v>
      </c>
      <c r="B2419" s="34">
        <v>1488.55</v>
      </c>
      <c r="C2419" s="34">
        <f t="shared" si="74"/>
        <v>-6.9623712209522532E-3</v>
      </c>
      <c r="E2419" s="33">
        <v>45929</v>
      </c>
      <c r="F2419" s="34">
        <v>80364.94</v>
      </c>
      <c r="G2419" s="34">
        <f t="shared" si="75"/>
        <v>-7.6521509237366294E-4</v>
      </c>
    </row>
    <row r="2420" spans="1:7" x14ac:dyDescent="0.3">
      <c r="A2420" s="33">
        <v>45930</v>
      </c>
      <c r="B2420" s="34">
        <v>1501.6</v>
      </c>
      <c r="C2420" s="34">
        <f t="shared" si="74"/>
        <v>8.7287145173432189E-3</v>
      </c>
      <c r="E2420" s="33">
        <v>45930</v>
      </c>
      <c r="F2420" s="34">
        <v>80267.62</v>
      </c>
      <c r="G2420" s="34">
        <f t="shared" si="75"/>
        <v>-1.2117096547230334E-3</v>
      </c>
    </row>
    <row r="2421" spans="1:7" x14ac:dyDescent="0.3">
      <c r="A2421" s="33">
        <v>45931</v>
      </c>
      <c r="B2421" s="34">
        <v>1513.85</v>
      </c>
      <c r="C2421" s="34">
        <f t="shared" si="74"/>
        <v>8.1248685195877638E-3</v>
      </c>
      <c r="E2421" s="33">
        <v>45931</v>
      </c>
      <c r="F2421" s="34">
        <v>80983.31</v>
      </c>
      <c r="G2421" s="34">
        <f t="shared" si="75"/>
        <v>8.8767822861958393E-3</v>
      </c>
    </row>
    <row r="2422" spans="1:7" x14ac:dyDescent="0.3">
      <c r="A2422" s="33">
        <v>45933</v>
      </c>
      <c r="B2422" s="34">
        <v>1515.65</v>
      </c>
      <c r="C2422" s="34">
        <f t="shared" si="74"/>
        <v>1.1883150432837524E-3</v>
      </c>
      <c r="E2422" s="33">
        <v>45933</v>
      </c>
      <c r="F2422" s="34">
        <v>81207.17</v>
      </c>
      <c r="G2422" s="34">
        <f t="shared" si="75"/>
        <v>2.7604597033519807E-3</v>
      </c>
    </row>
    <row r="2423" spans="1:7" x14ac:dyDescent="0.3">
      <c r="A2423" s="33">
        <v>45936</v>
      </c>
      <c r="B2423" s="34">
        <v>1513.75</v>
      </c>
      <c r="C2423" s="34">
        <f t="shared" si="74"/>
        <v>-1.2543739678684261E-3</v>
      </c>
      <c r="E2423" s="33">
        <v>45936</v>
      </c>
      <c r="F2423" s="34">
        <v>81790.12</v>
      </c>
      <c r="G2423" s="34">
        <f t="shared" si="75"/>
        <v>7.1529101558482841E-3</v>
      </c>
    </row>
    <row r="2424" spans="1:7" x14ac:dyDescent="0.3">
      <c r="A2424" s="33">
        <v>45937</v>
      </c>
      <c r="B2424" s="34">
        <v>1513.8</v>
      </c>
      <c r="C2424" s="34">
        <f t="shared" si="74"/>
        <v>3.3030007764935783E-5</v>
      </c>
      <c r="E2424" s="33">
        <v>45937</v>
      </c>
      <c r="F2424" s="34">
        <v>81926.75</v>
      </c>
      <c r="G2424" s="34">
        <f t="shared" si="75"/>
        <v>1.6691014398185714E-3</v>
      </c>
    </row>
    <row r="2425" spans="1:7" x14ac:dyDescent="0.3">
      <c r="A2425" s="33">
        <v>45938</v>
      </c>
      <c r="B2425" s="34">
        <v>1494.7</v>
      </c>
      <c r="C2425" s="34">
        <f t="shared" si="74"/>
        <v>-1.2697528083298161E-2</v>
      </c>
      <c r="E2425" s="33">
        <v>45938</v>
      </c>
      <c r="F2425" s="34">
        <v>81773.66</v>
      </c>
      <c r="G2425" s="34">
        <f t="shared" si="75"/>
        <v>-1.8703684936314496E-3</v>
      </c>
    </row>
    <row r="2426" spans="1:7" x14ac:dyDescent="0.3">
      <c r="A2426" s="33">
        <v>45939</v>
      </c>
      <c r="B2426" s="34">
        <v>1512.55</v>
      </c>
      <c r="C2426" s="34">
        <f t="shared" si="74"/>
        <v>1.1871450418068578E-2</v>
      </c>
      <c r="E2426" s="33">
        <v>45939</v>
      </c>
      <c r="F2426" s="34">
        <v>82172.100000000006</v>
      </c>
      <c r="G2426" s="34">
        <f t="shared" si="75"/>
        <v>4.8606415250531665E-3</v>
      </c>
    </row>
    <row r="2427" spans="1:7" x14ac:dyDescent="0.3">
      <c r="A2427" s="33">
        <v>45940</v>
      </c>
      <c r="B2427" s="34">
        <v>1561.55</v>
      </c>
      <c r="C2427" s="34">
        <f t="shared" si="74"/>
        <v>3.188194949376643E-2</v>
      </c>
      <c r="E2427" s="33">
        <v>45940</v>
      </c>
      <c r="F2427" s="34">
        <v>82500.820000000007</v>
      </c>
      <c r="G2427" s="34">
        <f t="shared" si="75"/>
        <v>3.9924042961068202E-3</v>
      </c>
    </row>
    <row r="2428" spans="1:7" x14ac:dyDescent="0.3">
      <c r="A2428" s="33">
        <v>45943</v>
      </c>
      <c r="B2428" s="34">
        <v>1563.9</v>
      </c>
      <c r="C2428" s="34">
        <f t="shared" si="74"/>
        <v>1.5037837385662876E-3</v>
      </c>
      <c r="E2428" s="33">
        <v>45943</v>
      </c>
      <c r="F2428" s="34">
        <v>82327.05</v>
      </c>
      <c r="G2428" s="34">
        <f t="shared" si="75"/>
        <v>-2.1085034269835499E-3</v>
      </c>
    </row>
    <row r="2429" spans="1:7" x14ac:dyDescent="0.3">
      <c r="A2429" s="33">
        <v>45944</v>
      </c>
      <c r="B2429" s="34">
        <v>1553.1</v>
      </c>
      <c r="C2429" s="34">
        <f t="shared" si="74"/>
        <v>-6.9297678662046426E-3</v>
      </c>
      <c r="E2429" s="33">
        <v>45944</v>
      </c>
      <c r="F2429" s="34">
        <v>82029.98</v>
      </c>
      <c r="G2429" s="34">
        <f t="shared" si="75"/>
        <v>-3.6149390568061346E-3</v>
      </c>
    </row>
    <row r="2430" spans="1:7" x14ac:dyDescent="0.3">
      <c r="A2430" s="33">
        <v>45945</v>
      </c>
      <c r="B2430" s="34">
        <v>1557.9</v>
      </c>
      <c r="C2430" s="34">
        <f t="shared" si="74"/>
        <v>3.0858269424176082E-3</v>
      </c>
      <c r="E2430" s="33">
        <v>45945</v>
      </c>
      <c r="F2430" s="34">
        <v>82605.429999999993</v>
      </c>
      <c r="G2430" s="34">
        <f t="shared" si="75"/>
        <v>6.9906266636516109E-3</v>
      </c>
    </row>
    <row r="2431" spans="1:7" x14ac:dyDescent="0.3">
      <c r="A2431" s="33">
        <v>45946</v>
      </c>
      <c r="B2431" s="34">
        <v>1568.65</v>
      </c>
      <c r="C2431" s="34">
        <f t="shared" si="74"/>
        <v>6.8766163099906914E-3</v>
      </c>
      <c r="E2431" s="33">
        <v>45946</v>
      </c>
      <c r="F2431" s="34">
        <v>83467.66</v>
      </c>
      <c r="G2431" s="34">
        <f t="shared" si="75"/>
        <v>1.0383834580443209E-2</v>
      </c>
    </row>
    <row r="2432" spans="1:7" x14ac:dyDescent="0.3">
      <c r="A2432" s="33">
        <v>45947</v>
      </c>
      <c r="B2432" s="34">
        <v>1577.8</v>
      </c>
      <c r="C2432" s="34">
        <f t="shared" si="74"/>
        <v>5.8160948326155511E-3</v>
      </c>
      <c r="E2432" s="33">
        <v>45947</v>
      </c>
      <c r="F2432" s="34">
        <v>83952.19</v>
      </c>
      <c r="G2432" s="34">
        <f t="shared" si="75"/>
        <v>5.7882186943284744E-3</v>
      </c>
    </row>
    <row r="2433" spans="1:7" x14ac:dyDescent="0.3">
      <c r="A2433" s="33">
        <v>45950</v>
      </c>
      <c r="B2433" s="34">
        <v>1639.3</v>
      </c>
      <c r="C2433" s="34">
        <f t="shared" si="74"/>
        <v>3.8237849771421445E-2</v>
      </c>
      <c r="E2433" s="33">
        <v>45950</v>
      </c>
      <c r="F2433" s="34">
        <v>84363.37</v>
      </c>
      <c r="G2433" s="34">
        <f t="shared" si="75"/>
        <v>4.8858325154465254E-3</v>
      </c>
    </row>
    <row r="2434" spans="1:7" x14ac:dyDescent="0.3">
      <c r="A2434" s="33">
        <v>45951</v>
      </c>
      <c r="B2434" s="34">
        <v>1663.85</v>
      </c>
      <c r="C2434" s="34">
        <f t="shared" si="74"/>
        <v>1.4864872654738584E-2</v>
      </c>
      <c r="E2434" s="33">
        <v>45951</v>
      </c>
      <c r="F2434" s="34">
        <v>84426.34</v>
      </c>
      <c r="G2434" s="34">
        <f t="shared" si="75"/>
        <v>7.4613556621878842E-4</v>
      </c>
    </row>
    <row r="2435" spans="1:7" x14ac:dyDescent="0.3">
      <c r="A2435" s="33">
        <v>45953</v>
      </c>
      <c r="B2435" s="34">
        <v>1645.25</v>
      </c>
      <c r="C2435" s="34">
        <f t="shared" si="74"/>
        <v>-1.1241845750920805E-2</v>
      </c>
      <c r="E2435" s="33">
        <v>45953</v>
      </c>
      <c r="F2435" s="34">
        <v>84556.4</v>
      </c>
      <c r="G2435" s="34">
        <f t="shared" si="75"/>
        <v>1.5393291135152578E-3</v>
      </c>
    </row>
    <row r="2436" spans="1:7" x14ac:dyDescent="0.3">
      <c r="A2436" s="33">
        <v>45954</v>
      </c>
      <c r="B2436" s="34">
        <v>1583.75</v>
      </c>
      <c r="C2436" s="34">
        <f t="shared" si="74"/>
        <v>-3.8096895700879686E-2</v>
      </c>
      <c r="E2436" s="33">
        <v>45954</v>
      </c>
      <c r="F2436" s="34">
        <v>84211.88</v>
      </c>
      <c r="G2436" s="34">
        <f t="shared" si="75"/>
        <v>-4.0827634027628332E-3</v>
      </c>
    </row>
    <row r="2437" spans="1:7" x14ac:dyDescent="0.3">
      <c r="A2437" s="33">
        <v>45957</v>
      </c>
      <c r="B2437" s="34">
        <v>1583.95</v>
      </c>
      <c r="C2437" s="34">
        <f t="shared" si="74"/>
        <v>1.2627458425100796E-4</v>
      </c>
      <c r="E2437" s="33">
        <v>45957</v>
      </c>
      <c r="F2437" s="34">
        <v>84778.84</v>
      </c>
      <c r="G2437" s="34">
        <f t="shared" si="75"/>
        <v>6.709979426373169E-3</v>
      </c>
    </row>
    <row r="2438" spans="1:7" x14ac:dyDescent="0.3">
      <c r="A2438" s="33">
        <v>45958</v>
      </c>
      <c r="B2438" s="34">
        <v>1569.85</v>
      </c>
      <c r="C2438" s="34">
        <f t="shared" si="74"/>
        <v>-8.9416538428902723E-3</v>
      </c>
      <c r="E2438" s="33">
        <v>45958</v>
      </c>
      <c r="F2438" s="34">
        <v>84628.160000000003</v>
      </c>
      <c r="G2438" s="34">
        <f t="shared" si="75"/>
        <v>-1.7789116121045042E-3</v>
      </c>
    </row>
    <row r="2439" spans="1:7" x14ac:dyDescent="0.3">
      <c r="A2439" s="33">
        <v>45959</v>
      </c>
      <c r="B2439" s="34">
        <v>1580.75</v>
      </c>
      <c r="C2439" s="34">
        <f t="shared" ref="C2439:C2482" si="76">LN(B2439/B2438)</f>
        <v>6.9193445620131279E-3</v>
      </c>
      <c r="E2439" s="33">
        <v>45959</v>
      </c>
      <c r="F2439" s="34">
        <v>84997.13</v>
      </c>
      <c r="G2439" s="34">
        <f t="shared" ref="G2439:G2482" si="77">LN(F2439/F2438)</f>
        <v>4.3504194678941725E-3</v>
      </c>
    </row>
    <row r="2440" spans="1:7" x14ac:dyDescent="0.3">
      <c r="A2440" s="33">
        <v>45960</v>
      </c>
      <c r="B2440" s="34">
        <v>1540.5</v>
      </c>
      <c r="C2440" s="34">
        <f t="shared" si="76"/>
        <v>-2.5792378901999924E-2</v>
      </c>
      <c r="E2440" s="33">
        <v>45960</v>
      </c>
      <c r="F2440" s="34">
        <v>84404.46</v>
      </c>
      <c r="G2440" s="34">
        <f t="shared" si="77"/>
        <v>-6.9972474067602954E-3</v>
      </c>
    </row>
    <row r="2441" spans="1:7" x14ac:dyDescent="0.3">
      <c r="A2441" s="33">
        <v>45961</v>
      </c>
      <c r="B2441" s="34">
        <v>1501.65</v>
      </c>
      <c r="C2441" s="34">
        <f t="shared" si="76"/>
        <v>-2.5542535503120196E-2</v>
      </c>
      <c r="E2441" s="33">
        <v>45961</v>
      </c>
      <c r="F2441" s="34">
        <v>83938.71</v>
      </c>
      <c r="G2441" s="34">
        <f t="shared" si="77"/>
        <v>-5.5333541403649166E-3</v>
      </c>
    </row>
    <row r="2442" spans="1:7" x14ac:dyDescent="0.3">
      <c r="A2442" s="33">
        <v>45964</v>
      </c>
      <c r="B2442" s="34">
        <v>1511.6</v>
      </c>
      <c r="C2442" s="34">
        <f t="shared" si="76"/>
        <v>6.6041889417313695E-3</v>
      </c>
      <c r="E2442" s="33">
        <v>45964</v>
      </c>
      <c r="F2442" s="34">
        <v>83978.49</v>
      </c>
      <c r="G2442" s="34">
        <f t="shared" si="77"/>
        <v>4.7380495558743983E-4</v>
      </c>
    </row>
    <row r="2443" spans="1:7" x14ac:dyDescent="0.3">
      <c r="A2443" s="33">
        <v>45965</v>
      </c>
      <c r="B2443" s="34">
        <v>1503.55</v>
      </c>
      <c r="C2443" s="34">
        <f t="shared" si="76"/>
        <v>-5.3397138630952674E-3</v>
      </c>
      <c r="E2443" s="33">
        <v>45965</v>
      </c>
      <c r="F2443" s="34">
        <v>83459.149999999994</v>
      </c>
      <c r="G2443" s="34">
        <f t="shared" si="77"/>
        <v>-6.2034040308422394E-3</v>
      </c>
    </row>
    <row r="2444" spans="1:7" x14ac:dyDescent="0.3">
      <c r="A2444" s="33">
        <v>45967</v>
      </c>
      <c r="B2444" s="34">
        <v>1500.05</v>
      </c>
      <c r="C2444" s="34">
        <f t="shared" si="76"/>
        <v>-2.3305377441470232E-3</v>
      </c>
      <c r="E2444" s="33">
        <v>45967</v>
      </c>
      <c r="F2444" s="34">
        <v>83311.009999999995</v>
      </c>
      <c r="G2444" s="34">
        <f t="shared" si="77"/>
        <v>-1.7765772841330171E-3</v>
      </c>
    </row>
    <row r="2445" spans="1:7" x14ac:dyDescent="0.3">
      <c r="A2445" s="33">
        <v>45968</v>
      </c>
      <c r="B2445" s="34">
        <v>1504.45</v>
      </c>
      <c r="C2445" s="34">
        <f t="shared" si="76"/>
        <v>2.9289420173229767E-3</v>
      </c>
      <c r="E2445" s="33">
        <v>45968</v>
      </c>
      <c r="F2445" s="34">
        <v>83216.28</v>
      </c>
      <c r="G2445" s="34">
        <f t="shared" si="77"/>
        <v>-1.1377115452741084E-3</v>
      </c>
    </row>
    <row r="2446" spans="1:7" x14ac:dyDescent="0.3">
      <c r="A2446" s="33">
        <v>45971</v>
      </c>
      <c r="B2446" s="34">
        <v>1513.75</v>
      </c>
      <c r="C2446" s="34">
        <f t="shared" si="76"/>
        <v>6.162632981887471E-3</v>
      </c>
      <c r="E2446" s="33">
        <v>45971</v>
      </c>
      <c r="F2446" s="34">
        <v>83535.350000000006</v>
      </c>
      <c r="G2446" s="34">
        <f t="shared" si="77"/>
        <v>3.8268937988953956E-3</v>
      </c>
    </row>
    <row r="2447" spans="1:7" x14ac:dyDescent="0.3">
      <c r="A2447" s="33">
        <v>45972</v>
      </c>
      <c r="B2447" s="34">
        <v>1514.8</v>
      </c>
      <c r="C2447" s="34">
        <f t="shared" si="76"/>
        <v>6.9340116033769783E-4</v>
      </c>
      <c r="E2447" s="33">
        <v>45972</v>
      </c>
      <c r="F2447" s="34">
        <v>83871.320000000007</v>
      </c>
      <c r="G2447" s="34">
        <f t="shared" si="77"/>
        <v>4.0138239541054836E-3</v>
      </c>
    </row>
    <row r="2448" spans="1:7" x14ac:dyDescent="0.3">
      <c r="A2448" s="33">
        <v>45973</v>
      </c>
      <c r="B2448" s="34">
        <v>1519.9</v>
      </c>
      <c r="C2448" s="34">
        <f t="shared" si="76"/>
        <v>3.3611261747757727E-3</v>
      </c>
      <c r="E2448" s="33">
        <v>45973</v>
      </c>
      <c r="F2448" s="34">
        <v>84466.51</v>
      </c>
      <c r="G2448" s="34">
        <f t="shared" si="77"/>
        <v>7.0714049265424477E-3</v>
      </c>
    </row>
    <row r="2449" spans="1:7" x14ac:dyDescent="0.3">
      <c r="A2449" s="33">
        <v>45974</v>
      </c>
      <c r="B2449" s="34">
        <v>1525.8</v>
      </c>
      <c r="C2449" s="34">
        <f t="shared" si="76"/>
        <v>3.8743194537133618E-3</v>
      </c>
      <c r="E2449" s="33">
        <v>45974</v>
      </c>
      <c r="F2449" s="34">
        <v>84478.67</v>
      </c>
      <c r="G2449" s="34">
        <f t="shared" si="77"/>
        <v>1.4395202066147319E-4</v>
      </c>
    </row>
    <row r="2450" spans="1:7" x14ac:dyDescent="0.3">
      <c r="A2450" s="33">
        <v>45975</v>
      </c>
      <c r="B2450" s="34">
        <v>1531.65</v>
      </c>
      <c r="C2450" s="34">
        <f t="shared" si="76"/>
        <v>3.8267230135279073E-3</v>
      </c>
      <c r="E2450" s="33">
        <v>45975</v>
      </c>
      <c r="F2450" s="34">
        <v>84562.78</v>
      </c>
      <c r="G2450" s="34">
        <f t="shared" si="77"/>
        <v>9.9514062309826704E-4</v>
      </c>
    </row>
    <row r="2451" spans="1:7" x14ac:dyDescent="0.3">
      <c r="A2451" s="33">
        <v>45978</v>
      </c>
      <c r="B2451" s="34">
        <v>1536.25</v>
      </c>
      <c r="C2451" s="34">
        <f t="shared" si="76"/>
        <v>2.9987962105877675E-3</v>
      </c>
      <c r="E2451" s="33">
        <v>45978</v>
      </c>
      <c r="F2451" s="34">
        <v>84950.95</v>
      </c>
      <c r="G2451" s="34">
        <f t="shared" si="77"/>
        <v>4.5798140183542606E-3</v>
      </c>
    </row>
    <row r="2452" spans="1:7" x14ac:dyDescent="0.3">
      <c r="A2452" s="33">
        <v>45979</v>
      </c>
      <c r="B2452" s="34">
        <v>1514.65</v>
      </c>
      <c r="C2452" s="34">
        <f t="shared" si="76"/>
        <v>-1.415999272903287E-2</v>
      </c>
      <c r="E2452" s="33">
        <v>45979</v>
      </c>
      <c r="F2452" s="34">
        <v>84673.02</v>
      </c>
      <c r="G2452" s="34">
        <f t="shared" si="77"/>
        <v>-3.2770161990704075E-3</v>
      </c>
    </row>
    <row r="2453" spans="1:7" x14ac:dyDescent="0.3">
      <c r="A2453" s="33">
        <v>45980</v>
      </c>
      <c r="B2453" s="34">
        <v>1526.35</v>
      </c>
      <c r="C2453" s="34">
        <f t="shared" si="76"/>
        <v>7.6948751928769179E-3</v>
      </c>
      <c r="E2453" s="33">
        <v>45980</v>
      </c>
      <c r="F2453" s="34">
        <v>85186.47</v>
      </c>
      <c r="G2453" s="34">
        <f t="shared" si="77"/>
        <v>6.0456035026732564E-3</v>
      </c>
    </row>
    <row r="2454" spans="1:7" x14ac:dyDescent="0.3">
      <c r="A2454" s="33">
        <v>45981</v>
      </c>
      <c r="B2454" s="34">
        <v>1528.95</v>
      </c>
      <c r="C2454" s="34">
        <f t="shared" si="76"/>
        <v>1.7019609384428562E-3</v>
      </c>
      <c r="E2454" s="33">
        <v>45981</v>
      </c>
      <c r="F2454" s="34">
        <v>85632.68</v>
      </c>
      <c r="G2454" s="34">
        <f t="shared" si="77"/>
        <v>5.2243675829646459E-3</v>
      </c>
    </row>
    <row r="2455" spans="1:7" x14ac:dyDescent="0.3">
      <c r="A2455" s="33">
        <v>45982</v>
      </c>
      <c r="B2455" s="34">
        <v>1511.35</v>
      </c>
      <c r="C2455" s="34">
        <f t="shared" si="76"/>
        <v>-1.1577934153941736E-2</v>
      </c>
      <c r="E2455" s="33">
        <v>45982</v>
      </c>
      <c r="F2455" s="34">
        <v>85231.92</v>
      </c>
      <c r="G2455" s="34">
        <f t="shared" si="77"/>
        <v>-4.6909744312330325E-3</v>
      </c>
    </row>
    <row r="2456" spans="1:7" x14ac:dyDescent="0.3">
      <c r="A2456" s="33">
        <v>45985</v>
      </c>
      <c r="B2456" s="34">
        <v>1503.9</v>
      </c>
      <c r="C2456" s="34">
        <f t="shared" si="76"/>
        <v>-4.9415571910223707E-3</v>
      </c>
      <c r="E2456" s="33">
        <v>45985</v>
      </c>
      <c r="F2456" s="34">
        <v>84900.71</v>
      </c>
      <c r="G2456" s="34">
        <f t="shared" si="77"/>
        <v>-3.8935554975232821E-3</v>
      </c>
    </row>
    <row r="2457" spans="1:7" x14ac:dyDescent="0.3">
      <c r="A2457" s="33">
        <v>45986</v>
      </c>
      <c r="B2457" s="34">
        <v>1507.05</v>
      </c>
      <c r="C2457" s="34">
        <f t="shared" si="76"/>
        <v>2.0923636388655831E-3</v>
      </c>
      <c r="E2457" s="33">
        <v>45986</v>
      </c>
      <c r="F2457" s="34">
        <v>84587.01</v>
      </c>
      <c r="G2457" s="34">
        <f t="shared" si="77"/>
        <v>-3.7017473385971399E-3</v>
      </c>
    </row>
    <row r="2458" spans="1:7" x14ac:dyDescent="0.3">
      <c r="A2458" s="33">
        <v>45987</v>
      </c>
      <c r="B2458" s="34">
        <v>1523.45</v>
      </c>
      <c r="C2458" s="34">
        <f t="shared" si="76"/>
        <v>1.0823402144376916E-2</v>
      </c>
      <c r="E2458" s="33">
        <v>45987</v>
      </c>
      <c r="F2458" s="34">
        <v>85609.51</v>
      </c>
      <c r="G2458" s="34">
        <f t="shared" si="77"/>
        <v>1.2015666384119659E-2</v>
      </c>
    </row>
    <row r="2459" spans="1:7" x14ac:dyDescent="0.3">
      <c r="A2459" s="33">
        <v>45988</v>
      </c>
      <c r="B2459" s="34">
        <v>1524.55</v>
      </c>
      <c r="C2459" s="34">
        <f t="shared" si="76"/>
        <v>7.2178480823869033E-4</v>
      </c>
      <c r="E2459" s="33">
        <v>45988</v>
      </c>
      <c r="F2459" s="34">
        <v>85720.38</v>
      </c>
      <c r="G2459" s="34">
        <f t="shared" si="77"/>
        <v>1.2942285257507183E-3</v>
      </c>
    </row>
    <row r="2460" spans="1:7" x14ac:dyDescent="0.3">
      <c r="A2460" s="33">
        <v>45989</v>
      </c>
      <c r="B2460" s="34">
        <v>1530.95</v>
      </c>
      <c r="C2460" s="34">
        <f t="shared" si="76"/>
        <v>4.1891732021311712E-3</v>
      </c>
      <c r="E2460" s="33">
        <v>45989</v>
      </c>
      <c r="F2460" s="34">
        <v>85706.67</v>
      </c>
      <c r="G2460" s="34">
        <f t="shared" si="77"/>
        <v>-1.5995141990995734E-4</v>
      </c>
    </row>
    <row r="2461" spans="1:7" x14ac:dyDescent="0.3">
      <c r="A2461" s="33">
        <v>45992</v>
      </c>
      <c r="B2461" s="34">
        <v>1523.8</v>
      </c>
      <c r="C2461" s="34">
        <f t="shared" si="76"/>
        <v>-4.6812426922705E-3</v>
      </c>
      <c r="E2461" s="33">
        <v>45992</v>
      </c>
      <c r="F2461" s="34">
        <v>85641.9</v>
      </c>
      <c r="G2461" s="34">
        <f t="shared" si="77"/>
        <v>-7.5600284361744313E-4</v>
      </c>
    </row>
    <row r="2462" spans="1:7" x14ac:dyDescent="0.3">
      <c r="A2462" s="33">
        <v>45993</v>
      </c>
      <c r="B2462" s="34">
        <v>1516.65</v>
      </c>
      <c r="C2462" s="34">
        <f t="shared" si="76"/>
        <v>-4.7032598333914552E-3</v>
      </c>
      <c r="E2462" s="33">
        <v>45993</v>
      </c>
      <c r="F2462" s="34">
        <v>85138.27</v>
      </c>
      <c r="G2462" s="34">
        <f t="shared" si="77"/>
        <v>-5.8980086500652808E-3</v>
      </c>
    </row>
    <row r="2463" spans="1:7" x14ac:dyDescent="0.3">
      <c r="A2463" s="33">
        <v>45994</v>
      </c>
      <c r="B2463" s="34">
        <v>1508.1</v>
      </c>
      <c r="C2463" s="34">
        <f t="shared" si="76"/>
        <v>-5.6533748388786446E-3</v>
      </c>
      <c r="E2463" s="33">
        <v>45994</v>
      </c>
      <c r="F2463" s="34">
        <v>85106.81</v>
      </c>
      <c r="G2463" s="34">
        <f t="shared" si="77"/>
        <v>-3.6958484037377014E-4</v>
      </c>
    </row>
    <row r="2464" spans="1:7" x14ac:dyDescent="0.3">
      <c r="A2464" s="33">
        <v>45995</v>
      </c>
      <c r="B2464" s="34">
        <v>1521.2</v>
      </c>
      <c r="C2464" s="34">
        <f t="shared" si="76"/>
        <v>8.6489166874653845E-3</v>
      </c>
      <c r="E2464" s="33">
        <v>45995</v>
      </c>
      <c r="F2464" s="34">
        <v>85265.32</v>
      </c>
      <c r="G2464" s="34">
        <f t="shared" si="77"/>
        <v>1.8607508837900758E-3</v>
      </c>
    </row>
    <row r="2465" spans="1:7" x14ac:dyDescent="0.3">
      <c r="A2465" s="33">
        <v>45996</v>
      </c>
      <c r="B2465" s="34">
        <v>1520.55</v>
      </c>
      <c r="C2465" s="34">
        <f t="shared" si="76"/>
        <v>-4.2738555758631042E-4</v>
      </c>
      <c r="E2465" s="33">
        <v>45996</v>
      </c>
      <c r="F2465" s="34">
        <v>85712.37</v>
      </c>
      <c r="G2465" s="34">
        <f t="shared" si="77"/>
        <v>5.2293491478964671E-3</v>
      </c>
    </row>
    <row r="2466" spans="1:7" x14ac:dyDescent="0.3">
      <c r="A2466" s="33">
        <v>45999</v>
      </c>
      <c r="B2466" s="34">
        <v>1497.45</v>
      </c>
      <c r="C2466" s="34">
        <f t="shared" si="76"/>
        <v>-1.5308450045974345E-2</v>
      </c>
      <c r="E2466" s="33">
        <v>45999</v>
      </c>
      <c r="F2466" s="34">
        <v>85102.69</v>
      </c>
      <c r="G2466" s="34">
        <f t="shared" si="77"/>
        <v>-7.1385109605806556E-3</v>
      </c>
    </row>
    <row r="2467" spans="1:7" x14ac:dyDescent="0.3">
      <c r="A2467" s="33">
        <v>46000</v>
      </c>
      <c r="B2467" s="34">
        <v>1490.7</v>
      </c>
      <c r="C2467" s="34">
        <f t="shared" si="76"/>
        <v>-4.5178531741592795E-3</v>
      </c>
      <c r="E2467" s="33">
        <v>46000</v>
      </c>
      <c r="F2467" s="34">
        <v>84666.28</v>
      </c>
      <c r="G2467" s="34">
        <f t="shared" si="77"/>
        <v>-5.1412335396227929E-3</v>
      </c>
    </row>
    <row r="2468" spans="1:7" x14ac:dyDescent="0.3">
      <c r="A2468" s="33">
        <v>46001</v>
      </c>
      <c r="B2468" s="34">
        <v>1489.15</v>
      </c>
      <c r="C2468" s="34">
        <f t="shared" si="76"/>
        <v>-1.0403209153432584E-3</v>
      </c>
      <c r="E2468" s="33">
        <v>46001</v>
      </c>
      <c r="F2468" s="34">
        <v>84391.27</v>
      </c>
      <c r="G2468" s="34">
        <f t="shared" si="77"/>
        <v>-3.2534511777843568E-3</v>
      </c>
    </row>
    <row r="2469" spans="1:7" x14ac:dyDescent="0.3">
      <c r="A2469" s="33">
        <v>46002</v>
      </c>
      <c r="B2469" s="34">
        <v>1512.1</v>
      </c>
      <c r="C2469" s="34">
        <f t="shared" si="76"/>
        <v>1.5293925757582115E-2</v>
      </c>
      <c r="E2469" s="33">
        <v>46002</v>
      </c>
      <c r="F2469" s="34">
        <v>84818.13</v>
      </c>
      <c r="G2469" s="34">
        <f t="shared" si="77"/>
        <v>5.0453568832305885E-3</v>
      </c>
    </row>
    <row r="2470" spans="1:7" x14ac:dyDescent="0.3">
      <c r="A2470" s="33">
        <v>46003</v>
      </c>
      <c r="B2470" s="34">
        <v>1517.2</v>
      </c>
      <c r="C2470" s="34">
        <f t="shared" si="76"/>
        <v>3.3671176961204167E-3</v>
      </c>
      <c r="E2470" s="33">
        <v>46003</v>
      </c>
      <c r="F2470" s="34">
        <v>85267.66</v>
      </c>
      <c r="G2470" s="34">
        <f t="shared" si="77"/>
        <v>5.285933018813074E-3</v>
      </c>
    </row>
    <row r="2471" spans="1:7" x14ac:dyDescent="0.3">
      <c r="A2471" s="33">
        <v>46006</v>
      </c>
      <c r="B2471" s="34">
        <v>1507.25</v>
      </c>
      <c r="C2471" s="34">
        <f t="shared" si="76"/>
        <v>-6.5797324452289557E-3</v>
      </c>
      <c r="E2471" s="33">
        <v>46006</v>
      </c>
      <c r="F2471" s="34">
        <v>85213.36</v>
      </c>
      <c r="G2471" s="34">
        <f t="shared" si="77"/>
        <v>-6.3702108112948983E-4</v>
      </c>
    </row>
    <row r="2472" spans="1:7" x14ac:dyDescent="0.3">
      <c r="A2472" s="33">
        <v>46007</v>
      </c>
      <c r="B2472" s="34">
        <v>1500</v>
      </c>
      <c r="C2472" s="34">
        <f t="shared" si="76"/>
        <v>-4.8216902792135525E-3</v>
      </c>
      <c r="E2472" s="33">
        <v>46007</v>
      </c>
      <c r="F2472" s="34">
        <v>84679.86</v>
      </c>
      <c r="G2472" s="34">
        <f t="shared" si="77"/>
        <v>-6.2804360716442317E-3</v>
      </c>
    </row>
    <row r="2473" spans="1:7" x14ac:dyDescent="0.3">
      <c r="A2473" s="33">
        <v>46008</v>
      </c>
      <c r="B2473" s="34">
        <v>1496.95</v>
      </c>
      <c r="C2473" s="34">
        <f t="shared" si="76"/>
        <v>-2.0354033620704924E-3</v>
      </c>
      <c r="E2473" s="33">
        <v>46008</v>
      </c>
      <c r="F2473" s="34">
        <v>84559.65</v>
      </c>
      <c r="G2473" s="34">
        <f t="shared" si="77"/>
        <v>-1.4205905017817002E-3</v>
      </c>
    </row>
    <row r="2474" spans="1:7" x14ac:dyDescent="0.3">
      <c r="A2474" s="33">
        <v>46009</v>
      </c>
      <c r="B2474" s="34">
        <v>1499.1</v>
      </c>
      <c r="C2474" s="34">
        <f t="shared" si="76"/>
        <v>1.4352232900380624E-3</v>
      </c>
      <c r="E2474" s="33">
        <v>46009</v>
      </c>
      <c r="F2474" s="34">
        <v>84481.81</v>
      </c>
      <c r="G2474" s="34">
        <f t="shared" si="77"/>
        <v>-9.2095756273930169E-4</v>
      </c>
    </row>
    <row r="2475" spans="1:7" x14ac:dyDescent="0.3">
      <c r="A2475" s="33">
        <v>46010</v>
      </c>
      <c r="B2475" s="34">
        <v>1517</v>
      </c>
      <c r="C2475" s="34">
        <f t="shared" si="76"/>
        <v>1.1869772330263375E-2</v>
      </c>
      <c r="E2475" s="33">
        <v>46010</v>
      </c>
      <c r="F2475" s="34">
        <v>84929.36</v>
      </c>
      <c r="G2475" s="34">
        <f t="shared" si="77"/>
        <v>5.2836072281283999E-3</v>
      </c>
    </row>
    <row r="2476" spans="1:7" x14ac:dyDescent="0.3">
      <c r="A2476" s="33">
        <v>46013</v>
      </c>
      <c r="B2476" s="34">
        <v>1512.5</v>
      </c>
      <c r="C2476" s="34">
        <f t="shared" si="76"/>
        <v>-2.9707894435357742E-3</v>
      </c>
      <c r="E2476" s="33">
        <v>46013</v>
      </c>
      <c r="F2476" s="34">
        <v>85567.48</v>
      </c>
      <c r="G2476" s="34">
        <f t="shared" si="77"/>
        <v>7.4854522769099109E-3</v>
      </c>
    </row>
    <row r="2477" spans="1:7" x14ac:dyDescent="0.3">
      <c r="A2477" s="33">
        <v>46014</v>
      </c>
      <c r="B2477" s="34">
        <v>1500.4</v>
      </c>
      <c r="C2477" s="34">
        <f t="shared" si="76"/>
        <v>-8.0321716972641538E-3</v>
      </c>
      <c r="E2477" s="33">
        <v>46014</v>
      </c>
      <c r="F2477" s="34">
        <v>85524.84</v>
      </c>
      <c r="G2477" s="34">
        <f t="shared" si="77"/>
        <v>-4.9844435896145498E-4</v>
      </c>
    </row>
    <row r="2478" spans="1:7" x14ac:dyDescent="0.3">
      <c r="A2478" s="33">
        <v>46015</v>
      </c>
      <c r="B2478" s="34">
        <v>1496.35</v>
      </c>
      <c r="C2478" s="34">
        <f t="shared" si="76"/>
        <v>-2.7029298177808918E-3</v>
      </c>
      <c r="E2478" s="33">
        <v>46015</v>
      </c>
      <c r="F2478" s="34">
        <v>85408.7</v>
      </c>
      <c r="G2478" s="34">
        <f t="shared" si="77"/>
        <v>-1.358890921838481E-3</v>
      </c>
    </row>
    <row r="2479" spans="1:7" x14ac:dyDescent="0.3">
      <c r="A2479" s="33">
        <v>46017</v>
      </c>
      <c r="B2479" s="34">
        <v>1505.05</v>
      </c>
      <c r="C2479" s="34">
        <f t="shared" si="76"/>
        <v>5.797310832528743E-3</v>
      </c>
      <c r="E2479" s="33">
        <v>46017</v>
      </c>
      <c r="F2479" s="34">
        <v>85041.45</v>
      </c>
      <c r="G2479" s="34">
        <f t="shared" si="77"/>
        <v>-4.309184454114651E-3</v>
      </c>
    </row>
    <row r="2480" spans="1:7" x14ac:dyDescent="0.3">
      <c r="A2480" s="33">
        <v>46020</v>
      </c>
      <c r="B2480" s="34">
        <v>1494.4</v>
      </c>
      <c r="C2480" s="34">
        <f t="shared" si="76"/>
        <v>-7.1013317479019086E-3</v>
      </c>
      <c r="E2480" s="33">
        <v>46020</v>
      </c>
      <c r="F2480" s="34">
        <v>84695.54</v>
      </c>
      <c r="G2480" s="34">
        <f t="shared" si="77"/>
        <v>-4.075840850817582E-3</v>
      </c>
    </row>
    <row r="2481" spans="1:7" x14ac:dyDescent="0.3">
      <c r="A2481" s="33">
        <v>46021</v>
      </c>
      <c r="B2481" s="34">
        <v>1491.4</v>
      </c>
      <c r="C2481" s="34">
        <f t="shared" si="76"/>
        <v>-2.0095123648837159E-3</v>
      </c>
      <c r="E2481" s="33">
        <v>46021</v>
      </c>
      <c r="F2481" s="34">
        <v>84675.08</v>
      </c>
      <c r="G2481" s="34">
        <f t="shared" si="77"/>
        <v>-2.4160034484748994E-4</v>
      </c>
    </row>
    <row r="2482" spans="1:7" x14ac:dyDescent="0.3">
      <c r="A2482" s="33">
        <v>46022</v>
      </c>
      <c r="B2482" s="34">
        <v>1510.9</v>
      </c>
      <c r="C2482" s="34">
        <f t="shared" si="76"/>
        <v>1.2990223636100858E-2</v>
      </c>
      <c r="E2482" s="33">
        <v>46022</v>
      </c>
      <c r="F2482" s="34">
        <v>85220.6</v>
      </c>
      <c r="G2482" s="34">
        <f t="shared" si="77"/>
        <v>6.4218451554912351E-3</v>
      </c>
    </row>
  </sheetData>
  <mergeCells count="6">
    <mergeCell ref="I10:J10"/>
    <mergeCell ref="A1:K1"/>
    <mergeCell ref="A3:C3"/>
    <mergeCell ref="E3:G3"/>
    <mergeCell ref="I3:J3"/>
    <mergeCell ref="I4:J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A74C2-8F3E-4A8E-8C32-DB573AA13A84}">
  <dimension ref="A1:K27"/>
  <sheetViews>
    <sheetView zoomScale="111" workbookViewId="0">
      <selection activeCell="D11" sqref="D11"/>
    </sheetView>
  </sheetViews>
  <sheetFormatPr defaultRowHeight="14.4" x14ac:dyDescent="0.3"/>
  <cols>
    <col min="1" max="1" width="34.33203125" bestFit="1" customWidth="1"/>
    <col min="2" max="2" width="12" bestFit="1" customWidth="1"/>
    <col min="3" max="3" width="7" bestFit="1" customWidth="1"/>
    <col min="4" max="4" width="12.88671875" bestFit="1" customWidth="1"/>
  </cols>
  <sheetData>
    <row r="1" spans="1:11" ht="21" x14ac:dyDescent="0.4">
      <c r="A1" s="400" t="s">
        <v>318</v>
      </c>
      <c r="B1" s="400"/>
      <c r="C1" s="400"/>
      <c r="D1" s="400"/>
      <c r="E1" s="400"/>
      <c r="F1" s="400"/>
      <c r="G1" s="400"/>
      <c r="H1" s="400"/>
      <c r="I1" s="400"/>
      <c r="J1" s="400"/>
      <c r="K1" s="400"/>
    </row>
    <row r="3" spans="1:11" ht="15" thickBot="1" x14ac:dyDescent="0.35"/>
    <row r="4" spans="1:11" x14ac:dyDescent="0.3">
      <c r="A4" s="395" t="s">
        <v>319</v>
      </c>
      <c r="B4" s="396"/>
    </row>
    <row r="5" spans="1:11" x14ac:dyDescent="0.3">
      <c r="A5" s="25" t="s">
        <v>320</v>
      </c>
      <c r="B5" s="131">
        <f>'Financial Statements'!I41</f>
        <v>86.18</v>
      </c>
    </row>
    <row r="6" spans="1:11" x14ac:dyDescent="0.3">
      <c r="A6" s="25" t="s">
        <v>321</v>
      </c>
      <c r="B6" s="131">
        <f>'Financial Statements'!I38</f>
        <v>32099.24</v>
      </c>
    </row>
    <row r="7" spans="1:11" x14ac:dyDescent="0.3">
      <c r="A7" s="25" t="s">
        <v>322</v>
      </c>
      <c r="B7" s="131">
        <f>SUM(B5:B6)</f>
        <v>32185.420000000002</v>
      </c>
    </row>
    <row r="8" spans="1:11" x14ac:dyDescent="0.3">
      <c r="A8" s="25" t="s">
        <v>323</v>
      </c>
      <c r="B8" s="169">
        <f>B5/B7</f>
        <v>2.6776099239966419E-3</v>
      </c>
    </row>
    <row r="9" spans="1:11" x14ac:dyDescent="0.3">
      <c r="A9" s="25" t="s">
        <v>324</v>
      </c>
      <c r="B9" s="158">
        <f>B6/B7</f>
        <v>0.99732239007600332</v>
      </c>
    </row>
    <row r="10" spans="1:11" ht="15" thickBot="1" x14ac:dyDescent="0.35">
      <c r="A10" s="29" t="s">
        <v>325</v>
      </c>
      <c r="B10" s="159">
        <f>B5/B6</f>
        <v>2.6847987678212944E-3</v>
      </c>
    </row>
    <row r="11" spans="1:11" ht="15" thickBot="1" x14ac:dyDescent="0.35"/>
    <row r="12" spans="1:11" x14ac:dyDescent="0.3">
      <c r="A12" s="397" t="s">
        <v>326</v>
      </c>
      <c r="B12" s="398"/>
    </row>
    <row r="13" spans="1:11" x14ac:dyDescent="0.3">
      <c r="A13" s="25" t="s">
        <v>327</v>
      </c>
      <c r="B13" s="158">
        <f>Sources!C7</f>
        <v>6.6699999999999995E-2</v>
      </c>
    </row>
    <row r="14" spans="1:11" x14ac:dyDescent="0.3">
      <c r="A14" s="25" t="s">
        <v>328</v>
      </c>
      <c r="B14" s="110">
        <f>Beta!J6</f>
        <v>0.44183817163777678</v>
      </c>
    </row>
    <row r="15" spans="1:11" x14ac:dyDescent="0.3">
      <c r="A15" s="25" t="s">
        <v>329</v>
      </c>
      <c r="B15" s="158">
        <f>Sources!C9</f>
        <v>6.0931297027767992E-2</v>
      </c>
    </row>
    <row r="16" spans="1:11" ht="15" thickBot="1" x14ac:dyDescent="0.35">
      <c r="A16" s="29" t="s">
        <v>326</v>
      </c>
      <c r="B16" s="170">
        <f>B13+B14*B15</f>
        <v>9.3621772874267303E-2</v>
      </c>
    </row>
    <row r="17" spans="1:4" ht="15" thickBot="1" x14ac:dyDescent="0.35"/>
    <row r="18" spans="1:4" x14ac:dyDescent="0.3">
      <c r="A18" s="397" t="s">
        <v>330</v>
      </c>
      <c r="B18" s="398"/>
    </row>
    <row r="19" spans="1:4" x14ac:dyDescent="0.3">
      <c r="A19" s="25" t="s">
        <v>330</v>
      </c>
      <c r="B19" s="171">
        <f>'Financial Statements'!I18/'Financial Statements'!I41</f>
        <v>0.17533070317939195</v>
      </c>
    </row>
    <row r="20" spans="1:4" x14ac:dyDescent="0.3">
      <c r="A20" s="25" t="s">
        <v>193</v>
      </c>
      <c r="B20" s="129">
        <f>Sources!C6</f>
        <v>0.23619999999999999</v>
      </c>
    </row>
    <row r="21" spans="1:4" ht="15" thickBot="1" x14ac:dyDescent="0.35">
      <c r="A21" s="29" t="s">
        <v>331</v>
      </c>
      <c r="B21" s="172">
        <f>B19*(1-B20)</f>
        <v>0.13391759108841958</v>
      </c>
    </row>
    <row r="22" spans="1:4" ht="15" thickBot="1" x14ac:dyDescent="0.35"/>
    <row r="23" spans="1:4" x14ac:dyDescent="0.3">
      <c r="A23" s="326" t="s">
        <v>332</v>
      </c>
      <c r="B23" s="399"/>
      <c r="C23" s="399"/>
      <c r="D23" s="327"/>
    </row>
    <row r="24" spans="1:4" x14ac:dyDescent="0.3">
      <c r="A24" s="25" t="s">
        <v>333</v>
      </c>
      <c r="B24" s="26" t="s">
        <v>334</v>
      </c>
      <c r="C24" s="26" t="s">
        <v>335</v>
      </c>
      <c r="D24" s="110" t="s">
        <v>336</v>
      </c>
    </row>
    <row r="25" spans="1:4" x14ac:dyDescent="0.3">
      <c r="A25" s="25" t="s">
        <v>337</v>
      </c>
      <c r="B25" s="173">
        <f>B8</f>
        <v>2.6776099239966419E-3</v>
      </c>
      <c r="C25" s="28">
        <f>B21</f>
        <v>0.13391759108841958</v>
      </c>
      <c r="D25" s="129">
        <f>B25*C25</f>
        <v>3.5857907089607654E-4</v>
      </c>
    </row>
    <row r="26" spans="1:4" x14ac:dyDescent="0.3">
      <c r="A26" s="25" t="s">
        <v>338</v>
      </c>
      <c r="B26" s="28">
        <f>B9</f>
        <v>0.99732239007600332</v>
      </c>
      <c r="C26" s="28">
        <f>B16</f>
        <v>9.3621772874267303E-2</v>
      </c>
      <c r="D26" s="129">
        <f>B26*C26</f>
        <v>9.3371090286116995E-2</v>
      </c>
    </row>
    <row r="27" spans="1:4" ht="16.2" thickBot="1" x14ac:dyDescent="0.35">
      <c r="A27" s="174" t="s">
        <v>332</v>
      </c>
      <c r="B27" s="175"/>
      <c r="C27" s="175"/>
      <c r="D27" s="176">
        <f>SUM(D25:D26)</f>
        <v>9.3729669357013073E-2</v>
      </c>
    </row>
  </sheetData>
  <mergeCells count="5">
    <mergeCell ref="A4:B4"/>
    <mergeCell ref="A12:B12"/>
    <mergeCell ref="A18:B18"/>
    <mergeCell ref="A23:D23"/>
    <mergeCell ref="A1:K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8B822-552B-4DB4-9B9A-4AEC5B9691AA}">
  <dimension ref="A1:H32"/>
  <sheetViews>
    <sheetView workbookViewId="0">
      <selection activeCell="D5" sqref="D5"/>
    </sheetView>
  </sheetViews>
  <sheetFormatPr defaultRowHeight="14.4" x14ac:dyDescent="0.3"/>
  <cols>
    <col min="1" max="1" width="19.5546875" customWidth="1"/>
    <col min="2" max="2" width="14.5546875" bestFit="1" customWidth="1"/>
    <col min="3" max="5" width="16.77734375" bestFit="1" customWidth="1"/>
    <col min="6" max="8" width="14.5546875" bestFit="1" customWidth="1"/>
  </cols>
  <sheetData>
    <row r="1" spans="1:8" ht="23.4" x14ac:dyDescent="0.45">
      <c r="A1" s="284" t="s">
        <v>488</v>
      </c>
      <c r="B1" s="275"/>
      <c r="C1" s="275"/>
      <c r="D1" s="275"/>
      <c r="E1" s="275"/>
      <c r="F1" s="275"/>
    </row>
    <row r="3" spans="1:8" x14ac:dyDescent="0.3">
      <c r="A3" s="401" t="s">
        <v>489</v>
      </c>
      <c r="B3" s="401"/>
      <c r="C3" s="401"/>
      <c r="D3" s="401"/>
      <c r="E3" s="401"/>
      <c r="F3" s="401"/>
      <c r="G3" s="401"/>
      <c r="H3" s="401"/>
    </row>
    <row r="4" spans="1:8" x14ac:dyDescent="0.3">
      <c r="A4" s="275"/>
      <c r="B4" s="278">
        <v>2019</v>
      </c>
      <c r="C4" s="278">
        <v>2020</v>
      </c>
      <c r="D4" s="278">
        <v>2021</v>
      </c>
      <c r="E4" s="278">
        <v>2022</v>
      </c>
      <c r="F4" s="278">
        <v>2023</v>
      </c>
      <c r="G4" s="278">
        <v>2024</v>
      </c>
      <c r="H4" s="278">
        <v>2025</v>
      </c>
    </row>
    <row r="5" spans="1:8" x14ac:dyDescent="0.3">
      <c r="A5" s="275" t="s">
        <v>117</v>
      </c>
      <c r="B5" s="276">
        <f>'Financial Statements'!C20</f>
        <v>961.34999999999968</v>
      </c>
      <c r="C5" s="276">
        <f>'Financial Statements'!D20</f>
        <v>1037.0300000000013</v>
      </c>
      <c r="D5" s="276">
        <f>'Financial Statements'!E20</f>
        <v>939.38</v>
      </c>
      <c r="E5" s="276">
        <f>'Financial Statements'!F20</f>
        <v>-80.449999999998681</v>
      </c>
      <c r="F5" s="276">
        <f>'Financial Statements'!G20</f>
        <v>1004.1199999999989</v>
      </c>
      <c r="G5" s="276">
        <f>'Financial Statements'!H20</f>
        <v>2398.369999999999</v>
      </c>
      <c r="H5" s="276">
        <f>'Financial Statements'!I20</f>
        <v>3396.8100000000009</v>
      </c>
    </row>
    <row r="6" spans="1:8" x14ac:dyDescent="0.3">
      <c r="A6" s="275" t="s">
        <v>490</v>
      </c>
      <c r="B6" s="285">
        <f>Sources!$C$6</f>
        <v>0.23619999999999999</v>
      </c>
      <c r="C6" s="285">
        <f>Sources!$C$6</f>
        <v>0.23619999999999999</v>
      </c>
      <c r="D6" s="285">
        <f>Sources!$C$6</f>
        <v>0.23619999999999999</v>
      </c>
      <c r="E6" s="285">
        <f>Sources!$C$6</f>
        <v>0.23619999999999999</v>
      </c>
      <c r="F6" s="285">
        <f>Sources!$C$6</f>
        <v>0.23619999999999999</v>
      </c>
      <c r="G6" s="285">
        <f>Sources!$C$6</f>
        <v>0.23619999999999999</v>
      </c>
      <c r="H6" s="285">
        <f>Sources!$C$6</f>
        <v>0.23619999999999999</v>
      </c>
    </row>
    <row r="7" spans="1:8" x14ac:dyDescent="0.3">
      <c r="A7" s="279" t="s">
        <v>355</v>
      </c>
      <c r="B7" s="279">
        <f>B5*(1-B6)</f>
        <v>734.27912999999978</v>
      </c>
      <c r="C7" s="279">
        <f t="shared" ref="C7:H7" si="0">C5*(1-C6)</f>
        <v>792.08351400000106</v>
      </c>
      <c r="D7" s="279">
        <f t="shared" si="0"/>
        <v>717.49844400000006</v>
      </c>
      <c r="E7" s="279">
        <f t="shared" si="0"/>
        <v>-61.447709999998999</v>
      </c>
      <c r="F7" s="279">
        <f t="shared" si="0"/>
        <v>766.94685599999912</v>
      </c>
      <c r="G7" s="279">
        <f t="shared" si="0"/>
        <v>1831.8750059999993</v>
      </c>
      <c r="H7" s="279">
        <f t="shared" si="0"/>
        <v>2594.4834780000006</v>
      </c>
    </row>
    <row r="9" spans="1:8" x14ac:dyDescent="0.3">
      <c r="A9" s="401" t="s">
        <v>504</v>
      </c>
      <c r="B9" s="401"/>
      <c r="C9" s="401"/>
      <c r="D9" s="401"/>
      <c r="E9" s="401"/>
      <c r="F9" s="401"/>
      <c r="G9" s="401"/>
      <c r="H9" s="401"/>
    </row>
    <row r="10" spans="1:8" x14ac:dyDescent="0.3">
      <c r="A10" s="275"/>
      <c r="B10" s="278">
        <v>2019</v>
      </c>
      <c r="C10" s="278">
        <v>2020</v>
      </c>
      <c r="D10" s="278">
        <v>202</v>
      </c>
      <c r="E10" s="278">
        <v>2022</v>
      </c>
      <c r="F10" s="278">
        <v>2023</v>
      </c>
      <c r="G10" s="278">
        <v>2024</v>
      </c>
      <c r="H10" s="278">
        <v>2025</v>
      </c>
    </row>
    <row r="11" spans="1:8" x14ac:dyDescent="0.3">
      <c r="A11" s="275" t="s">
        <v>491</v>
      </c>
      <c r="B11" s="276">
        <f>'Financial Statements'!C38</f>
        <v>15781.91</v>
      </c>
      <c r="C11" s="276">
        <f>'Financial Statements'!D38</f>
        <v>17402.96</v>
      </c>
      <c r="D11" s="276">
        <f>'Financial Statements'!E38</f>
        <v>19927.560000000001</v>
      </c>
      <c r="E11" s="276">
        <f>'Financial Statements'!F38</f>
        <v>22513.55</v>
      </c>
      <c r="F11" s="276">
        <f>'Financial Statements'!G38</f>
        <v>24638.09</v>
      </c>
      <c r="G11" s="276">
        <f>'Financial Statements'!H38</f>
        <v>27973.919999999998</v>
      </c>
      <c r="H11" s="276">
        <f>'Financial Statements'!I38</f>
        <v>32099.24</v>
      </c>
    </row>
    <row r="12" spans="1:8" x14ac:dyDescent="0.3">
      <c r="A12" s="275" t="s">
        <v>492</v>
      </c>
      <c r="B12" s="276">
        <f>'Financial Statements'!C40+'Financial Statements'!C41</f>
        <v>0</v>
      </c>
      <c r="C12" s="276">
        <f>'Financial Statements'!D40+'Financial Statements'!D41</f>
        <v>0</v>
      </c>
      <c r="D12" s="276">
        <f>'Financial Statements'!E40+'Financial Statements'!E41</f>
        <v>29.46</v>
      </c>
      <c r="E12" s="276">
        <f>'Financial Statements'!F40+'Financial Statements'!F41</f>
        <v>15.53</v>
      </c>
      <c r="F12" s="276">
        <f>'Financial Statements'!G40+'Financial Statements'!G41</f>
        <v>35.53</v>
      </c>
      <c r="G12" s="276">
        <f>'Financial Statements'!H40+'Financial Statements'!H41</f>
        <v>29.55</v>
      </c>
      <c r="H12" s="276">
        <f>'Financial Statements'!I40+'Financial Statements'!I41</f>
        <v>86.18</v>
      </c>
    </row>
    <row r="13" spans="1:8" x14ac:dyDescent="0.3">
      <c r="A13" s="279" t="s">
        <v>493</v>
      </c>
      <c r="B13" s="280">
        <v>4841010</v>
      </c>
      <c r="C13" s="280">
        <v>4841011</v>
      </c>
      <c r="D13" s="280">
        <v>4841012</v>
      </c>
      <c r="E13" s="280">
        <v>4841013</v>
      </c>
      <c r="F13" s="280">
        <v>4841014</v>
      </c>
      <c r="G13" s="280">
        <v>4841015</v>
      </c>
      <c r="H13" s="280">
        <v>4841016</v>
      </c>
    </row>
    <row r="15" spans="1:8" x14ac:dyDescent="0.3">
      <c r="A15" s="401" t="s">
        <v>494</v>
      </c>
      <c r="B15" s="401"/>
      <c r="C15" s="401"/>
      <c r="D15" s="401"/>
      <c r="E15" s="401"/>
      <c r="F15" s="401"/>
      <c r="G15" s="401"/>
      <c r="H15" s="401"/>
    </row>
    <row r="17" spans="1:8" x14ac:dyDescent="0.3">
      <c r="A17" s="275" t="s">
        <v>495</v>
      </c>
      <c r="B17" s="275"/>
      <c r="C17" s="275"/>
      <c r="D17" s="275"/>
      <c r="E17" s="275"/>
      <c r="F17" s="275"/>
    </row>
    <row r="18" spans="1:8" x14ac:dyDescent="0.3">
      <c r="A18" s="275" t="s">
        <v>496</v>
      </c>
      <c r="B18" s="281">
        <f>Sources!C7</f>
        <v>6.6699999999999995E-2</v>
      </c>
      <c r="C18" s="275"/>
      <c r="D18" s="275"/>
      <c r="E18" s="275"/>
      <c r="F18" s="275"/>
    </row>
    <row r="19" spans="1:8" x14ac:dyDescent="0.3">
      <c r="A19" s="275" t="s">
        <v>328</v>
      </c>
      <c r="B19" s="275">
        <f>Beta!J6</f>
        <v>0.44183817163777678</v>
      </c>
      <c r="C19" s="275"/>
      <c r="D19" s="275"/>
      <c r="E19" s="275"/>
      <c r="F19" s="275"/>
    </row>
    <row r="20" spans="1:8" x14ac:dyDescent="0.3">
      <c r="A20" s="275" t="s">
        <v>497</v>
      </c>
      <c r="B20" s="281">
        <f>Sources!C9</f>
        <v>6.0931297027767992E-2</v>
      </c>
      <c r="C20" s="275"/>
      <c r="D20" s="275"/>
      <c r="E20" s="275"/>
      <c r="F20" s="275"/>
    </row>
    <row r="21" spans="1:8" x14ac:dyDescent="0.3">
      <c r="A21" s="275" t="s">
        <v>498</v>
      </c>
      <c r="B21" s="277">
        <f>WACC!B16</f>
        <v>9.3621772874267303E-2</v>
      </c>
      <c r="C21" s="275"/>
      <c r="D21" s="275"/>
      <c r="E21" s="275"/>
      <c r="F21" s="275"/>
    </row>
    <row r="22" spans="1:8" x14ac:dyDescent="0.3">
      <c r="A22" s="275" t="s">
        <v>499</v>
      </c>
      <c r="B22" s="282">
        <f>WACC!B21</f>
        <v>0.13391759108841958</v>
      </c>
      <c r="C22" s="275"/>
      <c r="D22" s="275"/>
      <c r="E22" s="275"/>
      <c r="F22" s="275"/>
    </row>
    <row r="23" spans="1:8" x14ac:dyDescent="0.3">
      <c r="A23" s="275"/>
      <c r="B23" s="282"/>
      <c r="C23" s="275"/>
      <c r="D23" s="275"/>
      <c r="E23" s="275"/>
      <c r="F23" s="275"/>
    </row>
    <row r="24" spans="1:8" x14ac:dyDescent="0.3">
      <c r="A24" s="275"/>
      <c r="B24" s="278">
        <v>2019</v>
      </c>
      <c r="C24" s="278">
        <v>2020</v>
      </c>
      <c r="D24" s="278">
        <v>202</v>
      </c>
      <c r="E24" s="278">
        <v>2022</v>
      </c>
      <c r="F24" s="278">
        <v>2023</v>
      </c>
      <c r="G24" s="278">
        <v>2024</v>
      </c>
      <c r="H24" s="278">
        <v>2025</v>
      </c>
    </row>
    <row r="25" spans="1:8" x14ac:dyDescent="0.3">
      <c r="A25" s="275" t="s">
        <v>338</v>
      </c>
      <c r="B25" s="276">
        <f>B11</f>
        <v>15781.91</v>
      </c>
      <c r="C25" s="276">
        <f t="shared" ref="C25:H25" si="1">C11</f>
        <v>17402.96</v>
      </c>
      <c r="D25" s="276">
        <f t="shared" si="1"/>
        <v>19927.560000000001</v>
      </c>
      <c r="E25" s="276">
        <f t="shared" si="1"/>
        <v>22513.55</v>
      </c>
      <c r="F25" s="276">
        <f t="shared" si="1"/>
        <v>24638.09</v>
      </c>
      <c r="G25" s="276">
        <f t="shared" si="1"/>
        <v>27973.919999999998</v>
      </c>
      <c r="H25" s="276">
        <f t="shared" si="1"/>
        <v>32099.24</v>
      </c>
    </row>
    <row r="26" spans="1:8" x14ac:dyDescent="0.3">
      <c r="A26" s="275" t="s">
        <v>337</v>
      </c>
      <c r="B26" s="276">
        <f>B12</f>
        <v>0</v>
      </c>
      <c r="C26" s="276">
        <f t="shared" ref="C26:H26" si="2">C12</f>
        <v>0</v>
      </c>
      <c r="D26" s="276">
        <f t="shared" si="2"/>
        <v>29.46</v>
      </c>
      <c r="E26" s="276">
        <f t="shared" si="2"/>
        <v>15.53</v>
      </c>
      <c r="F26" s="276">
        <f t="shared" si="2"/>
        <v>35.53</v>
      </c>
      <c r="G26" s="276">
        <f t="shared" si="2"/>
        <v>29.55</v>
      </c>
      <c r="H26" s="276">
        <f t="shared" si="2"/>
        <v>86.18</v>
      </c>
    </row>
    <row r="27" spans="1:8" x14ac:dyDescent="0.3">
      <c r="A27" s="275" t="s">
        <v>500</v>
      </c>
      <c r="B27" s="276">
        <f>B25+B26</f>
        <v>15781.91</v>
      </c>
      <c r="C27" s="276">
        <f t="shared" ref="C27:H27" si="3">C25+C26</f>
        <v>17402.96</v>
      </c>
      <c r="D27" s="276">
        <f t="shared" si="3"/>
        <v>19957.02</v>
      </c>
      <c r="E27" s="276">
        <f t="shared" si="3"/>
        <v>22529.079999999998</v>
      </c>
      <c r="F27" s="276">
        <f t="shared" si="3"/>
        <v>24673.62</v>
      </c>
      <c r="G27" s="276">
        <f t="shared" si="3"/>
        <v>28003.469999999998</v>
      </c>
      <c r="H27" s="276">
        <f t="shared" si="3"/>
        <v>32185.420000000002</v>
      </c>
    </row>
    <row r="28" spans="1:8" x14ac:dyDescent="0.3">
      <c r="A28" s="275" t="s">
        <v>501</v>
      </c>
      <c r="B28" s="275">
        <f>B25/B27</f>
        <v>1</v>
      </c>
      <c r="C28" s="275">
        <f t="shared" ref="C28:H28" si="4">C25/C27</f>
        <v>1</v>
      </c>
      <c r="D28" s="275">
        <f t="shared" si="4"/>
        <v>0.99852382770573966</v>
      </c>
      <c r="E28" s="275">
        <f t="shared" si="4"/>
        <v>0.9993106687001867</v>
      </c>
      <c r="F28" s="275">
        <f t="shared" si="4"/>
        <v>0.99856000051877269</v>
      </c>
      <c r="G28" s="275">
        <f t="shared" si="4"/>
        <v>0.99894477362983947</v>
      </c>
      <c r="H28" s="275">
        <f t="shared" si="4"/>
        <v>0.99732239007600332</v>
      </c>
    </row>
    <row r="29" spans="1:8" x14ac:dyDescent="0.3">
      <c r="A29" s="275" t="s">
        <v>502</v>
      </c>
      <c r="B29" s="275">
        <f>B26/B27</f>
        <v>0</v>
      </c>
      <c r="C29" s="275">
        <f t="shared" ref="C29:H29" si="5">C26/C27</f>
        <v>0</v>
      </c>
      <c r="D29" s="275">
        <f t="shared" si="5"/>
        <v>1.4761722942603656E-3</v>
      </c>
      <c r="E29" s="275">
        <f t="shared" si="5"/>
        <v>6.8933129981339672E-4</v>
      </c>
      <c r="F29" s="275">
        <f t="shared" si="5"/>
        <v>1.439999481227319E-3</v>
      </c>
      <c r="G29" s="275">
        <f t="shared" si="5"/>
        <v>1.0552263701605552E-3</v>
      </c>
      <c r="H29" s="275">
        <f t="shared" si="5"/>
        <v>2.6776099239966419E-3</v>
      </c>
    </row>
    <row r="30" spans="1:8" x14ac:dyDescent="0.3">
      <c r="A30" s="279" t="s">
        <v>332</v>
      </c>
      <c r="B30" s="286">
        <f>(B28*$B$21)+(B29*$B$22)</f>
        <v>9.3621772874267303E-2</v>
      </c>
      <c r="C30" s="286">
        <f t="shared" ref="C30:H30" si="6">(C28*$B$21)+(C29*$B$22)</f>
        <v>9.3621772874267303E-2</v>
      </c>
      <c r="D30" s="286">
        <f t="shared" si="6"/>
        <v>9.3681256444689595E-2</v>
      </c>
      <c r="E30" s="286">
        <f t="shared" si="6"/>
        <v>9.364955004301391E-2</v>
      </c>
      <c r="F30" s="286">
        <f t="shared" si="6"/>
        <v>9.3679798831591318E-2</v>
      </c>
      <c r="G30" s="286">
        <f t="shared" si="6"/>
        <v>9.3664294084254071E-2</v>
      </c>
      <c r="H30" s="286">
        <f t="shared" si="6"/>
        <v>9.3729669357013073E-2</v>
      </c>
    </row>
    <row r="32" spans="1:8" ht="18" x14ac:dyDescent="0.35">
      <c r="A32" s="283" t="s">
        <v>503</v>
      </c>
      <c r="B32" s="287">
        <f>B7-(B30*B13)</f>
        <v>-452489.65957205679</v>
      </c>
      <c r="C32" s="287">
        <f t="shared" ref="C32:H32" si="7">C7-(C30*C13)</f>
        <v>-452431.94880982966</v>
      </c>
      <c r="D32" s="287">
        <f t="shared" si="7"/>
        <v>-452794.58817981964</v>
      </c>
      <c r="E32" s="287">
        <f t="shared" si="7"/>
        <v>-453420.13691238087</v>
      </c>
      <c r="F32" s="287">
        <f t="shared" si="7"/>
        <v>-452738.27080491721</v>
      </c>
      <c r="G32" s="287">
        <f t="shared" si="7"/>
        <v>-451598.37762028526</v>
      </c>
      <c r="H32" s="287">
        <f t="shared" si="7"/>
        <v>-451152.34555401001</v>
      </c>
    </row>
  </sheetData>
  <mergeCells count="3">
    <mergeCell ref="A3:H3"/>
    <mergeCell ref="A15:H15"/>
    <mergeCell ref="A9:H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5352-D048-4BB4-AC09-885307221C55}">
  <dimension ref="A1:O40"/>
  <sheetViews>
    <sheetView zoomScale="98" zoomScaleNormal="80" workbookViewId="0">
      <selection activeCell="D8" sqref="D8"/>
    </sheetView>
  </sheetViews>
  <sheetFormatPr defaultRowHeight="14.4" x14ac:dyDescent="0.3"/>
  <cols>
    <col min="1" max="1" width="28.21875" bestFit="1" customWidth="1"/>
    <col min="2" max="6" width="12.109375" bestFit="1" customWidth="1"/>
    <col min="7" max="7" width="13.77734375" bestFit="1" customWidth="1"/>
    <col min="10" max="10" width="24.88671875" bestFit="1" customWidth="1"/>
    <col min="11" max="11" width="13.109375" bestFit="1" customWidth="1"/>
  </cols>
  <sheetData>
    <row r="1" spans="1:15" ht="33.6" x14ac:dyDescent="0.65">
      <c r="A1" s="335" t="s">
        <v>339</v>
      </c>
      <c r="B1" s="335"/>
      <c r="C1" s="335"/>
      <c r="D1" s="335"/>
      <c r="E1" s="335"/>
      <c r="F1" s="335"/>
      <c r="G1" s="335"/>
      <c r="H1" s="335"/>
      <c r="I1" s="335"/>
      <c r="J1" s="335"/>
      <c r="K1" s="335"/>
      <c r="L1" s="335"/>
      <c r="M1" s="335"/>
      <c r="N1" s="335"/>
      <c r="O1" s="335"/>
    </row>
    <row r="2" spans="1:15" x14ac:dyDescent="0.3">
      <c r="A2" s="144"/>
    </row>
    <row r="3" spans="1:15" ht="15" thickBot="1" x14ac:dyDescent="0.35"/>
    <row r="4" spans="1:15" x14ac:dyDescent="0.3">
      <c r="A4" s="326" t="s">
        <v>340</v>
      </c>
      <c r="B4" s="327"/>
    </row>
    <row r="5" spans="1:15" x14ac:dyDescent="0.3">
      <c r="A5" s="25" t="s">
        <v>193</v>
      </c>
      <c r="B5" s="129">
        <f>Sources!C6</f>
        <v>0.23619999999999999</v>
      </c>
    </row>
    <row r="6" spans="1:15" x14ac:dyDescent="0.3">
      <c r="A6" s="25" t="s">
        <v>341</v>
      </c>
      <c r="B6" s="129">
        <f>WACC!D27</f>
        <v>9.3729669357013073E-2</v>
      </c>
    </row>
    <row r="7" spans="1:15" x14ac:dyDescent="0.3">
      <c r="A7" s="25" t="s">
        <v>342</v>
      </c>
      <c r="B7" s="130">
        <f>Sources!C10</f>
        <v>0.06</v>
      </c>
    </row>
    <row r="8" spans="1:15" x14ac:dyDescent="0.3">
      <c r="A8" s="25" t="s">
        <v>343</v>
      </c>
      <c r="B8" s="325">
        <v>46112</v>
      </c>
    </row>
    <row r="9" spans="1:15" x14ac:dyDescent="0.3">
      <c r="A9" s="25" t="s">
        <v>344</v>
      </c>
      <c r="B9" s="325">
        <v>45747</v>
      </c>
    </row>
    <row r="10" spans="1:15" x14ac:dyDescent="0.3">
      <c r="A10" s="25" t="s">
        <v>345</v>
      </c>
      <c r="B10" s="110">
        <f>Sources!C13</f>
        <v>1242.6500000000001</v>
      </c>
    </row>
    <row r="11" spans="1:15" x14ac:dyDescent="0.3">
      <c r="A11" s="25" t="s">
        <v>346</v>
      </c>
      <c r="B11" s="131">
        <f>'Financial Statements'!I36</f>
        <v>161.52000000000001</v>
      </c>
    </row>
    <row r="12" spans="1:15" x14ac:dyDescent="0.3">
      <c r="A12" s="25" t="s">
        <v>347</v>
      </c>
      <c r="B12" s="131">
        <f>WACC!B5</f>
        <v>86.18</v>
      </c>
    </row>
    <row r="13" spans="1:15" ht="15" thickBot="1" x14ac:dyDescent="0.35">
      <c r="A13" s="29" t="s">
        <v>348</v>
      </c>
      <c r="B13" s="132">
        <f>'Financial Statements'!I67</f>
        <v>278.45</v>
      </c>
    </row>
    <row r="14" spans="1:15" x14ac:dyDescent="0.3">
      <c r="B14" s="143"/>
    </row>
    <row r="15" spans="1:15" x14ac:dyDescent="0.3">
      <c r="B15" s="143"/>
    </row>
    <row r="16" spans="1:15" x14ac:dyDescent="0.3">
      <c r="B16" s="143"/>
    </row>
    <row r="17" spans="1:11" ht="15" thickBot="1" x14ac:dyDescent="0.35">
      <c r="G17" s="133" t="s">
        <v>379</v>
      </c>
    </row>
    <row r="18" spans="1:11" ht="21.6" thickBot="1" x14ac:dyDescent="0.45">
      <c r="A18" s="328" t="s">
        <v>349</v>
      </c>
      <c r="B18" s="329"/>
      <c r="C18" s="329"/>
      <c r="D18" s="329"/>
      <c r="E18" s="329"/>
      <c r="F18" s="329"/>
      <c r="G18" s="330"/>
    </row>
    <row r="19" spans="1:11" ht="21" x14ac:dyDescent="0.4">
      <c r="A19" s="148" t="s">
        <v>350</v>
      </c>
      <c r="B19" s="145">
        <v>1</v>
      </c>
      <c r="C19" s="145">
        <v>2</v>
      </c>
      <c r="D19" s="145">
        <v>3</v>
      </c>
      <c r="E19" s="145">
        <v>4</v>
      </c>
      <c r="F19" s="145">
        <v>5</v>
      </c>
      <c r="G19" s="149" t="s">
        <v>366</v>
      </c>
      <c r="J19" s="333" t="s">
        <v>351</v>
      </c>
      <c r="K19" s="334"/>
    </row>
    <row r="20" spans="1:11" x14ac:dyDescent="0.3">
      <c r="A20" s="148" t="s">
        <v>163</v>
      </c>
      <c r="B20" s="145">
        <v>2026</v>
      </c>
      <c r="C20" s="145">
        <v>2027</v>
      </c>
      <c r="D20" s="145">
        <v>2028</v>
      </c>
      <c r="E20" s="145">
        <v>2029</v>
      </c>
      <c r="F20" s="145">
        <v>2030</v>
      </c>
      <c r="G20" s="149" t="s">
        <v>458</v>
      </c>
      <c r="J20" s="150" t="s">
        <v>352</v>
      </c>
      <c r="K20" s="131">
        <f>B31+C31+D31+E31+F31</f>
        <v>4089.9937383959332</v>
      </c>
    </row>
    <row r="21" spans="1:11" x14ac:dyDescent="0.3">
      <c r="A21" s="150" t="s">
        <v>239</v>
      </c>
      <c r="B21" s="128">
        <f>'Financial Statements'!J20</f>
        <v>1959.9287597124462</v>
      </c>
      <c r="C21" s="128">
        <f>'Financial Statements'!K20</f>
        <v>2182.4869135680947</v>
      </c>
      <c r="D21" s="128">
        <f>'Financial Statements'!L20</f>
        <v>2394.538671220977</v>
      </c>
      <c r="E21" s="128">
        <f>'Financial Statements'!M20</f>
        <v>2682.8471207754992</v>
      </c>
      <c r="F21" s="128">
        <f>'Financial Statements'!N20</f>
        <v>3324.1960773837563</v>
      </c>
      <c r="G21" s="110"/>
      <c r="J21" s="150" t="s">
        <v>353</v>
      </c>
      <c r="K21" s="131">
        <f>G27</f>
        <v>54914.212438198854</v>
      </c>
    </row>
    <row r="22" spans="1:11" x14ac:dyDescent="0.3">
      <c r="A22" s="150" t="s">
        <v>193</v>
      </c>
      <c r="B22" s="28">
        <f>$B$5</f>
        <v>0.23619999999999999</v>
      </c>
      <c r="C22" s="28">
        <f t="shared" ref="C22:F22" si="0">$B$5</f>
        <v>0.23619999999999999</v>
      </c>
      <c r="D22" s="28">
        <f t="shared" si="0"/>
        <v>0.23619999999999999</v>
      </c>
      <c r="E22" s="28">
        <f t="shared" si="0"/>
        <v>0.23619999999999999</v>
      </c>
      <c r="F22" s="28">
        <f t="shared" si="0"/>
        <v>0.23619999999999999</v>
      </c>
      <c r="G22" s="110"/>
      <c r="J22" s="150" t="s">
        <v>354</v>
      </c>
      <c r="K22" s="131">
        <f>G31</f>
        <v>35086.075458085215</v>
      </c>
    </row>
    <row r="23" spans="1:11" x14ac:dyDescent="0.3">
      <c r="A23" s="150" t="s">
        <v>355</v>
      </c>
      <c r="B23" s="128">
        <f>B21*(1-B22)</f>
        <v>1496.9935866683666</v>
      </c>
      <c r="C23" s="128">
        <f t="shared" ref="C23:F23" si="1">C21*(1-C22)</f>
        <v>1666.9835045833108</v>
      </c>
      <c r="D23" s="128">
        <f t="shared" si="1"/>
        <v>1828.9486370785824</v>
      </c>
      <c r="E23" s="128">
        <f t="shared" si="1"/>
        <v>2049.1586308483265</v>
      </c>
      <c r="F23" s="128">
        <f t="shared" si="1"/>
        <v>2539.0209639057134</v>
      </c>
      <c r="G23" s="110"/>
      <c r="J23" s="163" t="s">
        <v>356</v>
      </c>
      <c r="K23" s="166">
        <f>K22+K20</f>
        <v>39176.069196481149</v>
      </c>
    </row>
    <row r="24" spans="1:11" x14ac:dyDescent="0.3">
      <c r="A24" s="150" t="s">
        <v>357</v>
      </c>
      <c r="B24" s="128">
        <f>'PPE Schedule'!J12</f>
        <v>704.50559999999996</v>
      </c>
      <c r="C24" s="128">
        <f>'PPE Schedule'!K12</f>
        <v>713.53091962263159</v>
      </c>
      <c r="D24" s="128">
        <f>'PPE Schedule'!L12</f>
        <v>736.83114292239713</v>
      </c>
      <c r="E24" s="128">
        <f>'PPE Schedule'!M12</f>
        <v>721.05845252335723</v>
      </c>
      <c r="F24" s="128">
        <f>'PPE Schedule'!N12</f>
        <v>761.29694113387461</v>
      </c>
      <c r="G24" s="110"/>
      <c r="J24" s="150" t="s">
        <v>358</v>
      </c>
      <c r="K24" s="131">
        <f>B12</f>
        <v>86.18</v>
      </c>
    </row>
    <row r="25" spans="1:11" x14ac:dyDescent="0.3">
      <c r="A25" s="150" t="s">
        <v>359</v>
      </c>
      <c r="B25" s="146">
        <f>'PPE Schedule'!J8</f>
        <v>760.91384764144811</v>
      </c>
      <c r="C25" s="146">
        <f>'PPE Schedule'!K8</f>
        <v>859.15731524616581</v>
      </c>
      <c r="D25" s="146">
        <f>'PPE Schedule'!L8</f>
        <v>938.69284981312978</v>
      </c>
      <c r="E25" s="146">
        <f>'PPE Schedule'!M8</f>
        <v>989.31504326013976</v>
      </c>
      <c r="F25" s="146">
        <f>'PPE Schedule'!N8</f>
        <v>1119.8186245236898</v>
      </c>
      <c r="G25" s="110"/>
      <c r="J25" s="150" t="s">
        <v>360</v>
      </c>
      <c r="K25" s="131">
        <f>B13</f>
        <v>278.45</v>
      </c>
    </row>
    <row r="26" spans="1:11" x14ac:dyDescent="0.3">
      <c r="A26" s="150" t="s">
        <v>361</v>
      </c>
      <c r="B26" s="128">
        <f>'Financial Statements'!J89-'Financial Statements'!I89</f>
        <v>1401.1784644199533</v>
      </c>
      <c r="C26" s="128">
        <f>'Financial Statements'!K89-'Financial Statements'!J89</f>
        <v>424.10566127793572</v>
      </c>
      <c r="D26" s="128">
        <f>'Financial Statements'!L89-'Financial Statements'!K89</f>
        <v>355.98069083713835</v>
      </c>
      <c r="E26" s="128">
        <f>'Financial Statements'!M89-'Financial Statements'!L89</f>
        <v>280.15041931978431</v>
      </c>
      <c r="F26" s="128">
        <f>'Financial Statements'!N89-'Financial Statements'!M89</f>
        <v>433.10472528832997</v>
      </c>
      <c r="G26" s="110"/>
      <c r="J26" s="150" t="s">
        <v>362</v>
      </c>
      <c r="K26" s="166">
        <f>K23-K24+K25</f>
        <v>39368.339196481145</v>
      </c>
    </row>
    <row r="27" spans="1:11" x14ac:dyDescent="0.3">
      <c r="A27" s="151" t="s">
        <v>363</v>
      </c>
      <c r="B27" s="147">
        <f>B23+B24-B25-B26</f>
        <v>39.406874606965175</v>
      </c>
      <c r="C27" s="147">
        <f t="shared" ref="C27:F27" si="2">C23+C24-C25-C26</f>
        <v>1097.2514476818408</v>
      </c>
      <c r="D27" s="147">
        <f t="shared" si="2"/>
        <v>1271.1062393507113</v>
      </c>
      <c r="E27" s="147">
        <f t="shared" si="2"/>
        <v>1500.7516207917597</v>
      </c>
      <c r="F27" s="147">
        <f t="shared" si="2"/>
        <v>1747.3945552275682</v>
      </c>
      <c r="G27" s="152">
        <f>F27*(1+G29)/(G28-G29)</f>
        <v>54914.212438198854</v>
      </c>
      <c r="J27" s="150" t="s">
        <v>364</v>
      </c>
      <c r="K27" s="131">
        <f>B11</f>
        <v>161.52000000000001</v>
      </c>
    </row>
    <row r="28" spans="1:11" x14ac:dyDescent="0.3">
      <c r="A28" s="150" t="s">
        <v>332</v>
      </c>
      <c r="B28" s="28">
        <f>$B$6</f>
        <v>9.3729669357013073E-2</v>
      </c>
      <c r="C28" s="28">
        <f t="shared" ref="C28:G28" si="3">$B$6</f>
        <v>9.3729669357013073E-2</v>
      </c>
      <c r="D28" s="28">
        <f t="shared" si="3"/>
        <v>9.3729669357013073E-2</v>
      </c>
      <c r="E28" s="28">
        <f t="shared" si="3"/>
        <v>9.3729669357013073E-2</v>
      </c>
      <c r="F28" s="28">
        <f t="shared" si="3"/>
        <v>9.3729669357013073E-2</v>
      </c>
      <c r="G28" s="129">
        <f t="shared" si="3"/>
        <v>9.3729669357013073E-2</v>
      </c>
      <c r="J28" s="150" t="s">
        <v>365</v>
      </c>
      <c r="K28" s="167">
        <f>K26/K27</f>
        <v>243.73662206835775</v>
      </c>
    </row>
    <row r="29" spans="1:11" x14ac:dyDescent="0.3">
      <c r="A29" s="150" t="s">
        <v>366</v>
      </c>
      <c r="B29" s="26"/>
      <c r="C29" s="26"/>
      <c r="D29" s="26"/>
      <c r="E29" s="26"/>
      <c r="F29" s="27">
        <f>B7</f>
        <v>0.06</v>
      </c>
      <c r="G29" s="130">
        <f>B7</f>
        <v>0.06</v>
      </c>
      <c r="J29" s="150" t="s">
        <v>367</v>
      </c>
      <c r="K29" s="167">
        <f>B10</f>
        <v>1242.6500000000001</v>
      </c>
    </row>
    <row r="30" spans="1:11" x14ac:dyDescent="0.3">
      <c r="A30" s="150" t="s">
        <v>368</v>
      </c>
      <c r="B30" s="26">
        <f>1/(1+B28)^B19</f>
        <v>0.91430270935951174</v>
      </c>
      <c r="C30" s="26">
        <f t="shared" ref="C30:F30" si="4">1/(1+C28)^C19</f>
        <v>0.83594944434214369</v>
      </c>
      <c r="D30" s="26">
        <f t="shared" si="4"/>
        <v>0.76431084184960041</v>
      </c>
      <c r="E30" s="26">
        <f t="shared" si="4"/>
        <v>0.69881147349593886</v>
      </c>
      <c r="F30" s="26">
        <f t="shared" si="4"/>
        <v>0.63892522354884951</v>
      </c>
      <c r="G30" s="153">
        <f>1/(1+G28)^F19</f>
        <v>0.63892522354884951</v>
      </c>
      <c r="J30" s="150" t="s">
        <v>369</v>
      </c>
      <c r="K30" s="131">
        <f>B11</f>
        <v>161.52000000000001</v>
      </c>
    </row>
    <row r="31" spans="1:11" ht="15" thickBot="1" x14ac:dyDescent="0.35">
      <c r="A31" s="154" t="s">
        <v>370</v>
      </c>
      <c r="B31" s="155">
        <f>B27*B30</f>
        <v>36.029812220538801</v>
      </c>
      <c r="C31" s="155">
        <f t="shared" ref="C31:F31" si="5">C27*C30</f>
        <v>917.24673799324751</v>
      </c>
      <c r="D31" s="155">
        <f t="shared" si="5"/>
        <v>971.52027987842189</v>
      </c>
      <c r="E31" s="155">
        <f t="shared" si="5"/>
        <v>1048.7424514769082</v>
      </c>
      <c r="F31" s="155">
        <f t="shared" si="5"/>
        <v>1116.4544568268163</v>
      </c>
      <c r="G31" s="156">
        <f>G30*G27</f>
        <v>35086.075458085215</v>
      </c>
      <c r="J31" s="157" t="s">
        <v>371</v>
      </c>
      <c r="K31" s="168">
        <f>K30*K29</f>
        <v>200712.82800000004</v>
      </c>
    </row>
    <row r="33" spans="1:11" ht="15" thickBot="1" x14ac:dyDescent="0.35"/>
    <row r="34" spans="1:11" x14ac:dyDescent="0.3">
      <c r="A34" s="331" t="s">
        <v>459</v>
      </c>
      <c r="B34" s="332"/>
    </row>
    <row r="35" spans="1:11" x14ac:dyDescent="0.3">
      <c r="A35" s="150" t="s">
        <v>372</v>
      </c>
      <c r="B35" s="160">
        <f>B10</f>
        <v>1242.6500000000001</v>
      </c>
      <c r="E35" s="319" t="s">
        <v>595</v>
      </c>
      <c r="F35" s="322">
        <f>K28</f>
        <v>243.73662206835775</v>
      </c>
      <c r="G35" s="324">
        <v>0.1</v>
      </c>
      <c r="H35" s="324">
        <v>0.11</v>
      </c>
      <c r="I35" s="324">
        <v>0.12</v>
      </c>
      <c r="J35" s="324">
        <v>0.13</v>
      </c>
      <c r="K35" s="324">
        <v>0.14000000000000001</v>
      </c>
    </row>
    <row r="36" spans="1:11" x14ac:dyDescent="0.3">
      <c r="A36" s="150" t="s">
        <v>373</v>
      </c>
      <c r="B36" s="160">
        <f>B37-B35</f>
        <v>-998.91337793164234</v>
      </c>
      <c r="E36" s="321" t="s">
        <v>596</v>
      </c>
      <c r="F36" s="323">
        <v>0.04</v>
      </c>
      <c r="G36" s="320">
        <f t="dataTable" ref="G36:K40" dt2D="1" dtr="1" r1="B6" r2="B7"/>
        <v>142.43756093290472</v>
      </c>
      <c r="H36" s="320">
        <v>120.60484799509086</v>
      </c>
      <c r="I36" s="320">
        <v>104.27154730289318</v>
      </c>
      <c r="J36" s="320">
        <v>91.603011136760827</v>
      </c>
      <c r="K36" s="320">
        <v>81.498521943396938</v>
      </c>
    </row>
    <row r="37" spans="1:11" x14ac:dyDescent="0.3">
      <c r="A37" s="150" t="s">
        <v>374</v>
      </c>
      <c r="B37" s="160">
        <f>K28</f>
        <v>243.73662206835775</v>
      </c>
      <c r="F37" s="323">
        <v>0.05</v>
      </c>
      <c r="G37" s="320">
        <v>167.06802966850177</v>
      </c>
      <c r="H37" s="320">
        <v>137.57256712733343</v>
      </c>
      <c r="I37" s="320">
        <v>116.54889497714503</v>
      </c>
      <c r="J37" s="320">
        <v>100.81850049279208</v>
      </c>
      <c r="K37" s="320">
        <v>88.615616853791906</v>
      </c>
    </row>
    <row r="38" spans="1:11" x14ac:dyDescent="0.3">
      <c r="A38" s="150" t="s">
        <v>375</v>
      </c>
      <c r="B38" s="161">
        <f>B36/B35</f>
        <v>-0.80385738376183336</v>
      </c>
      <c r="F38" s="323">
        <v>0.06</v>
      </c>
      <c r="G38" s="320">
        <v>204.01373277189734</v>
      </c>
      <c r="H38" s="320">
        <v>161.32737391247306</v>
      </c>
      <c r="I38" s="320">
        <v>132.91869187614751</v>
      </c>
      <c r="J38" s="320">
        <v>112.66698680768943</v>
      </c>
      <c r="K38" s="320">
        <v>97.511985491785623</v>
      </c>
    </row>
    <row r="39" spans="1:11" ht="15.6" x14ac:dyDescent="0.3">
      <c r="A39" s="164" t="s">
        <v>376</v>
      </c>
      <c r="B39" s="165" t="s">
        <v>471</v>
      </c>
      <c r="F39" s="323">
        <v>7.0000000000000007E-2</v>
      </c>
      <c r="G39" s="320">
        <v>265.58990461089013</v>
      </c>
      <c r="H39" s="320">
        <v>196.95958409018252</v>
      </c>
      <c r="I39" s="320">
        <v>155.83640753475098</v>
      </c>
      <c r="J39" s="320">
        <v>128.46496856088592</v>
      </c>
      <c r="K39" s="320">
        <v>108.95017374063468</v>
      </c>
    </row>
    <row r="40" spans="1:11" ht="15" thickBot="1" x14ac:dyDescent="0.35">
      <c r="A40" s="157" t="s">
        <v>377</v>
      </c>
      <c r="B40" s="162" t="s">
        <v>475</v>
      </c>
      <c r="F40" s="323">
        <v>0.08</v>
      </c>
      <c r="G40" s="320">
        <v>388.74224828887537</v>
      </c>
      <c r="H40" s="320">
        <v>256.34660105303146</v>
      </c>
      <c r="I40" s="320">
        <v>190.21298102265615</v>
      </c>
      <c r="J40" s="320">
        <v>150.58214301536094</v>
      </c>
      <c r="K40" s="320">
        <v>124.20109140576677</v>
      </c>
    </row>
  </sheetData>
  <mergeCells count="5">
    <mergeCell ref="A4:B4"/>
    <mergeCell ref="A18:G18"/>
    <mergeCell ref="A34:B34"/>
    <mergeCell ref="J19:K19"/>
    <mergeCell ref="A1:O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32FC5-B8E2-4940-AD72-C0E597C12DAE}">
  <dimension ref="A1:O11"/>
  <sheetViews>
    <sheetView zoomScale="85" workbookViewId="0">
      <selection activeCell="E22" sqref="E22"/>
    </sheetView>
  </sheetViews>
  <sheetFormatPr defaultRowHeight="14.4" x14ac:dyDescent="0.3"/>
  <cols>
    <col min="1" max="1" width="23.6640625" bestFit="1" customWidth="1"/>
    <col min="2" max="2" width="6.5546875" bestFit="1" customWidth="1"/>
    <col min="3" max="3" width="17" bestFit="1" customWidth="1"/>
    <col min="4" max="4" width="15.21875" bestFit="1" customWidth="1"/>
    <col min="5" max="5" width="19.44140625" bestFit="1" customWidth="1"/>
    <col min="6" max="6" width="10.44140625" bestFit="1" customWidth="1"/>
    <col min="7" max="7" width="12.21875" bestFit="1" customWidth="1"/>
    <col min="11" max="11" width="7.6640625" bestFit="1" customWidth="1"/>
    <col min="12" max="12" width="9.44140625" bestFit="1" customWidth="1"/>
  </cols>
  <sheetData>
    <row r="1" spans="1:15" ht="17.399999999999999" x14ac:dyDescent="0.3">
      <c r="A1" s="402" t="s">
        <v>433</v>
      </c>
      <c r="B1" s="402"/>
      <c r="C1" s="402"/>
      <c r="D1" s="402"/>
      <c r="E1" s="402"/>
      <c r="F1" s="402"/>
      <c r="G1" s="402"/>
      <c r="H1" s="402"/>
      <c r="I1" s="402"/>
      <c r="J1" s="402"/>
      <c r="K1" s="402"/>
      <c r="L1" s="402"/>
      <c r="M1" s="402"/>
    </row>
    <row r="2" spans="1:15" ht="15" thickBot="1" x14ac:dyDescent="0.35"/>
    <row r="3" spans="1:15" ht="14.4" customHeight="1" x14ac:dyDescent="0.3">
      <c r="A3" s="185" t="s">
        <v>434</v>
      </c>
      <c r="B3" s="403" t="s">
        <v>435</v>
      </c>
      <c r="C3" s="403"/>
      <c r="D3" s="403"/>
      <c r="E3" s="403"/>
      <c r="F3" s="403" t="s">
        <v>436</v>
      </c>
      <c r="G3" s="403"/>
      <c r="H3" s="403"/>
      <c r="I3" s="403"/>
      <c r="J3" s="403" t="s">
        <v>437</v>
      </c>
      <c r="K3" s="403"/>
      <c r="L3" s="403"/>
      <c r="M3" s="403"/>
      <c r="N3" s="24"/>
      <c r="O3" s="186"/>
    </row>
    <row r="4" spans="1:15" ht="26.4" x14ac:dyDescent="0.3">
      <c r="A4" s="187" t="s">
        <v>434</v>
      </c>
      <c r="B4" s="178" t="s">
        <v>443</v>
      </c>
      <c r="C4" s="178" t="s">
        <v>444</v>
      </c>
      <c r="D4" s="178" t="s">
        <v>445</v>
      </c>
      <c r="E4" s="178" t="s">
        <v>446</v>
      </c>
      <c r="F4" s="178" t="s">
        <v>447</v>
      </c>
      <c r="G4" s="178" t="s">
        <v>448</v>
      </c>
      <c r="H4" s="178" t="s">
        <v>449</v>
      </c>
      <c r="I4" s="178" t="s">
        <v>450</v>
      </c>
      <c r="J4" s="178" t="s">
        <v>451</v>
      </c>
      <c r="K4" s="178" t="s">
        <v>393</v>
      </c>
      <c r="L4" s="178" t="s">
        <v>438</v>
      </c>
      <c r="M4" s="178" t="s">
        <v>439</v>
      </c>
      <c r="N4" s="178" t="s">
        <v>452</v>
      </c>
      <c r="O4" s="188" t="s">
        <v>453</v>
      </c>
    </row>
    <row r="5" spans="1:15" x14ac:dyDescent="0.3">
      <c r="A5" s="203" t="s">
        <v>454</v>
      </c>
      <c r="B5" s="179">
        <v>1744</v>
      </c>
      <c r="C5" s="180">
        <v>239.93</v>
      </c>
      <c r="D5" s="181">
        <f>B5*C5</f>
        <v>418437.92</v>
      </c>
      <c r="E5" s="181">
        <f>D5+N5</f>
        <v>402637.92</v>
      </c>
      <c r="F5" s="181">
        <v>55370</v>
      </c>
      <c r="G5" s="181">
        <v>17112</v>
      </c>
      <c r="H5" s="181">
        <f>G5-O5</f>
        <v>13280</v>
      </c>
      <c r="I5" s="182">
        <v>45.9</v>
      </c>
      <c r="J5" s="183">
        <f>B5/I5</f>
        <v>37.995642701525057</v>
      </c>
      <c r="K5" s="183">
        <f>E5/F5</f>
        <v>7.271770272710854</v>
      </c>
      <c r="L5" s="183">
        <f>E5/G5</f>
        <v>23.529565217391305</v>
      </c>
      <c r="M5" s="183">
        <f>E5/H5</f>
        <v>30.319120481927708</v>
      </c>
      <c r="N5" s="184">
        <v>-15800</v>
      </c>
      <c r="O5" s="189">
        <v>3832</v>
      </c>
    </row>
    <row r="6" spans="1:15" x14ac:dyDescent="0.3">
      <c r="A6" s="203" t="s">
        <v>455</v>
      </c>
      <c r="B6" s="179">
        <v>871</v>
      </c>
      <c r="C6" s="180">
        <v>100.63</v>
      </c>
      <c r="D6" s="181">
        <f t="shared" ref="D6:D8" si="0">B6*C6</f>
        <v>87648.73</v>
      </c>
      <c r="E6" s="181">
        <f t="shared" ref="E6:E8" si="1">D6+N6</f>
        <v>84448.73</v>
      </c>
      <c r="F6" s="181">
        <v>22950</v>
      </c>
      <c r="G6" s="181">
        <v>6311</v>
      </c>
      <c r="H6" s="181">
        <f t="shared" ref="H6:H8" si="2">G6-O6</f>
        <v>4980</v>
      </c>
      <c r="I6" s="182">
        <v>49</v>
      </c>
      <c r="J6" s="183">
        <f t="shared" ref="J6:J8" si="3">B6/I6</f>
        <v>17.775510204081634</v>
      </c>
      <c r="K6" s="183">
        <v>3.6796832244008701</v>
      </c>
      <c r="L6" s="183">
        <v>13.3811963238789</v>
      </c>
      <c r="M6" s="183">
        <v>16.957576305220901</v>
      </c>
      <c r="N6" s="184">
        <v>-3200</v>
      </c>
      <c r="O6" s="189">
        <v>1331</v>
      </c>
    </row>
    <row r="7" spans="1:15" x14ac:dyDescent="0.3">
      <c r="A7" s="203" t="s">
        <v>456</v>
      </c>
      <c r="B7" s="179">
        <v>1214</v>
      </c>
      <c r="C7" s="180">
        <v>83.24</v>
      </c>
      <c r="D7" s="181">
        <f t="shared" si="0"/>
        <v>101053.36</v>
      </c>
      <c r="E7" s="181">
        <f t="shared" si="1"/>
        <v>95653.36</v>
      </c>
      <c r="F7" s="181">
        <v>32380</v>
      </c>
      <c r="G7" s="181">
        <v>9131</v>
      </c>
      <c r="H7" s="181">
        <f t="shared" si="2"/>
        <v>7260</v>
      </c>
      <c r="I7" s="182">
        <v>53</v>
      </c>
      <c r="J7" s="183">
        <f t="shared" si="3"/>
        <v>22.90566037735849</v>
      </c>
      <c r="K7" s="183">
        <v>2.9540877084620099</v>
      </c>
      <c r="L7" s="183">
        <v>10.4756718869784</v>
      </c>
      <c r="M7" s="183">
        <v>13.175393939393899</v>
      </c>
      <c r="N7" s="184">
        <v>-5400</v>
      </c>
      <c r="O7" s="189">
        <v>1871</v>
      </c>
    </row>
    <row r="8" spans="1:15" ht="15" thickBot="1" x14ac:dyDescent="0.35">
      <c r="A8" s="204" t="s">
        <v>442</v>
      </c>
      <c r="B8" s="190">
        <v>2290</v>
      </c>
      <c r="C8" s="191">
        <v>45.72</v>
      </c>
      <c r="D8" s="192">
        <f t="shared" si="0"/>
        <v>104698.8</v>
      </c>
      <c r="E8" s="192">
        <f t="shared" si="1"/>
        <v>105898.8</v>
      </c>
      <c r="F8" s="192">
        <v>22708</v>
      </c>
      <c r="G8" s="192">
        <v>5609</v>
      </c>
      <c r="H8" s="192">
        <f t="shared" si="2"/>
        <v>4440</v>
      </c>
      <c r="I8" s="193">
        <v>71.7</v>
      </c>
      <c r="J8" s="194">
        <f t="shared" si="3"/>
        <v>31.938633193863318</v>
      </c>
      <c r="K8" s="194">
        <v>4.6635018495684299</v>
      </c>
      <c r="L8" s="194">
        <v>18.880156890711401</v>
      </c>
      <c r="M8" s="194">
        <v>23.851081081081102</v>
      </c>
      <c r="N8" s="195">
        <v>1200</v>
      </c>
      <c r="O8" s="196">
        <v>1169</v>
      </c>
    </row>
    <row r="9" spans="1:15" ht="15" thickBot="1" x14ac:dyDescent="0.35">
      <c r="A9" s="18"/>
      <c r="B9" s="18"/>
      <c r="C9" s="18"/>
      <c r="D9" s="18"/>
      <c r="E9" s="18"/>
      <c r="F9" s="18"/>
      <c r="G9" s="18"/>
      <c r="H9" s="18"/>
      <c r="I9" s="18"/>
      <c r="J9" s="123"/>
      <c r="K9" s="123"/>
      <c r="L9" s="123"/>
      <c r="M9" s="123"/>
      <c r="N9" s="18"/>
      <c r="O9" s="18"/>
    </row>
    <row r="10" spans="1:15" ht="15" thickBot="1" x14ac:dyDescent="0.35">
      <c r="A10" s="205" t="s">
        <v>440</v>
      </c>
      <c r="B10" s="200"/>
      <c r="C10" s="200"/>
      <c r="D10" s="200"/>
      <c r="E10" s="200"/>
      <c r="F10" s="200"/>
      <c r="G10" s="200"/>
      <c r="H10" s="200"/>
      <c r="I10" s="200"/>
      <c r="J10" s="201">
        <f>AVERAGE(J5:J8)</f>
        <v>27.653861619207127</v>
      </c>
      <c r="K10" s="201">
        <f t="shared" ref="K10:M10" si="4">AVERAGE(K5:K8)</f>
        <v>4.6422607637855418</v>
      </c>
      <c r="L10" s="201">
        <f t="shared" si="4"/>
        <v>16.566647579740003</v>
      </c>
      <c r="M10" s="202">
        <f t="shared" si="4"/>
        <v>21.075792951905903</v>
      </c>
      <c r="N10" s="18"/>
      <c r="O10" s="18"/>
    </row>
    <row r="11" spans="1:15" ht="15" thickBot="1" x14ac:dyDescent="0.35">
      <c r="A11" s="206" t="s">
        <v>441</v>
      </c>
      <c r="B11" s="197"/>
      <c r="C11" s="197"/>
      <c r="D11" s="197"/>
      <c r="E11" s="197"/>
      <c r="F11" s="197"/>
      <c r="G11" s="197"/>
      <c r="H11" s="197"/>
      <c r="I11" s="197"/>
      <c r="J11" s="198">
        <f>MEDIAN(J5:J8)</f>
        <v>27.422146785610906</v>
      </c>
      <c r="K11" s="198">
        <f t="shared" ref="K11:M11" si="5">MEDIAN(K5:K8)</f>
        <v>4.17159253698465</v>
      </c>
      <c r="L11" s="198">
        <f t="shared" si="5"/>
        <v>16.13067660729515</v>
      </c>
      <c r="M11" s="199">
        <f t="shared" si="5"/>
        <v>20.404328693151001</v>
      </c>
      <c r="N11" s="18"/>
      <c r="O11" s="18"/>
    </row>
  </sheetData>
  <mergeCells count="4">
    <mergeCell ref="A1:M1"/>
    <mergeCell ref="B3:E3"/>
    <mergeCell ref="F3:I3"/>
    <mergeCell ref="J3:M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D853-03DE-4733-B0C3-2A9004B9F0B1}">
  <dimension ref="A1:M33"/>
  <sheetViews>
    <sheetView topLeftCell="A16" workbookViewId="0">
      <selection activeCell="B33" sqref="B33"/>
    </sheetView>
  </sheetViews>
  <sheetFormatPr defaultRowHeight="14.4" x14ac:dyDescent="0.3"/>
  <cols>
    <col min="1" max="1" width="22.77734375" bestFit="1" customWidth="1"/>
  </cols>
  <sheetData>
    <row r="1" spans="1:13" ht="25.8" x14ac:dyDescent="0.5">
      <c r="A1" s="404" t="s">
        <v>378</v>
      </c>
      <c r="B1" s="404"/>
      <c r="C1" s="404"/>
      <c r="D1" s="404"/>
      <c r="E1" s="404"/>
      <c r="F1" s="404"/>
      <c r="G1" s="404"/>
      <c r="H1" s="404"/>
      <c r="I1" s="404"/>
      <c r="J1" s="404"/>
      <c r="K1" s="404"/>
      <c r="L1" s="404"/>
      <c r="M1" s="404"/>
    </row>
    <row r="2" spans="1:13" ht="15" thickBot="1" x14ac:dyDescent="0.35">
      <c r="A2" s="43"/>
      <c r="B2" s="43"/>
      <c r="C2" s="43"/>
      <c r="D2" s="43"/>
      <c r="E2" s="43"/>
      <c r="F2" s="43"/>
      <c r="G2" s="43"/>
      <c r="H2" s="43"/>
    </row>
    <row r="3" spans="1:13" ht="28.8" x14ac:dyDescent="0.3">
      <c r="A3" s="225" t="s">
        <v>366</v>
      </c>
      <c r="B3" s="219" t="s">
        <v>164</v>
      </c>
      <c r="C3" s="219" t="s">
        <v>165</v>
      </c>
      <c r="D3" s="219" t="s">
        <v>166</v>
      </c>
      <c r="E3" s="219" t="s">
        <v>167</v>
      </c>
      <c r="F3" s="219" t="s">
        <v>168</v>
      </c>
      <c r="G3" s="219" t="s">
        <v>169</v>
      </c>
      <c r="H3" s="219" t="s">
        <v>170</v>
      </c>
      <c r="I3" s="219" t="s">
        <v>171</v>
      </c>
      <c r="J3" s="219" t="s">
        <v>172</v>
      </c>
      <c r="K3" s="219" t="s">
        <v>173</v>
      </c>
      <c r="L3" s="219" t="s">
        <v>174</v>
      </c>
      <c r="M3" s="220" t="s">
        <v>175</v>
      </c>
    </row>
    <row r="4" spans="1:13" x14ac:dyDescent="0.3">
      <c r="A4" s="212" t="s">
        <v>380</v>
      </c>
      <c r="B4" s="207">
        <f>('Financial Statements'!D20-'Financial Statements'!C20)/'Financial Statements'!C20</f>
        <v>7.8722629635410282E-2</v>
      </c>
      <c r="C4" s="207">
        <f>('Financial Statements'!E20-'Financial Statements'!D20)/'Financial Statements'!D20</f>
        <v>-9.4163138964158427E-2</v>
      </c>
      <c r="D4" s="207">
        <f>('Financial Statements'!F20-'Financial Statements'!E20)/'Financial Statements'!E20</f>
        <v>-1.0856415933913843</v>
      </c>
      <c r="E4" s="207">
        <f>('Financial Statements'!G20-'Financial Statements'!F20)/'Financial Statements'!F20</f>
        <v>-13.481292728402924</v>
      </c>
      <c r="F4" s="207">
        <f>('Financial Statements'!H20-'Financial Statements'!G20)/'Financial Statements'!G20</f>
        <v>1.3885292594510632</v>
      </c>
      <c r="G4" s="207">
        <f>('Financial Statements'!I20-'Financial Statements'!H20)/'Financial Statements'!H20</f>
        <v>0.41629940334477261</v>
      </c>
      <c r="H4" s="207">
        <f>('Financial Statements'!J20-'Financial Statements'!I20)/'Financial Statements'!I20</f>
        <v>-0.42300901148064046</v>
      </c>
      <c r="I4" s="207">
        <f>('Financial Statements'!K20-'Financial Statements'!J20)/'Financial Statements'!J20</f>
        <v>0.11355420586220767</v>
      </c>
      <c r="J4" s="207">
        <f>('Financial Statements'!L20-'Financial Statements'!K20)/'Financial Statements'!K20</f>
        <v>9.7160608998201989E-2</v>
      </c>
      <c r="K4" s="207">
        <f>('Financial Statements'!M20-'Financial Statements'!L20)/'Financial Statements'!L20</f>
        <v>0.12040250300385148</v>
      </c>
      <c r="L4" s="207">
        <f>('Financial Statements'!N20-'Financial Statements'!M20)/'Financial Statements'!M20</f>
        <v>0.23905534968495332</v>
      </c>
      <c r="M4" s="213">
        <f>('Financial Statements'!O20-'Financial Statements'!N20)/'Financial Statements'!N20</f>
        <v>-1</v>
      </c>
    </row>
    <row r="5" spans="1:13" x14ac:dyDescent="0.3">
      <c r="A5" s="212" t="s">
        <v>381</v>
      </c>
      <c r="B5" s="207">
        <f>('Financial Statements'!D14-'Financial Statements'!C14)/'Financial Statements'!C14</f>
        <v>6.9062812281608044E-2</v>
      </c>
      <c r="C5" s="207">
        <f>('Financial Statements'!E14-'Financial Statements'!D14)/'Financial Statements'!D14</f>
        <v>-0.13979020167276662</v>
      </c>
      <c r="D5" s="207">
        <f>('Financial Statements'!F14-'Financial Statements'!E14)/'Financial Statements'!E14</f>
        <v>-0.7304261363636354</v>
      </c>
      <c r="E5" s="207">
        <f>('Financial Statements'!G14-'Financial Statements'!F14)/'Financial Statements'!F14</f>
        <v>3.2154863526188042</v>
      </c>
      <c r="F5" s="207">
        <f>('Financial Statements'!H14-'Financial Statements'!G14)/'Financial Statements'!G14</f>
        <v>0.86619000893733322</v>
      </c>
      <c r="G5" s="207">
        <f>('Financial Statements'!I14-'Financial Statements'!H14)/'Financial Statements'!H14</f>
        <v>0.32979008426100881</v>
      </c>
      <c r="H5" s="207">
        <f>('Financial Statements'!J14-'Financial Statements'!I14)/'Financial Statements'!I14</f>
        <v>-0.32897616044716405</v>
      </c>
      <c r="I5" s="207">
        <f>('Financial Statements'!K14-'Financial Statements'!J14)/'Financial Statements'!J14</f>
        <v>8.6916561721292848E-2</v>
      </c>
      <c r="J5" s="207">
        <f>('Financial Statements'!L14-'Financial Statements'!K14)/'Financial Statements'!K14</f>
        <v>8.1267448789618002E-2</v>
      </c>
      <c r="K5" s="207">
        <f>('Financial Statements'!M14-'Financial Statements'!L14)/'Financial Statements'!L14</f>
        <v>8.7034037923124599E-2</v>
      </c>
      <c r="L5" s="207">
        <f>('Financial Statements'!N14-'Financial Statements'!M14)/'Financial Statements'!M14</f>
        <v>0.20023688393865222</v>
      </c>
      <c r="M5" s="213">
        <f>('Financial Statements'!O14-'Financial Statements'!N14)/'Financial Statements'!N14</f>
        <v>-1</v>
      </c>
    </row>
    <row r="6" spans="1:13" x14ac:dyDescent="0.3">
      <c r="A6" s="212" t="s">
        <v>382</v>
      </c>
      <c r="B6" s="207">
        <f>('Financial Statements'!D25-'Financial Statements'!C25)/'Financial Statements'!C25</f>
        <v>0.22757769763981336</v>
      </c>
      <c r="C6" s="207">
        <f>('Financial Statements'!E25-'Financial Statements'!D25)/'Financial Statements'!D25</f>
        <v>6.4753663450049015E-2</v>
      </c>
      <c r="D6" s="207">
        <f>('Financial Statements'!F25-'Financial Statements'!E25)/'Financial Statements'!E25</f>
        <v>0.19837700747078921</v>
      </c>
      <c r="E6" s="207">
        <f>('Financial Statements'!G25-'Financial Statements'!F25)/'Financial Statements'!F25</f>
        <v>-0.15026048621840277</v>
      </c>
      <c r="F6" s="207">
        <f>('Financial Statements'!H25-'Financial Statements'!G25)/'Financial Statements'!G25</f>
        <v>0.62215980298153561</v>
      </c>
      <c r="G6" s="207">
        <f>('Financial Statements'!I25-'Financial Statements'!H25)/'Financial Statements'!H25</f>
        <v>0.26498252498620384</v>
      </c>
      <c r="H6" s="207">
        <f>('Financial Statements'!J25-'Financial Statements'!I25)/'Financial Statements'!I25</f>
        <v>-0.70912749819371801</v>
      </c>
      <c r="I6" s="207">
        <f>('Financial Statements'!K25-'Financial Statements'!J25)/'Financial Statements'!J25</f>
        <v>0.11538496106976914</v>
      </c>
      <c r="J6" s="207">
        <f>('Financial Statements'!L25-'Financial Statements'!K25)/'Financial Statements'!K25</f>
        <v>8.8379754646697534E-2</v>
      </c>
      <c r="K6" s="207">
        <f>('Financial Statements'!M25-'Financial Statements'!L25)/'Financial Statements'!L25</f>
        <v>0.12199018942345248</v>
      </c>
      <c r="L6" s="207">
        <f>('Financial Statements'!N25-'Financial Statements'!M25)/'Financial Statements'!M25</f>
        <v>0.24008736095846375</v>
      </c>
      <c r="M6" s="213">
        <f>('Financial Statements'!O25-'Financial Statements'!N25)/'Financial Statements'!N25</f>
        <v>-1</v>
      </c>
    </row>
    <row r="7" spans="1:13" ht="15" thickBot="1" x14ac:dyDescent="0.35">
      <c r="A7" s="216" t="s">
        <v>383</v>
      </c>
      <c r="B7" s="221">
        <f>('Financial Statements'!D28-'Financial Statements'!C28)/'Financial Statements'!C28</f>
        <v>0.22653583617747433</v>
      </c>
      <c r="C7" s="221">
        <f>('Financial Statements'!E28-'Financial Statements'!D28)/'Financial Statements'!D28</f>
        <v>6.4695652173913029E-2</v>
      </c>
      <c r="D7" s="221">
        <f>('Financial Statements'!F28-'Financial Statements'!E28)/'Financial Statements'!E28</f>
        <v>0.19764782750735044</v>
      </c>
      <c r="E7" s="221">
        <f>('Financial Statements'!G28-'Financial Statements'!F28)/'Financial Statements'!F28</f>
        <v>-0.15057283142389516</v>
      </c>
      <c r="F7" s="221">
        <f>('Financial Statements'!H28-'Financial Statements'!G28)/'Financial Statements'!G28</f>
        <v>0.62170841361592799</v>
      </c>
      <c r="G7" s="221">
        <f>('Financial Statements'!I28-'Financial Statements'!H28)/'Financial Statements'!H28</f>
        <v>0.26455445544554457</v>
      </c>
      <c r="H7" s="221">
        <f>('Financial Statements'!J28-'Financial Statements'!I28)/'Financial Statements'!I28</f>
        <v>-0.70889337795130958</v>
      </c>
      <c r="I7" s="221">
        <f>('Financial Statements'!K28-'Financial Statements'!J28)/'Financial Statements'!J28</f>
        <v>0.11538496106976927</v>
      </c>
      <c r="J7" s="221">
        <f>('Financial Statements'!L28-'Financial Statements'!K28)/'Financial Statements'!K28</f>
        <v>8.8379754646697561E-2</v>
      </c>
      <c r="K7" s="221">
        <f>('Financial Statements'!M28-'Financial Statements'!L28)/'Financial Statements'!L28</f>
        <v>0.12199018942345242</v>
      </c>
      <c r="L7" s="221">
        <f>('Financial Statements'!N28-'Financial Statements'!M28)/'Financial Statements'!M28</f>
        <v>0.24008736095846372</v>
      </c>
      <c r="M7" s="222">
        <f>('Financial Statements'!O28-'Financial Statements'!N28)/'Financial Statements'!N28</f>
        <v>-1</v>
      </c>
    </row>
    <row r="8" spans="1:13" ht="15" thickBot="1" x14ac:dyDescent="0.35">
      <c r="A8" s="43"/>
      <c r="B8" s="43"/>
    </row>
    <row r="9" spans="1:13" ht="28.8" x14ac:dyDescent="0.3">
      <c r="A9" s="225" t="s">
        <v>384</v>
      </c>
      <c r="B9" s="219" t="s">
        <v>164</v>
      </c>
      <c r="C9" s="219" t="s">
        <v>165</v>
      </c>
      <c r="D9" s="219" t="s">
        <v>166</v>
      </c>
      <c r="E9" s="219" t="s">
        <v>167</v>
      </c>
      <c r="F9" s="219" t="s">
        <v>168</v>
      </c>
      <c r="G9" s="219" t="s">
        <v>169</v>
      </c>
      <c r="H9" s="219" t="s">
        <v>170</v>
      </c>
      <c r="I9" s="219" t="s">
        <v>171</v>
      </c>
      <c r="J9" s="219" t="s">
        <v>172</v>
      </c>
      <c r="K9" s="219" t="s">
        <v>173</v>
      </c>
      <c r="L9" s="219" t="s">
        <v>174</v>
      </c>
      <c r="M9" s="220" t="s">
        <v>175</v>
      </c>
    </row>
    <row r="10" spans="1:13" x14ac:dyDescent="0.3">
      <c r="A10" s="212" t="s">
        <v>236</v>
      </c>
      <c r="B10" s="207">
        <f>('Financial Statements'!C14/'Financial Statements'!C7)</f>
        <v>0.12373272690098033</v>
      </c>
      <c r="C10" s="207">
        <f>('Financial Statements'!D14/'Financial Statements'!D7)</f>
        <v>0.12929857059913197</v>
      </c>
      <c r="D10" s="207">
        <f>('Financial Statements'!E14/'Financial Statements'!E7)</f>
        <v>0.12457189470489821</v>
      </c>
      <c r="E10" s="207">
        <f>('Financial Statements'!F14/'Financial Statements'!F7)</f>
        <v>2.899221573214979E-2</v>
      </c>
      <c r="F10" s="207">
        <f>('Financial Statements'!G14/'Financial Statements'!G7)</f>
        <v>0.11153656866968638</v>
      </c>
      <c r="G10" s="207">
        <f>('Financial Statements'!H14/'Financial Statements'!H7)</f>
        <v>0.18015558990584235</v>
      </c>
      <c r="H10" s="207">
        <f>('Financial Statements'!I14/'Financial Statements'!I7)</f>
        <v>0.20849205953315469</v>
      </c>
      <c r="I10" s="207">
        <f>('Financial Statements'!J14/'Financial Statements'!J7)</f>
        <v>0.12953994657797768</v>
      </c>
      <c r="J10" s="207">
        <f>('Financial Statements'!K14/'Financial Statements'!K7)</f>
        <v>0.13036954938897727</v>
      </c>
      <c r="K10" s="207">
        <f>('Financial Statements'!L14/'Financial Statements'!L7)</f>
        <v>0.13052254635895513</v>
      </c>
      <c r="L10" s="207">
        <f>('Financial Statements'!M14/'Financial Statements'!M7)</f>
        <v>0.13137263945239186</v>
      </c>
      <c r="M10" s="213">
        <f>('Financial Statements'!N14/'Financial Statements'!N7)</f>
        <v>0.1459984142695693</v>
      </c>
    </row>
    <row r="11" spans="1:13" x14ac:dyDescent="0.3">
      <c r="A11" s="212" t="s">
        <v>385</v>
      </c>
      <c r="B11" s="208">
        <f>'Financial Statements'!C20</f>
        <v>961.34999999999968</v>
      </c>
      <c r="C11" s="208">
        <f>'Financial Statements'!D20</f>
        <v>1037.0300000000013</v>
      </c>
      <c r="D11" s="208">
        <f>'Financial Statements'!E20</f>
        <v>939.38</v>
      </c>
      <c r="E11" s="208">
        <f>'Financial Statements'!F20</f>
        <v>-80.449999999998681</v>
      </c>
      <c r="F11" s="208">
        <f>'Financial Statements'!G20</f>
        <v>1004.1199999999989</v>
      </c>
      <c r="G11" s="208">
        <f>'Financial Statements'!H20</f>
        <v>2398.369999999999</v>
      </c>
      <c r="H11" s="208">
        <f>'Financial Statements'!I20</f>
        <v>3396.8100000000009</v>
      </c>
      <c r="I11" s="208">
        <f>'Financial Statements'!J20</f>
        <v>1959.9287597124462</v>
      </c>
      <c r="J11" s="208">
        <f>'Financial Statements'!K20</f>
        <v>2182.4869135680947</v>
      </c>
      <c r="K11" s="208">
        <f>'Financial Statements'!L20</f>
        <v>2394.538671220977</v>
      </c>
      <c r="L11" s="208">
        <f>'Financial Statements'!M20</f>
        <v>2682.8471207754992</v>
      </c>
      <c r="M11" s="214">
        <f>'Financial Statements'!N20</f>
        <v>3324.1960773837563</v>
      </c>
    </row>
    <row r="12" spans="1:13" x14ac:dyDescent="0.3">
      <c r="A12" s="212" t="s">
        <v>240</v>
      </c>
      <c r="B12" s="207">
        <f>'Financial Statements'!C20/'Financial Statements'!C7</f>
        <v>7.7691063769950053E-2</v>
      </c>
      <c r="C12" s="207">
        <f>'Financial Statements'!D20/'Financial Statements'!D7</f>
        <v>8.1919402171551914E-2</v>
      </c>
      <c r="D12" s="207">
        <f>'Financial Statements'!E20/'Financial Statements'!E7</f>
        <v>8.3111041511283582E-2</v>
      </c>
      <c r="E12" s="207">
        <f>'Financial Statements'!F20/'Financial Statements'!F7</f>
        <v>-6.1450725989340401E-3</v>
      </c>
      <c r="F12" s="207">
        <f>'Financial Statements'!G20/'Financial Statements'!G7</f>
        <v>6.9996249653197409E-2</v>
      </c>
      <c r="G12" s="207">
        <f>'Financial Statements'!H20/'Financial Statements'!H7</f>
        <v>0.14470380117700005</v>
      </c>
      <c r="H12" s="207">
        <f>'Financial Statements'!I20/'Financial Statements'!I7</f>
        <v>0.17835845386023</v>
      </c>
      <c r="I12" s="207">
        <f>'Financial Statements'!J20/'Financial Statements'!J7</f>
        <v>9.5288167225554332E-2</v>
      </c>
      <c r="J12" s="207">
        <f>'Financial Statements'!K20/'Financial Statements'!K7</f>
        <v>9.8248647576775372E-2</v>
      </c>
      <c r="K12" s="207">
        <f>'Financial Statements'!L20/'Financial Statements'!L7</f>
        <v>9.9809764822763491E-2</v>
      </c>
      <c r="L12" s="207">
        <f>'Financial Statements'!M20/'Financial Statements'!M7</f>
        <v>0.10354362067745368</v>
      </c>
      <c r="M12" s="213">
        <f>'Financial Statements'!N20/'Financial Statements'!N7</f>
        <v>0.11879284919087825</v>
      </c>
    </row>
    <row r="13" spans="1:13" x14ac:dyDescent="0.3">
      <c r="A13" s="212" t="s">
        <v>386</v>
      </c>
      <c r="B13" s="208">
        <f>'Financial Statements'!C25</f>
        <v>1888.41</v>
      </c>
      <c r="C13" s="208">
        <f>'Financial Statements'!D25</f>
        <v>2318.17</v>
      </c>
      <c r="D13" s="208">
        <f>'Financial Statements'!E25</f>
        <v>2468.2800000000002</v>
      </c>
      <c r="E13" s="208">
        <f>'Financial Statements'!F25</f>
        <v>2957.93</v>
      </c>
      <c r="F13" s="208">
        <f>'Financial Statements'!G25</f>
        <v>2513.4699999999998</v>
      </c>
      <c r="G13" s="208">
        <f>'Financial Statements'!H25</f>
        <v>4077.25</v>
      </c>
      <c r="H13" s="208">
        <f>'Financial Statements'!I25</f>
        <v>5157.6499999999996</v>
      </c>
      <c r="I13" s="208">
        <f>'Financial Statements'!J25</f>
        <v>1500.2185589411704</v>
      </c>
      <c r="J13" s="208">
        <f>'Financial Statements'!K25</f>
        <v>1673.3212189607425</v>
      </c>
      <c r="K13" s="208">
        <f>'Financial Statements'!L25</f>
        <v>1821.2089377376058</v>
      </c>
      <c r="L13" s="208">
        <f>'Financial Statements'!M25</f>
        <v>2043.378561031901</v>
      </c>
      <c r="M13" s="214">
        <f>'Financial Statements'!N25</f>
        <v>2533.9679271891532</v>
      </c>
    </row>
    <row r="14" spans="1:13" x14ac:dyDescent="0.3">
      <c r="A14" s="212" t="s">
        <v>244</v>
      </c>
      <c r="B14" s="207">
        <f>'Financial Statements'!C25/'Financial Statements'!C7</f>
        <v>0.15261099675852857</v>
      </c>
      <c r="C14" s="207">
        <f>'Financial Statements'!D25/'Financial Statements'!D7</f>
        <v>0.18312208955577589</v>
      </c>
      <c r="D14" s="207">
        <f>'Financial Statements'!E25/'Financial Statements'!E7</f>
        <v>0.21837948598168053</v>
      </c>
      <c r="E14" s="207">
        <f>'Financial Statements'!F25/'Financial Statements'!F7</f>
        <v>0.22593778238117168</v>
      </c>
      <c r="F14" s="207">
        <f>'Financial Statements'!G25/'Financial Statements'!G7</f>
        <v>0.17521160181633894</v>
      </c>
      <c r="G14" s="207">
        <f>'Financial Statements'!H25/'Financial Statements'!H7</f>
        <v>0.2459977290196774</v>
      </c>
      <c r="H14" s="207">
        <f>'Financial Statements'!I25/'Financial Statements'!I7</f>
        <v>0.27081599487525498</v>
      </c>
      <c r="I14" s="207">
        <f>'Financial Statements'!J25/'Financial Statements'!J7</f>
        <v>7.2937894406039511E-2</v>
      </c>
      <c r="J14" s="207">
        <f>'Financial Statements'!K25/'Financial Statements'!K7</f>
        <v>7.5327620844991949E-2</v>
      </c>
      <c r="K14" s="207">
        <f>'Financial Statements'!L25/'Financial Statements'!L7</f>
        <v>7.5912090271659072E-2</v>
      </c>
      <c r="L14" s="207">
        <f>'Financial Statements'!M25/'Financial Statements'!M7</f>
        <v>7.8863537540212011E-2</v>
      </c>
      <c r="M14" s="213">
        <f>'Financial Statements'!N25/'Financial Statements'!N7</f>
        <v>9.0553403837120586E-2</v>
      </c>
    </row>
    <row r="15" spans="1:13" x14ac:dyDescent="0.3">
      <c r="A15" s="212" t="s">
        <v>387</v>
      </c>
      <c r="B15" s="207">
        <f>'Financial Statements'!C25/'Financial Statements'!C38</f>
        <v>0.11965661950929894</v>
      </c>
      <c r="C15" s="207">
        <f>'Financial Statements'!D25/'Financial Statements'!D38</f>
        <v>0.13320550067344866</v>
      </c>
      <c r="D15" s="207">
        <f>'Financial Statements'!E25/'Financial Statements'!E38</f>
        <v>0.12386263044748078</v>
      </c>
      <c r="E15" s="207">
        <f>'Financial Statements'!F25/'Financial Statements'!F38</f>
        <v>0.13138443293039082</v>
      </c>
      <c r="F15" s="207">
        <f>'Financial Statements'!G25/'Financial Statements'!G38</f>
        <v>0.10201561890552392</v>
      </c>
      <c r="G15" s="207">
        <f>'Financial Statements'!H25/'Financial Statements'!H38</f>
        <v>0.14575182884629684</v>
      </c>
      <c r="H15" s="207">
        <f>'Financial Statements'!I25/'Financial Statements'!I38</f>
        <v>0.16067825904912389</v>
      </c>
      <c r="I15" s="207">
        <f>'Financial Statements'!J25/'Financial Statements'!J38</f>
        <v>4.6903070375656171E-2</v>
      </c>
      <c r="J15" s="207">
        <f>'Financial Statements'!K25/'Financial Statements'!K38</f>
        <v>5.2749417146551777E-2</v>
      </c>
      <c r="K15" s="207">
        <f>'Financial Statements'!L25/'Financial Statements'!L38</f>
        <v>5.8215833928671003E-2</v>
      </c>
      <c r="L15" s="207">
        <f>'Financial Statements'!M25/'Financial Statements'!M38</f>
        <v>6.6462645257438002E-2</v>
      </c>
      <c r="M15" s="213">
        <f>'Financial Statements'!N25/'Financial Statements'!N38</f>
        <v>8.3426698237357849E-2</v>
      </c>
    </row>
    <row r="16" spans="1:13" ht="15" thickBot="1" x14ac:dyDescent="0.35">
      <c r="A16" s="216" t="s">
        <v>388</v>
      </c>
      <c r="B16" s="221">
        <f>'Financial Statements'!C20/('Financial Statements'!C70-'Financial Statements'!C44)</f>
        <v>5.2966971331664621E-2</v>
      </c>
      <c r="C16" s="221">
        <f>'Financial Statements'!D20/('Financial Statements'!D70-'Financial Statements'!D44)</f>
        <v>5.1793879309268508E-2</v>
      </c>
      <c r="D16" s="221">
        <f>'Financial Statements'!E20/('Financial Statements'!E70-'Financial Statements'!E44)</f>
        <v>4.152965361745397E-2</v>
      </c>
      <c r="E16" s="221">
        <f>'Financial Statements'!F20/('Financial Statements'!F70-'Financial Statements'!F44)</f>
        <v>-3.1958984447156718E-3</v>
      </c>
      <c r="F16" s="221">
        <f>'Financial Statements'!G20/('Financial Statements'!G70-'Financial Statements'!G44)</f>
        <v>3.673005501899744E-2</v>
      </c>
      <c r="G16" s="221">
        <f>'Financial Statements'!H20/('Financial Statements'!H70-'Financial Statements'!H44)</f>
        <v>7.7777817413770878E-2</v>
      </c>
      <c r="H16" s="221">
        <f>'Financial Statements'!I20/('Financial Statements'!I70-'Financial Statements'!I44)</f>
        <v>9.627420381569872E-2</v>
      </c>
      <c r="I16" s="221">
        <f>'Financial Statements'!J20/('Financial Statements'!J70-'Financial Statements'!J44)</f>
        <v>5.4865899029874828E-2</v>
      </c>
      <c r="J16" s="221">
        <f>'Financial Statements'!K20/('Financial Statements'!K70-'Financial Statements'!K44)</f>
        <v>6.1099976765114569E-2</v>
      </c>
      <c r="K16" s="221">
        <f>'Financial Statements'!L20/('Financial Statements'!L70-'Financial Statements'!L44)</f>
        <v>6.7388466723898532E-2</v>
      </c>
      <c r="L16" s="221">
        <f>'Financial Statements'!M20/('Financial Statements'!M70-'Financial Statements'!M44)</f>
        <v>7.6137325624130156E-2</v>
      </c>
      <c r="M16" s="222">
        <f>'Financial Statements'!N20/('Financial Statements'!N70-'Financial Statements'!N44)</f>
        <v>9.4545387940571365E-2</v>
      </c>
    </row>
    <row r="17" spans="1:13" ht="15" thickBot="1" x14ac:dyDescent="0.35">
      <c r="A17" s="43"/>
      <c r="B17" s="43"/>
    </row>
    <row r="18" spans="1:13" ht="28.8" x14ac:dyDescent="0.3">
      <c r="A18" s="225" t="s">
        <v>389</v>
      </c>
      <c r="B18" s="219" t="s">
        <v>164</v>
      </c>
      <c r="C18" s="219" t="s">
        <v>165</v>
      </c>
      <c r="D18" s="219" t="s">
        <v>166</v>
      </c>
      <c r="E18" s="219" t="s">
        <v>167</v>
      </c>
      <c r="F18" s="219" t="s">
        <v>168</v>
      </c>
      <c r="G18" s="219" t="s">
        <v>169</v>
      </c>
      <c r="H18" s="219" t="s">
        <v>170</v>
      </c>
      <c r="I18" s="219" t="s">
        <v>171</v>
      </c>
      <c r="J18" s="219" t="s">
        <v>172</v>
      </c>
      <c r="K18" s="219" t="s">
        <v>173</v>
      </c>
      <c r="L18" s="219" t="s">
        <v>174</v>
      </c>
      <c r="M18" s="220" t="s">
        <v>175</v>
      </c>
    </row>
    <row r="19" spans="1:13" x14ac:dyDescent="0.3">
      <c r="A19" s="212" t="s">
        <v>390</v>
      </c>
      <c r="B19" s="209">
        <f>'DCF Valuation'!$B$10/'Financial Statements'!C28</f>
        <v>53.014078498293514</v>
      </c>
      <c r="C19" s="209">
        <f>'DCF Valuation'!$B$10/'Financial Statements'!D28</f>
        <v>43.222608695652177</v>
      </c>
      <c r="D19" s="209">
        <f>'DCF Valuation'!$B$10/'Financial Statements'!E28</f>
        <v>40.596210388761847</v>
      </c>
      <c r="E19" s="209">
        <f>'DCF Valuation'!$B$10/'Financial Statements'!F28</f>
        <v>33.896617566830336</v>
      </c>
      <c r="F19" s="209">
        <f>'DCF Valuation'!$B$10/'Financial Statements'!G28</f>
        <v>39.905266538214519</v>
      </c>
      <c r="G19" s="209">
        <f>'DCF Valuation'!$B$10/'Financial Statements'!H28</f>
        <v>24.606930693069309</v>
      </c>
      <c r="H19" s="209">
        <f>'DCF Valuation'!$B$10/'Financial Statements'!I28</f>
        <v>19.458972752896965</v>
      </c>
      <c r="I19" s="209">
        <f>'DCF Valuation'!$B$10/'Financial Statements'!J28</f>
        <v>66.844830309776526</v>
      </c>
      <c r="J19" s="209">
        <f>'DCF Valuation'!$B$10/'Financial Statements'!K28</f>
        <v>59.929829290207969</v>
      </c>
      <c r="K19" s="209">
        <f>'DCF Valuation'!$B$10/'Financial Statements'!L28</f>
        <v>55.06334442031401</v>
      </c>
      <c r="L19" s="209">
        <f>'DCF Valuation'!$B$10/'Financial Statements'!M28</f>
        <v>49.076493662220834</v>
      </c>
      <c r="M19" s="215">
        <f>'DCF Valuation'!$B$10/'Financial Statements'!N28</f>
        <v>39.575029314297339</v>
      </c>
    </row>
    <row r="20" spans="1:13" x14ac:dyDescent="0.3">
      <c r="A20" s="212" t="s">
        <v>391</v>
      </c>
      <c r="B20" s="209">
        <f>'DCF Valuation'!$B$10/('Financial Statements'!C38/'Financial Statements'!C36)</f>
        <v>12.687983963918182</v>
      </c>
      <c r="C20" s="209">
        <f>'DCF Valuation'!$B$10/('Financial Statements'!D38/'Financial Statements'!D36)</f>
        <v>11.513978800158135</v>
      </c>
      <c r="D20" s="209">
        <f>'DCF Valuation'!$B$10/('Financial Statements'!E38/'Financial Statements'!E36)</f>
        <v>10.057780204902155</v>
      </c>
      <c r="E20" s="209">
        <f>'DCF Valuation'!$B$10/('Financial Statements'!F38/'Financial Statements'!F36)</f>
        <v>8.9063698972396637</v>
      </c>
      <c r="F20" s="209">
        <f>'DCF Valuation'!$B$10/('Financial Statements'!G38/'Financial Statements'!G36)</f>
        <v>8.1419050543284825</v>
      </c>
      <c r="G20" s="209">
        <f>'DCF Valuation'!$B$10/('Financial Statements'!H38/'Financial Statements'!H36)</f>
        <v>7.1727771974753631</v>
      </c>
      <c r="H20" s="209">
        <f>'DCF Valuation'!$B$10/('Financial Statements'!I38/'Financial Statements'!I36)</f>
        <v>6.2528841181286543</v>
      </c>
      <c r="I20" s="209">
        <f>'DCF Valuation'!$B$10/('Financial Statements'!J38/'Financial Statements'!J36)</f>
        <v>6.2770601295903345</v>
      </c>
      <c r="J20" s="209">
        <f>'DCF Valuation'!$B$10/('Financial Statements'!K38/'Financial Statements'!K36)</f>
        <v>6.3311451962209055</v>
      </c>
      <c r="K20" s="209">
        <f>'DCF Valuation'!$B$10/('Financial Statements'!L38/'Financial Statements'!L36)</f>
        <v>6.4218419456228704</v>
      </c>
      <c r="L20" s="209">
        <f>'DCF Valuation'!$B$10/('Financial Statements'!M38/'Financial Statements'!M36)</f>
        <v>6.5364410207289447</v>
      </c>
      <c r="M20" s="215">
        <f>'DCF Valuation'!$B$10/('Financial Statements'!N38/'Financial Statements'!N36)</f>
        <v>6.6183655683310425</v>
      </c>
    </row>
    <row r="21" spans="1:13" x14ac:dyDescent="0.3">
      <c r="A21" s="212" t="s">
        <v>392</v>
      </c>
      <c r="B21" s="209">
        <f>'DCF Valuation'!$K$26/'Financial Statements'!C14</f>
        <v>25.712958386279631</v>
      </c>
      <c r="C21" s="209">
        <f>'DCF Valuation'!$K$26/'Financial Statements'!D14</f>
        <v>24.051868693667018</v>
      </c>
      <c r="D21" s="209">
        <f>'DCF Valuation'!$K$26/'Financial Statements'!E14</f>
        <v>27.960468179318994</v>
      </c>
      <c r="E21" s="209">
        <f>'DCF Valuation'!$K$26/'Financial Statements'!F14</f>
        <v>103.72099061144749</v>
      </c>
      <c r="F21" s="209">
        <f>'DCF Valuation'!$K$26/'Financial Statements'!G14</f>
        <v>24.604750658725884</v>
      </c>
      <c r="G21" s="209">
        <f>'DCF Valuation'!$K$26/'Financial Statements'!H14</f>
        <v>13.184483113129833</v>
      </c>
      <c r="H21" s="209">
        <f>'DCF Valuation'!$K$26/'Financial Statements'!I14</f>
        <v>9.9147100502382806</v>
      </c>
      <c r="I21" s="209">
        <f>'DCF Valuation'!$K$26/'Financial Statements'!J14</f>
        <v>14.775495989599044</v>
      </c>
      <c r="J21" s="209">
        <f>'DCF Valuation'!$K$26/'Financial Statements'!K14</f>
        <v>13.593956067979924</v>
      </c>
      <c r="K21" s="209">
        <f>'DCF Valuation'!$K$26/'Financial Statements'!L14</f>
        <v>12.57224203243808</v>
      </c>
      <c r="L21" s="209">
        <f>'DCF Valuation'!$K$26/'Financial Statements'!M14</f>
        <v>11.56563786765911</v>
      </c>
      <c r="M21" s="215">
        <f>'DCF Valuation'!$K$26/'Financial Statements'!N14</f>
        <v>9.6361293528205429</v>
      </c>
    </row>
    <row r="22" spans="1:13" x14ac:dyDescent="0.3">
      <c r="A22" s="212" t="s">
        <v>393</v>
      </c>
      <c r="B22" s="209">
        <f>'DCF Valuation'!$K$23/'Financial Statements'!C7</f>
        <v>3.1659962450718195</v>
      </c>
      <c r="C22" s="209">
        <f>'DCF Valuation'!$K$23/'Financial Statements'!D7</f>
        <v>3.0946840187912419</v>
      </c>
      <c r="D22" s="209">
        <f>'DCF Valuation'!$K$23/'Financial Statements'!E7</f>
        <v>3.466077533306716</v>
      </c>
      <c r="E22" s="209">
        <f>'DCF Valuation'!$K$23/'Financial Statements'!F7</f>
        <v>2.9924150323585352</v>
      </c>
      <c r="F22" s="209">
        <f>'DCF Valuation'!$K$23/'Financial Statements'!G7</f>
        <v>2.7309265027166418</v>
      </c>
      <c r="G22" s="209">
        <f>'DCF Valuation'!$K$23/'Financial Statements'!H7</f>
        <v>2.3636578709306764</v>
      </c>
      <c r="H22" s="209">
        <f>'DCF Valuation'!$K$23/'Financial Statements'!I7</f>
        <v>2.0570426753941957</v>
      </c>
      <c r="I22" s="209">
        <f>'DCF Valuation'!$K$23/'Financial Statements'!J7</f>
        <v>1.9046691438835148</v>
      </c>
      <c r="J22" s="209">
        <f>'DCF Valuation'!$K$23/'Financial Statements'!K7</f>
        <v>1.763582540632884</v>
      </c>
      <c r="K22" s="209">
        <f>'DCF Valuation'!$K$23/'Financial Statements'!L7</f>
        <v>1.6329467968822997</v>
      </c>
      <c r="L22" s="209">
        <f>'DCF Valuation'!$K$23/'Financial Statements'!M7</f>
        <v>1.511987774891018</v>
      </c>
      <c r="M22" s="215">
        <f>'DCF Valuation'!$K$23/'Financial Statements'!N7</f>
        <v>1.3999886804546462</v>
      </c>
    </row>
    <row r="23" spans="1:13" x14ac:dyDescent="0.3">
      <c r="A23" s="212" t="s">
        <v>394</v>
      </c>
      <c r="B23" s="209">
        <f>'Financial Statements'!C29/'Financial Statements'!C25</f>
        <v>1.5886380605906556E-3</v>
      </c>
      <c r="C23" s="209">
        <f>'Financial Statements'!D29/'Financial Statements'!D25</f>
        <v>1.7254989927399629E-3</v>
      </c>
      <c r="D23" s="209">
        <f>'Financial Statements'!E29/'Financial Statements'!E25</f>
        <v>2.025702108350754E-3</v>
      </c>
      <c r="E23" s="209">
        <f>'Financial Statements'!F29/'Financial Statements'!F25</f>
        <v>1.6903713069612873E-3</v>
      </c>
      <c r="F23" s="209">
        <f>'Financial Statements'!G29/'Financial Statements'!G25</f>
        <v>3.3817789748833288E-3</v>
      </c>
      <c r="G23" s="209">
        <f>'Financial Statements'!H29/'Financial Statements'!H25</f>
        <v>3.1884235698080815E-3</v>
      </c>
      <c r="H23" s="209">
        <f>'Financial Statements'!I29/'Financial Statements'!I25</f>
        <v>3.1021880119822013E-3</v>
      </c>
      <c r="I23" s="209">
        <f>'Financial Statements'!J29/'Financial Statements'!J25</f>
        <v>1.3331390870218051E-2</v>
      </c>
      <c r="J23" s="209">
        <f>'Financial Statements'!K29/'Financial Statements'!K25</f>
        <v>1.4342733318654618E-2</v>
      </c>
      <c r="K23" s="209">
        <f>'Financial Statements'!L29/'Financial Statements'!L25</f>
        <v>1.5374402914353671E-2</v>
      </c>
      <c r="L23" s="209">
        <f>'Financial Statements'!M29/'Financial Statements'!M25</f>
        <v>1.5660338524761699E-2</v>
      </c>
      <c r="M23" s="215">
        <f>'Financial Statements'!N29/'Financial Statements'!N25</f>
        <v>1.4206967504886144E-2</v>
      </c>
    </row>
    <row r="24" spans="1:13" ht="15" thickBot="1" x14ac:dyDescent="0.35">
      <c r="A24" s="216" t="s">
        <v>395</v>
      </c>
      <c r="B24" s="223">
        <f>('Financial Statements'!C29/'Financial Statements'!C36)/'DCF Valuation'!$B$10</f>
        <v>1.4981975110834281E-5</v>
      </c>
      <c r="C24" s="223">
        <f>('Financial Statements'!D29/'Financial Statements'!D36)/'DCF Valuation'!$B$10</f>
        <v>1.9962339798324223E-5</v>
      </c>
      <c r="D24" s="223">
        <f>('Financial Statements'!E29/'Financial Statements'!E36)/'DCF Valuation'!$B$10</f>
        <v>2.4946736410191125E-5</v>
      </c>
      <c r="E24" s="223">
        <f>('Financial Statements'!F29/'Financial Statements'!F36)/'DCF Valuation'!$B$10</f>
        <v>2.4935914201783131E-5</v>
      </c>
      <c r="F24" s="223">
        <f>('Financial Statements'!G29/'Financial Statements'!G36)/'DCF Valuation'!$B$10</f>
        <v>4.2372672344171061E-5</v>
      </c>
      <c r="G24" s="223">
        <f>('Financial Statements'!H29/'Financial Statements'!H36)/'DCF Valuation'!$B$10</f>
        <v>6.4789209763790721E-5</v>
      </c>
      <c r="H24" s="223">
        <f>('Financial Statements'!I29/'Financial Statements'!I36)/'DCF Valuation'!$B$10</f>
        <v>7.9715881438330384E-5</v>
      </c>
      <c r="I24" s="223">
        <f>('Financial Statements'!J29/'Financial Statements'!J36)/'DCF Valuation'!$B$10</f>
        <v>9.9614015364231628E-5</v>
      </c>
      <c r="J24" s="223">
        <f>('Financial Statements'!K29/'Financial Statements'!K36)/'DCF Valuation'!$B$10</f>
        <v>1.1949983761216856E-4</v>
      </c>
      <c r="K24" s="223">
        <f>('Financial Statements'!L29/'Financial Statements'!L36)/'DCF Valuation'!$B$10</f>
        <v>1.3937335960511205E-4</v>
      </c>
      <c r="L24" s="223">
        <f>('Financial Statements'!M29/'Financial Statements'!M36)/'DCF Valuation'!$B$10</f>
        <v>1.5923459275190606E-4</v>
      </c>
      <c r="M24" s="224">
        <f>('Financial Statements'!N29/'Financial Statements'!N36)/'DCF Valuation'!$B$10</f>
        <v>1.7908354844728953E-4</v>
      </c>
    </row>
    <row r="25" spans="1:13" ht="15" thickBot="1" x14ac:dyDescent="0.35">
      <c r="A25" s="43"/>
      <c r="B25" s="43"/>
    </row>
    <row r="26" spans="1:13" ht="28.8" x14ac:dyDescent="0.3">
      <c r="A26" s="225" t="s">
        <v>396</v>
      </c>
      <c r="B26" s="219" t="s">
        <v>164</v>
      </c>
      <c r="C26" s="219" t="s">
        <v>165</v>
      </c>
      <c r="D26" s="219" t="s">
        <v>166</v>
      </c>
      <c r="E26" s="219" t="s">
        <v>167</v>
      </c>
      <c r="F26" s="219" t="s">
        <v>168</v>
      </c>
      <c r="G26" s="219" t="s">
        <v>169</v>
      </c>
      <c r="H26" s="219" t="s">
        <v>170</v>
      </c>
      <c r="I26" s="219" t="s">
        <v>171</v>
      </c>
      <c r="J26" s="219" t="s">
        <v>172</v>
      </c>
      <c r="K26" s="219" t="s">
        <v>173</v>
      </c>
      <c r="L26" s="219" t="s">
        <v>174</v>
      </c>
      <c r="M26" s="220" t="s">
        <v>175</v>
      </c>
    </row>
    <row r="27" spans="1:13" x14ac:dyDescent="0.3">
      <c r="A27" s="212" t="s">
        <v>397</v>
      </c>
      <c r="B27" s="208">
        <f>'IS ,BS Assumptions'!B46</f>
        <v>84.610376910960952</v>
      </c>
      <c r="C27" s="208">
        <f>'IS ,BS Assumptions'!C46</f>
        <v>87.11456930362624</v>
      </c>
      <c r="D27" s="208">
        <f>'IS ,BS Assumptions'!D46</f>
        <v>99.650495323687863</v>
      </c>
      <c r="E27" s="208">
        <f>'IS ,BS Assumptions'!E46</f>
        <v>97.184621048764143</v>
      </c>
      <c r="F27" s="208">
        <f>'IS ,BS Assumptions'!F46</f>
        <v>83.388501074216435</v>
      </c>
      <c r="G27" s="208">
        <f>'IS ,BS Assumptions'!G46</f>
        <v>71.665731486140629</v>
      </c>
      <c r="H27" s="208">
        <f>'IS ,BS Assumptions'!H46</f>
        <v>69.131486989921171</v>
      </c>
      <c r="I27" s="208">
        <f>'IS ,BS Assumptions'!I46</f>
        <v>84</v>
      </c>
      <c r="J27" s="208">
        <f>'IS ,BS Assumptions'!J46</f>
        <v>82</v>
      </c>
      <c r="K27" s="208">
        <f>'IS ,BS Assumptions'!K46</f>
        <v>80</v>
      </c>
      <c r="L27" s="208">
        <f>'IS ,BS Assumptions'!L46</f>
        <v>78</v>
      </c>
      <c r="M27" s="214">
        <f>'IS ,BS Assumptions'!M46</f>
        <v>76</v>
      </c>
    </row>
    <row r="28" spans="1:13" x14ac:dyDescent="0.3">
      <c r="A28" s="212" t="s">
        <v>398</v>
      </c>
      <c r="B28" s="208">
        <f>'IS ,BS Assumptions'!B50</f>
        <v>43.695839101471549</v>
      </c>
      <c r="C28" s="208">
        <f>'IS ,BS Assumptions'!C50</f>
        <v>46.482093979453595</v>
      </c>
      <c r="D28" s="208">
        <f>'IS ,BS Assumptions'!D50</f>
        <v>48.29406841368133</v>
      </c>
      <c r="E28" s="208">
        <f>'IS ,BS Assumptions'!E50</f>
        <v>43.76417968818626</v>
      </c>
      <c r="F28" s="208">
        <f>'IS ,BS Assumptions'!F50</f>
        <v>41.700357049745769</v>
      </c>
      <c r="G28" s="208">
        <f>'IS ,BS Assumptions'!G50</f>
        <v>37.099130342445008</v>
      </c>
      <c r="H28" s="208">
        <f>'IS ,BS Assumptions'!H50</f>
        <v>36.101841180161571</v>
      </c>
      <c r="I28" s="208">
        <f>'IS ,BS Assumptions'!I50</f>
        <v>34</v>
      </c>
      <c r="J28" s="208">
        <f>'IS ,BS Assumptions'!J50</f>
        <v>34</v>
      </c>
      <c r="K28" s="208">
        <f>'IS ,BS Assumptions'!K50</f>
        <v>34</v>
      </c>
      <c r="L28" s="208">
        <f>'IS ,BS Assumptions'!L50</f>
        <v>35</v>
      </c>
      <c r="M28" s="214">
        <f>'IS ,BS Assumptions'!M50</f>
        <v>35</v>
      </c>
    </row>
    <row r="29" spans="1:13" x14ac:dyDescent="0.3">
      <c r="A29" s="212" t="s">
        <v>399</v>
      </c>
      <c r="B29" s="208">
        <f>'IS ,BS Assumptions'!B48</f>
        <v>93.469008833838032</v>
      </c>
      <c r="C29" s="208">
        <f>'IS ,BS Assumptions'!C48</f>
        <v>102.65290718571153</v>
      </c>
      <c r="D29" s="208">
        <f>'IS ,BS Assumptions'!D48</f>
        <v>98.021629326064286</v>
      </c>
      <c r="E29" s="208">
        <f>'IS ,BS Assumptions'!E48</f>
        <v>77.910293397617892</v>
      </c>
      <c r="F29" s="208">
        <f>'IS ,BS Assumptions'!F48</f>
        <v>73.494169535194004</v>
      </c>
      <c r="G29" s="208">
        <f>'IS ,BS Assumptions'!G48</f>
        <v>59.057479815184188</v>
      </c>
      <c r="H29" s="208">
        <f>'IS ,BS Assumptions'!H48</f>
        <v>73.977812899550273</v>
      </c>
      <c r="I29" s="208">
        <f>'IS ,BS Assumptions'!I48</f>
        <v>72</v>
      </c>
      <c r="J29" s="208">
        <f>'IS ,BS Assumptions'!J48</f>
        <v>70</v>
      </c>
      <c r="K29" s="208">
        <f>'IS ,BS Assumptions'!K48</f>
        <v>68</v>
      </c>
      <c r="L29" s="208">
        <f>'IS ,BS Assumptions'!L48</f>
        <v>66</v>
      </c>
      <c r="M29" s="214">
        <f>'IS ,BS Assumptions'!M48</f>
        <v>65</v>
      </c>
    </row>
    <row r="30" spans="1:13" x14ac:dyDescent="0.3">
      <c r="A30" s="212" t="s">
        <v>400</v>
      </c>
      <c r="B30" s="208">
        <f>'Financial Statements'!C7/'Financial Statements'!C70</f>
        <v>0.67181375995517623</v>
      </c>
      <c r="C30" s="208">
        <f>'Financial Statements'!D7/'Financial Statements'!D70</f>
        <v>0.62037444512943951</v>
      </c>
      <c r="D30" s="208">
        <f>'Financial Statements'!E7/'Financial Statements'!E70</f>
        <v>0.49219813497278747</v>
      </c>
      <c r="E30" s="208">
        <f>'Financial Statements'!F7/'Financial Statements'!F70</f>
        <v>0.51443138348975703</v>
      </c>
      <c r="F30" s="208">
        <f>'Financial Statements'!G7/'Financial Statements'!G70</f>
        <v>0.51982518053939508</v>
      </c>
      <c r="G30" s="208">
        <f>'Financial Statements'!H7/'Financial Statements'!H70</f>
        <v>0.5337396464071531</v>
      </c>
      <c r="H30" s="208">
        <f>'Financial Statements'!I7/'Financial Statements'!I70</f>
        <v>0.53548332495447859</v>
      </c>
      <c r="I30" s="208">
        <f>'Financial Statements'!J7/'Financial Statements'!J70</f>
        <v>0.57103810504158736</v>
      </c>
      <c r="J30" s="208">
        <f>'Financial Statements'!K7/'Financial Statements'!K70</f>
        <v>0.61650506723862508</v>
      </c>
      <c r="K30" s="208">
        <f>'Financial Statements'!L7/'Financial Statements'!L70</f>
        <v>0.66899977347888406</v>
      </c>
      <c r="L30" s="208">
        <f>'Financial Statements'!M7/'Financial Statements'!M70</f>
        <v>0.72820606957769984</v>
      </c>
      <c r="M30" s="214">
        <f>'Financial Statements'!N7/'Financial Statements'!N70</f>
        <v>0.78779002034650158</v>
      </c>
    </row>
    <row r="31" spans="1:13" x14ac:dyDescent="0.3">
      <c r="A31" s="212" t="s">
        <v>401</v>
      </c>
      <c r="B31" s="208">
        <f>'Financial Statements'!C68/'Financial Statements'!C50</f>
        <v>4.0026730515860951</v>
      </c>
      <c r="C31" s="208">
        <f>'Financial Statements'!D68/'Financial Statements'!D50</f>
        <v>3.4463766898663377</v>
      </c>
      <c r="D31" s="208">
        <f>'Financial Statements'!E68/'Financial Statements'!E50</f>
        <v>3.7861839416926082</v>
      </c>
      <c r="E31" s="208">
        <f>'Financial Statements'!F68/'Financial Statements'!F50</f>
        <v>4.2623508088473079</v>
      </c>
      <c r="F31" s="208">
        <f>'Financial Statements'!G68/'Financial Statements'!G50</f>
        <v>4.9527473015920052</v>
      </c>
      <c r="G31" s="208">
        <f>'Financial Statements'!H68/'Financial Statements'!H50</f>
        <v>5.1909651497947422</v>
      </c>
      <c r="H31" s="208">
        <f>'Financial Statements'!I68/'Financial Statements'!I50</f>
        <v>5.7702785055066563</v>
      </c>
      <c r="I31" s="208">
        <f>'Financial Statements'!J68/'Financial Statements'!J50</f>
        <v>4.7884183560114293</v>
      </c>
      <c r="J31" s="208">
        <f>'Financial Statements'!K68/'Financial Statements'!K50</f>
        <v>4.1963745927004084</v>
      </c>
      <c r="K31" s="208">
        <f>'Financial Statements'!L68/'Financial Statements'!L50</f>
        <v>3.6109332424631124</v>
      </c>
      <c r="L31" s="208">
        <f>'Financial Statements'!M68/'Financial Statements'!M50</f>
        <v>3.040167320497162</v>
      </c>
      <c r="M31" s="214">
        <f>'Financial Statements'!N68/'Financial Statements'!N50</f>
        <v>2.5095032223698364</v>
      </c>
    </row>
    <row r="32" spans="1:13" x14ac:dyDescent="0.3">
      <c r="A32" s="212" t="s">
        <v>402</v>
      </c>
      <c r="B32" s="208">
        <f>('Financial Statements'!C40+'Financial Statements'!C41)/'Financial Statements'!C38</f>
        <v>0</v>
      </c>
      <c r="C32" s="208">
        <f>('Financial Statements'!D40+'Financial Statements'!D41)/'Financial Statements'!D38</f>
        <v>0</v>
      </c>
      <c r="D32" s="208">
        <f>('Financial Statements'!E40+'Financial Statements'!E41)/'Financial Statements'!E38</f>
        <v>1.478354600362513E-3</v>
      </c>
      <c r="E32" s="208">
        <f>('Financial Statements'!F40+'Financial Statements'!F41)/'Financial Statements'!F38</f>
        <v>6.8980680523506954E-4</v>
      </c>
      <c r="F32" s="208">
        <f>('Financial Statements'!G40+'Financial Statements'!G41)/'Financial Statements'!G38</f>
        <v>1.4420760700200382E-3</v>
      </c>
      <c r="G32" s="208">
        <f>('Financial Statements'!H40+'Financial Statements'!H41)/'Financial Statements'!H38</f>
        <v>1.0563410490914396E-3</v>
      </c>
      <c r="H32" s="208">
        <f>('Financial Statements'!I40+'Financial Statements'!I41)/'Financial Statements'!I38</f>
        <v>2.6847987678212944E-3</v>
      </c>
      <c r="I32" s="208">
        <f>('Financial Statements'!J40+'Financial Statements'!J41)/'Financial Statements'!J38</f>
        <v>2.8290624122249536E-3</v>
      </c>
      <c r="J32" s="208">
        <f>('Financial Statements'!K40+'Financial Statements'!K41)/'Financial Statements'!K38</f>
        <v>2.9951835020031641E-3</v>
      </c>
      <c r="K32" s="208">
        <f>('Financial Statements'!L40+'Financial Statements'!L41)/'Financial Statements'!L38</f>
        <v>3.189008941892404E-3</v>
      </c>
      <c r="L32" s="208">
        <f>('Financial Statements'!M40+'Financial Statements'!M41)/'Financial Statements'!M38</f>
        <v>3.4071595885679122E-3</v>
      </c>
      <c r="M32" s="214">
        <f>('Financial Statements'!N40+'Financial Statements'!N41)/'Financial Statements'!N38</f>
        <v>3.6212368187035745E-3</v>
      </c>
    </row>
    <row r="33" spans="1:13" ht="15" thickBot="1" x14ac:dyDescent="0.35">
      <c r="A33" s="216" t="s">
        <v>403</v>
      </c>
      <c r="B33" s="217">
        <f>'Financial Statements'!C20/'Financial Statements'!C18</f>
        <v>56.64997053624041</v>
      </c>
      <c r="C33" s="217">
        <f>'Financial Statements'!D20/'Financial Statements'!D18</f>
        <v>28.766435506241372</v>
      </c>
      <c r="D33" s="217">
        <f>'Financial Statements'!E20/'Financial Statements'!E18</f>
        <v>20.842689150210784</v>
      </c>
      <c r="E33" s="217">
        <f>'Financial Statements'!F20/'Financial Statements'!F18</f>
        <v>-2.9873746750835011</v>
      </c>
      <c r="F33" s="217">
        <f>'Financial Statements'!G20/'Financial Statements'!G18</f>
        <v>45.088459811405428</v>
      </c>
      <c r="G33" s="217">
        <f>'Financial Statements'!H20/'Financial Statements'!H18</f>
        <v>118.43802469135798</v>
      </c>
      <c r="H33" s="217">
        <f>'Financial Statements'!I20/'Financial Statements'!I18</f>
        <v>224.80542686962283</v>
      </c>
      <c r="I33" s="217">
        <f>'Financial Statements'!J20/'Financial Statements'!J18</f>
        <v>108.8849310951359</v>
      </c>
      <c r="J33" s="217">
        <f>'Financial Statements'!K20/'Financial Statements'!K18</f>
        <v>121.24927297600526</v>
      </c>
      <c r="K33" s="217">
        <f>'Financial Statements'!L20/'Financial Statements'!L18</f>
        <v>119.72693356104885</v>
      </c>
      <c r="L33" s="217">
        <f>'Financial Statements'!M20/'Financial Statements'!M18</f>
        <v>134.14235603877495</v>
      </c>
      <c r="M33" s="218">
        <f>'Financial Statements'!N20/'Financial Statements'!N18</f>
        <v>151.09982169926164</v>
      </c>
    </row>
  </sheetData>
  <mergeCells count="1">
    <mergeCell ref="A1:M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FBC7F-751F-4823-A25F-2544790F67C1}">
  <dimension ref="A1:G14"/>
  <sheetViews>
    <sheetView workbookViewId="0">
      <selection activeCell="O20" sqref="O20"/>
    </sheetView>
  </sheetViews>
  <sheetFormatPr defaultRowHeight="14.4" x14ac:dyDescent="0.3"/>
  <cols>
    <col min="1" max="1" width="16.88671875" bestFit="1" customWidth="1"/>
  </cols>
  <sheetData>
    <row r="1" spans="1:7" x14ac:dyDescent="0.3">
      <c r="A1" s="45" t="s">
        <v>404</v>
      </c>
      <c r="B1" s="46"/>
      <c r="C1" s="46"/>
      <c r="D1" s="46"/>
      <c r="E1" s="46"/>
      <c r="F1" s="46"/>
      <c r="G1" s="47"/>
    </row>
    <row r="2" spans="1:7" ht="15" thickBot="1" x14ac:dyDescent="0.35">
      <c r="A2" s="48"/>
      <c r="B2" s="43"/>
      <c r="C2" s="43"/>
      <c r="D2" s="43"/>
      <c r="E2" s="43"/>
      <c r="F2" s="43"/>
      <c r="G2" s="49"/>
    </row>
    <row r="3" spans="1:7" ht="29.4" thickBot="1" x14ac:dyDescent="0.35">
      <c r="A3" s="44" t="s">
        <v>379</v>
      </c>
      <c r="B3" s="210" t="s">
        <v>170</v>
      </c>
      <c r="C3" s="210" t="s">
        <v>171</v>
      </c>
      <c r="D3" s="210" t="s">
        <v>172</v>
      </c>
      <c r="E3" s="210" t="s">
        <v>173</v>
      </c>
      <c r="F3" s="210" t="s">
        <v>174</v>
      </c>
      <c r="G3" s="211" t="s">
        <v>175</v>
      </c>
    </row>
    <row r="4" spans="1:7" x14ac:dyDescent="0.3">
      <c r="A4" s="229" t="s">
        <v>385</v>
      </c>
      <c r="B4" s="226">
        <f>'Financial Statements'!I20</f>
        <v>3396.8100000000009</v>
      </c>
      <c r="C4" s="226">
        <f>'Financial Statements'!J20</f>
        <v>1959.9287597124462</v>
      </c>
      <c r="D4" s="226">
        <f>'Financial Statements'!K20</f>
        <v>2182.4869135680947</v>
      </c>
      <c r="E4" s="226">
        <f>'Financial Statements'!L20</f>
        <v>2394.538671220977</v>
      </c>
      <c r="F4" s="226">
        <f>'Financial Statements'!M20</f>
        <v>2682.8471207754992</v>
      </c>
      <c r="G4" s="232">
        <f>'Financial Statements'!N20</f>
        <v>3324.1960773837563</v>
      </c>
    </row>
    <row r="5" spans="1:7" x14ac:dyDescent="0.3">
      <c r="A5" s="230" t="s">
        <v>405</v>
      </c>
      <c r="B5" s="227">
        <f>'Financial Statements'!I21</f>
        <v>0.17835845386023</v>
      </c>
      <c r="C5" s="227">
        <f>'Financial Statements'!J21</f>
        <v>9.5288167225554332E-2</v>
      </c>
      <c r="D5" s="227">
        <f>'Financial Statements'!K21</f>
        <v>9.8248647576775372E-2</v>
      </c>
      <c r="E5" s="227">
        <f>'Financial Statements'!L21</f>
        <v>9.9809764822763491E-2</v>
      </c>
      <c r="F5" s="227">
        <f>'Financial Statements'!M21</f>
        <v>0.10354362067745368</v>
      </c>
      <c r="G5" s="233">
        <f>'Financial Statements'!N21</f>
        <v>0.11879284919087825</v>
      </c>
    </row>
    <row r="6" spans="1:7" x14ac:dyDescent="0.3">
      <c r="A6" s="230" t="s">
        <v>235</v>
      </c>
      <c r="B6" s="234">
        <f>'Financial Statements'!I14</f>
        <v>3970.7000000000007</v>
      </c>
      <c r="C6" s="234">
        <f>'Financial Statements'!J14</f>
        <v>2664.4343597124462</v>
      </c>
      <c r="D6" s="234">
        <f>'Financial Statements'!K14</f>
        <v>2896.0178331907264</v>
      </c>
      <c r="E6" s="234">
        <f>'Financial Statements'!L14</f>
        <v>3131.3698141433742</v>
      </c>
      <c r="F6" s="234">
        <f>'Financial Statements'!M14</f>
        <v>3403.9055732988563</v>
      </c>
      <c r="G6" s="235">
        <f>'Financial Statements'!N14</f>
        <v>4085.4930185176308</v>
      </c>
    </row>
    <row r="7" spans="1:7" x14ac:dyDescent="0.3">
      <c r="A7" s="230" t="s">
        <v>236</v>
      </c>
      <c r="B7" s="227">
        <f>'Financial Statements'!I15</f>
        <v>0.20849205953315469</v>
      </c>
      <c r="C7" s="227">
        <f>'Financial Statements'!J15</f>
        <v>0.12953994657797768</v>
      </c>
      <c r="D7" s="227">
        <f>'Financial Statements'!K15</f>
        <v>0.13036954938897727</v>
      </c>
      <c r="E7" s="227">
        <f>'Financial Statements'!L15</f>
        <v>0.13052254635895513</v>
      </c>
      <c r="F7" s="227">
        <f>'Financial Statements'!M15</f>
        <v>0.13137263945239186</v>
      </c>
      <c r="G7" s="233">
        <f>'Financial Statements'!N15</f>
        <v>0.1459984142695693</v>
      </c>
    </row>
    <row r="8" spans="1:7" x14ac:dyDescent="0.3">
      <c r="A8" s="230" t="s">
        <v>406</v>
      </c>
      <c r="B8" s="234">
        <f>'Financial Statements'!I25</f>
        <v>5157.6499999999996</v>
      </c>
      <c r="C8" s="234">
        <f>'Financial Statements'!J25</f>
        <v>1500.2185589411704</v>
      </c>
      <c r="D8" s="234">
        <f>'Financial Statements'!K25</f>
        <v>1673.3212189607425</v>
      </c>
      <c r="E8" s="234">
        <f>'Financial Statements'!L25</f>
        <v>1821.2089377376058</v>
      </c>
      <c r="F8" s="234">
        <f>'Financial Statements'!M25</f>
        <v>2043.378561031901</v>
      </c>
      <c r="G8" s="235">
        <f>'Financial Statements'!N25</f>
        <v>2533.9679271891532</v>
      </c>
    </row>
    <row r="9" spans="1:7" x14ac:dyDescent="0.3">
      <c r="A9" s="230" t="s">
        <v>407</v>
      </c>
      <c r="B9" s="234">
        <f>'Financial Statements'!I28</f>
        <v>63.86</v>
      </c>
      <c r="C9" s="234">
        <f>'Financial Statements'!J28</f>
        <v>18.590068884029371</v>
      </c>
      <c r="D9" s="234">
        <f>'Financial Statements'!K28</f>
        <v>20.735083258497429</v>
      </c>
      <c r="E9" s="234">
        <f>'Financial Statements'!L28</f>
        <v>22.567644829462278</v>
      </c>
      <c r="F9" s="234">
        <f>'Financial Statements'!M28</f>
        <v>25.320676097049578</v>
      </c>
      <c r="G9" s="235">
        <f>'Financial Statements'!N28</f>
        <v>31.399850398874264</v>
      </c>
    </row>
    <row r="10" spans="1:7" x14ac:dyDescent="0.3">
      <c r="A10" s="230" t="s">
        <v>395</v>
      </c>
      <c r="B10" s="236">
        <f>'Financial Statements'!I29/'Financial Statements'!I36</f>
        <v>9.9058940069341253E-2</v>
      </c>
      <c r="C10" s="236">
        <f>'Financial Statements'!J29/'Financial Statements'!J36</f>
        <v>0.12378535619236244</v>
      </c>
      <c r="D10" s="236">
        <f>'Financial Statements'!K29/'Financial Statements'!K36</f>
        <v>0.14849647320876128</v>
      </c>
      <c r="E10" s="236">
        <f>'Financial Statements'!L29/'Financial Statements'!L36</f>
        <v>0.17319230531329252</v>
      </c>
      <c r="F10" s="236">
        <f>'Financial Statements'!M29/'Financial Statements'!M36</f>
        <v>0.19787286668315607</v>
      </c>
      <c r="G10" s="237">
        <f>'Financial Statements'!N29/'Financial Statements'!N36</f>
        <v>0.22253817147802435</v>
      </c>
    </row>
    <row r="11" spans="1:7" x14ac:dyDescent="0.3">
      <c r="A11" s="230" t="s">
        <v>388</v>
      </c>
      <c r="B11" s="227">
        <f>'All Ratios Forecast'!H16</f>
        <v>9.627420381569872E-2</v>
      </c>
      <c r="C11" s="227">
        <f>'All Ratios Forecast'!I16</f>
        <v>5.4865899029874828E-2</v>
      </c>
      <c r="D11" s="227">
        <f>'All Ratios Forecast'!J16</f>
        <v>6.1099976765114569E-2</v>
      </c>
      <c r="E11" s="227">
        <f>'All Ratios Forecast'!K16</f>
        <v>6.7388466723898532E-2</v>
      </c>
      <c r="F11" s="227">
        <f>'All Ratios Forecast'!L16</f>
        <v>7.6137325624130156E-2</v>
      </c>
      <c r="G11" s="233">
        <f>'All Ratios Forecast'!M16</f>
        <v>9.4545387940571365E-2</v>
      </c>
    </row>
    <row r="12" spans="1:7" x14ac:dyDescent="0.3">
      <c r="A12" s="230" t="s">
        <v>387</v>
      </c>
      <c r="B12" s="227">
        <f>'All Ratios Forecast'!H15</f>
        <v>0.16067825904912389</v>
      </c>
      <c r="C12" s="227">
        <f>'All Ratios Forecast'!I15</f>
        <v>4.6903070375656171E-2</v>
      </c>
      <c r="D12" s="227">
        <f>'All Ratios Forecast'!J15</f>
        <v>5.2749417146551777E-2</v>
      </c>
      <c r="E12" s="227">
        <f>'All Ratios Forecast'!K15</f>
        <v>5.8215833928671003E-2</v>
      </c>
      <c r="F12" s="227">
        <f>'All Ratios Forecast'!L15</f>
        <v>6.6462645257438002E-2</v>
      </c>
      <c r="G12" s="233">
        <f>'All Ratios Forecast'!M15</f>
        <v>8.3426698237357849E-2</v>
      </c>
    </row>
    <row r="13" spans="1:7" x14ac:dyDescent="0.3">
      <c r="A13" s="230" t="s">
        <v>408</v>
      </c>
      <c r="B13" s="234">
        <f>'All Ratios Forecast'!H19</f>
        <v>19.458972752896965</v>
      </c>
      <c r="C13" s="234">
        <f>'All Ratios Forecast'!I19</f>
        <v>66.844830309776526</v>
      </c>
      <c r="D13" s="234">
        <f>'All Ratios Forecast'!J19</f>
        <v>59.929829290207969</v>
      </c>
      <c r="E13" s="234">
        <f>'All Ratios Forecast'!K19</f>
        <v>55.06334442031401</v>
      </c>
      <c r="F13" s="234">
        <f>'All Ratios Forecast'!L19</f>
        <v>49.076493662220834</v>
      </c>
      <c r="G13" s="235">
        <f>'All Ratios Forecast'!M19</f>
        <v>39.575029314297339</v>
      </c>
    </row>
    <row r="14" spans="1:7" ht="15" thickBot="1" x14ac:dyDescent="0.35">
      <c r="A14" s="231" t="s">
        <v>409</v>
      </c>
      <c r="B14" s="228">
        <f>'All Ratios Forecast'!H20</f>
        <v>6.2528841181286543</v>
      </c>
      <c r="C14" s="228">
        <f>'All Ratios Forecast'!I20</f>
        <v>6.2770601295903345</v>
      </c>
      <c r="D14" s="228">
        <f>'All Ratios Forecast'!J20</f>
        <v>6.3311451962209055</v>
      </c>
      <c r="E14" s="228">
        <f>'All Ratios Forecast'!K20</f>
        <v>6.4218419456228704</v>
      </c>
      <c r="F14" s="228">
        <f>'All Ratios Forecast'!L20</f>
        <v>6.5364410207289447</v>
      </c>
      <c r="G14" s="238">
        <f>'All Ratios Forecast'!M20</f>
        <v>6.6183655683310425</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5537-541F-4321-86FE-B72EE5FDCE6B}">
  <dimension ref="A1:J30"/>
  <sheetViews>
    <sheetView zoomScale="90" zoomScaleNormal="90" workbookViewId="0">
      <selection activeCell="F11" sqref="F11"/>
    </sheetView>
  </sheetViews>
  <sheetFormatPr defaultRowHeight="14.4" x14ac:dyDescent="0.3"/>
  <cols>
    <col min="1" max="1" width="16.77734375" customWidth="1"/>
    <col min="2" max="2" width="11.77734375" customWidth="1"/>
    <col min="3" max="3" width="17.88671875" customWidth="1"/>
    <col min="4" max="4" width="16" customWidth="1"/>
    <col min="5" max="5" width="17.88671875" customWidth="1"/>
    <col min="6" max="6" width="17.6640625" customWidth="1"/>
    <col min="7" max="7" width="14.6640625" customWidth="1"/>
    <col min="8" max="8" width="18.6640625" customWidth="1"/>
    <col min="9" max="9" width="23.6640625" style="122" customWidth="1"/>
    <col min="10" max="10" width="16.21875" customWidth="1"/>
  </cols>
  <sheetData>
    <row r="1" spans="1:10" ht="25.8" x14ac:dyDescent="0.5">
      <c r="A1" s="405" t="s">
        <v>421</v>
      </c>
      <c r="B1" s="405"/>
      <c r="C1" s="405"/>
      <c r="D1" s="405"/>
      <c r="E1" s="405"/>
      <c r="F1" s="405"/>
      <c r="G1" s="405"/>
      <c r="H1" s="405"/>
      <c r="I1" s="405"/>
      <c r="J1" s="405"/>
    </row>
    <row r="2" spans="1:10" ht="15" thickBot="1" x14ac:dyDescent="0.35">
      <c r="A2" s="239" t="s">
        <v>422</v>
      </c>
      <c r="B2" s="239" t="s">
        <v>12</v>
      </c>
      <c r="C2" s="239" t="s">
        <v>288</v>
      </c>
      <c r="D2" s="239" t="s">
        <v>423</v>
      </c>
      <c r="E2" s="239" t="s">
        <v>424</v>
      </c>
      <c r="F2" s="239" t="s">
        <v>425</v>
      </c>
      <c r="G2" s="239" t="s">
        <v>426</v>
      </c>
      <c r="H2" s="239" t="s">
        <v>427</v>
      </c>
      <c r="I2" s="240" t="s">
        <v>428</v>
      </c>
      <c r="J2" s="239" t="s">
        <v>429</v>
      </c>
    </row>
    <row r="3" spans="1:10" x14ac:dyDescent="0.3">
      <c r="A3" s="256" t="s">
        <v>430</v>
      </c>
      <c r="B3" s="24">
        <v>2019</v>
      </c>
      <c r="C3" s="244" t="s">
        <v>198</v>
      </c>
      <c r="D3" s="244">
        <v>0.28000000000000003</v>
      </c>
      <c r="E3" s="244">
        <v>8.5999999999999993E-2</v>
      </c>
      <c r="F3" s="244">
        <v>9.5000000000000001E-2</v>
      </c>
      <c r="G3" s="245">
        <v>1.71</v>
      </c>
      <c r="H3" s="245">
        <v>0.06</v>
      </c>
      <c r="I3" s="245">
        <v>10.1</v>
      </c>
      <c r="J3" s="246">
        <v>0.38</v>
      </c>
    </row>
    <row r="4" spans="1:10" x14ac:dyDescent="0.3">
      <c r="A4" s="257" t="s">
        <v>430</v>
      </c>
      <c r="B4" s="26">
        <v>2020</v>
      </c>
      <c r="C4" s="241">
        <v>9.7000000000000003E-2</v>
      </c>
      <c r="D4" s="241">
        <v>0.27300000000000002</v>
      </c>
      <c r="E4" s="241">
        <v>6.4000000000000001E-2</v>
      </c>
      <c r="F4" s="241">
        <v>7.1999999999999995E-2</v>
      </c>
      <c r="G4" s="242">
        <v>1.65</v>
      </c>
      <c r="H4" s="242">
        <v>0.05</v>
      </c>
      <c r="I4" s="242">
        <v>11.4</v>
      </c>
      <c r="J4" s="247">
        <v>0.4</v>
      </c>
    </row>
    <row r="5" spans="1:10" x14ac:dyDescent="0.3">
      <c r="A5" s="257" t="s">
        <v>430</v>
      </c>
      <c r="B5" s="26">
        <v>2021</v>
      </c>
      <c r="C5" s="241">
        <v>2.5000000000000001E-2</v>
      </c>
      <c r="D5" s="241">
        <v>0.27</v>
      </c>
      <c r="E5" s="241">
        <v>6.9000000000000006E-2</v>
      </c>
      <c r="F5" s="241">
        <v>7.8E-2</v>
      </c>
      <c r="G5" s="242">
        <v>1.72</v>
      </c>
      <c r="H5" s="242">
        <v>0.04</v>
      </c>
      <c r="I5" s="242">
        <v>12.8</v>
      </c>
      <c r="J5" s="247">
        <v>0.38</v>
      </c>
    </row>
    <row r="6" spans="1:10" x14ac:dyDescent="0.3">
      <c r="A6" s="257" t="s">
        <v>430</v>
      </c>
      <c r="B6" s="26">
        <v>2022</v>
      </c>
      <c r="C6" s="241">
        <v>0.16800000000000001</v>
      </c>
      <c r="D6" s="241">
        <v>0.28100000000000003</v>
      </c>
      <c r="E6" s="241">
        <v>9.1999999999999998E-2</v>
      </c>
      <c r="F6" s="241">
        <v>0.104</v>
      </c>
      <c r="G6" s="242">
        <v>1.88</v>
      </c>
      <c r="H6" s="242">
        <v>0.03</v>
      </c>
      <c r="I6" s="242">
        <v>16.2</v>
      </c>
      <c r="J6" s="247">
        <v>0.42</v>
      </c>
    </row>
    <row r="7" spans="1:10" x14ac:dyDescent="0.3">
      <c r="A7" s="257" t="s">
        <v>430</v>
      </c>
      <c r="B7" s="26">
        <v>2023</v>
      </c>
      <c r="C7" s="241">
        <v>0.11799999999999999</v>
      </c>
      <c r="D7" s="241">
        <v>0.28499999999999998</v>
      </c>
      <c r="E7" s="241">
        <v>0.107</v>
      </c>
      <c r="F7" s="241">
        <v>0.11799999999999999</v>
      </c>
      <c r="G7" s="242">
        <v>1.96</v>
      </c>
      <c r="H7" s="242">
        <v>0.02</v>
      </c>
      <c r="I7" s="242">
        <v>21.3</v>
      </c>
      <c r="J7" s="247">
        <v>0.44</v>
      </c>
    </row>
    <row r="8" spans="1:10" x14ac:dyDescent="0.3">
      <c r="A8" s="257" t="s">
        <v>430</v>
      </c>
      <c r="B8" s="26">
        <v>2024</v>
      </c>
      <c r="C8" s="241">
        <v>0.13500000000000001</v>
      </c>
      <c r="D8" s="241">
        <v>0.29799999999999999</v>
      </c>
      <c r="E8" s="241">
        <v>0.121</v>
      </c>
      <c r="F8" s="241">
        <v>0.152</v>
      </c>
      <c r="G8" s="242">
        <v>2.1</v>
      </c>
      <c r="H8" s="242">
        <v>0.01</v>
      </c>
      <c r="I8" s="242">
        <v>28.4</v>
      </c>
      <c r="J8" s="247">
        <v>0.46</v>
      </c>
    </row>
    <row r="9" spans="1:10" ht="15" thickBot="1" x14ac:dyDescent="0.35">
      <c r="A9" s="258" t="s">
        <v>430</v>
      </c>
      <c r="B9" s="30">
        <v>2025</v>
      </c>
      <c r="C9" s="248">
        <v>0.13200000000000001</v>
      </c>
      <c r="D9" s="248">
        <v>0.309</v>
      </c>
      <c r="E9" s="248">
        <v>0.128</v>
      </c>
      <c r="F9" s="248">
        <v>0.152</v>
      </c>
      <c r="G9" s="249">
        <v>2.1800000000000002</v>
      </c>
      <c r="H9" s="249">
        <v>0</v>
      </c>
      <c r="I9" s="249">
        <v>35.1</v>
      </c>
      <c r="J9" s="250">
        <v>0.48</v>
      </c>
    </row>
    <row r="10" spans="1:10" x14ac:dyDescent="0.3">
      <c r="A10" s="259" t="s">
        <v>431</v>
      </c>
      <c r="B10" s="24">
        <v>2019</v>
      </c>
      <c r="C10" s="244" t="s">
        <v>198</v>
      </c>
      <c r="D10" s="244">
        <v>0.21099999999999999</v>
      </c>
      <c r="E10" s="244">
        <v>9.0999999999999998E-2</v>
      </c>
      <c r="F10" s="244">
        <v>0.14899999999999999</v>
      </c>
      <c r="G10" s="245">
        <v>2.1</v>
      </c>
      <c r="H10" s="245">
        <v>0.22</v>
      </c>
      <c r="I10" s="245">
        <v>8.4</v>
      </c>
      <c r="J10" s="246">
        <v>0.68</v>
      </c>
    </row>
    <row r="11" spans="1:10" x14ac:dyDescent="0.3">
      <c r="A11" s="260" t="s">
        <v>431</v>
      </c>
      <c r="B11" s="26">
        <v>2020</v>
      </c>
      <c r="C11" s="241">
        <v>7.2999999999999995E-2</v>
      </c>
      <c r="D11" s="241">
        <v>0.20200000000000001</v>
      </c>
      <c r="E11" s="241">
        <v>8.5999999999999993E-2</v>
      </c>
      <c r="F11" s="241">
        <v>0.14000000000000001</v>
      </c>
      <c r="G11" s="242">
        <v>2.0499999999999998</v>
      </c>
      <c r="H11" s="242">
        <v>0.2</v>
      </c>
      <c r="I11" s="242">
        <v>9.1</v>
      </c>
      <c r="J11" s="247">
        <v>0.65</v>
      </c>
    </row>
    <row r="12" spans="1:10" x14ac:dyDescent="0.3">
      <c r="A12" s="260" t="s">
        <v>431</v>
      </c>
      <c r="B12" s="26">
        <v>2021</v>
      </c>
      <c r="C12" s="241">
        <v>1.4E-2</v>
      </c>
      <c r="D12" s="241">
        <v>0.22800000000000001</v>
      </c>
      <c r="E12" s="241">
        <v>8.7999999999999995E-2</v>
      </c>
      <c r="F12" s="241">
        <v>0.14000000000000001</v>
      </c>
      <c r="G12" s="242">
        <v>2.1800000000000002</v>
      </c>
      <c r="H12" s="242">
        <v>0.17</v>
      </c>
      <c r="I12" s="242">
        <v>10.199999999999999</v>
      </c>
      <c r="J12" s="247">
        <v>0.62</v>
      </c>
    </row>
    <row r="13" spans="1:10" x14ac:dyDescent="0.3">
      <c r="A13" s="260" t="s">
        <v>431</v>
      </c>
      <c r="B13" s="26">
        <v>2022</v>
      </c>
      <c r="C13" s="241">
        <v>4.8000000000000001E-2</v>
      </c>
      <c r="D13" s="241">
        <v>0.221</v>
      </c>
      <c r="E13" s="241">
        <v>9.5000000000000001E-2</v>
      </c>
      <c r="F13" s="241">
        <v>0.15</v>
      </c>
      <c r="G13" s="242">
        <v>2.2599999999999998</v>
      </c>
      <c r="H13" s="242">
        <v>0.14000000000000001</v>
      </c>
      <c r="I13" s="242">
        <v>12.5</v>
      </c>
      <c r="J13" s="247">
        <v>0.64</v>
      </c>
    </row>
    <row r="14" spans="1:10" x14ac:dyDescent="0.3">
      <c r="A14" s="260" t="s">
        <v>431</v>
      </c>
      <c r="B14" s="26">
        <v>2023</v>
      </c>
      <c r="C14" s="241">
        <v>0.17599999999999999</v>
      </c>
      <c r="D14" s="241">
        <v>0.245</v>
      </c>
      <c r="E14" s="241">
        <v>0.11799999999999999</v>
      </c>
      <c r="F14" s="241">
        <v>0.17799999999999999</v>
      </c>
      <c r="G14" s="242">
        <v>2.33</v>
      </c>
      <c r="H14" s="242">
        <v>0.09</v>
      </c>
      <c r="I14" s="242">
        <v>17.8</v>
      </c>
      <c r="J14" s="247">
        <v>0.72</v>
      </c>
    </row>
    <row r="15" spans="1:10" x14ac:dyDescent="0.3">
      <c r="A15" s="260" t="s">
        <v>431</v>
      </c>
      <c r="B15" s="26">
        <v>2024</v>
      </c>
      <c r="C15" s="241">
        <v>0.193</v>
      </c>
      <c r="D15" s="241">
        <v>0.26100000000000001</v>
      </c>
      <c r="E15" s="241">
        <v>0.14699999999999999</v>
      </c>
      <c r="F15" s="241">
        <v>0.20899999999999999</v>
      </c>
      <c r="G15" s="242">
        <v>2.5099999999999998</v>
      </c>
      <c r="H15" s="242">
        <v>0.06</v>
      </c>
      <c r="I15" s="242">
        <v>22.4</v>
      </c>
      <c r="J15" s="247">
        <v>0.78</v>
      </c>
    </row>
    <row r="16" spans="1:10" ht="15" thickBot="1" x14ac:dyDescent="0.35">
      <c r="A16" s="261" t="s">
        <v>431</v>
      </c>
      <c r="B16" s="30">
        <v>2025</v>
      </c>
      <c r="C16" s="248">
        <v>0.11799999999999999</v>
      </c>
      <c r="D16" s="248">
        <v>0.27500000000000002</v>
      </c>
      <c r="E16" s="248">
        <v>0.161</v>
      </c>
      <c r="F16" s="248">
        <v>0.22500000000000001</v>
      </c>
      <c r="G16" s="249">
        <v>2.62</v>
      </c>
      <c r="H16" s="249">
        <v>0.04</v>
      </c>
      <c r="I16" s="249">
        <v>28.6</v>
      </c>
      <c r="J16" s="250">
        <v>0.82</v>
      </c>
    </row>
    <row r="17" spans="1:10" x14ac:dyDescent="0.3">
      <c r="A17" s="262" t="s">
        <v>432</v>
      </c>
      <c r="B17" s="24">
        <v>2019</v>
      </c>
      <c r="C17" s="244" t="s">
        <v>198</v>
      </c>
      <c r="D17" s="244">
        <v>0.185</v>
      </c>
      <c r="E17" s="244">
        <v>7.3999999999999996E-2</v>
      </c>
      <c r="F17" s="244">
        <v>0.112</v>
      </c>
      <c r="G17" s="245">
        <v>2.08</v>
      </c>
      <c r="H17" s="245">
        <v>0.28000000000000003</v>
      </c>
      <c r="I17" s="245">
        <v>7.8</v>
      </c>
      <c r="J17" s="246">
        <v>0.56000000000000005</v>
      </c>
    </row>
    <row r="18" spans="1:10" x14ac:dyDescent="0.3">
      <c r="A18" s="263" t="s">
        <v>432</v>
      </c>
      <c r="B18" s="26">
        <v>2020</v>
      </c>
      <c r="C18" s="241">
        <v>0.151</v>
      </c>
      <c r="D18" s="241">
        <v>0.22600000000000001</v>
      </c>
      <c r="E18" s="241">
        <v>8.7999999999999995E-2</v>
      </c>
      <c r="F18" s="241">
        <v>0.13200000000000001</v>
      </c>
      <c r="G18" s="242">
        <v>2.15</v>
      </c>
      <c r="H18" s="242">
        <v>0.22</v>
      </c>
      <c r="I18" s="242">
        <v>9.6</v>
      </c>
      <c r="J18" s="247">
        <v>0.6</v>
      </c>
    </row>
    <row r="19" spans="1:10" x14ac:dyDescent="0.3">
      <c r="A19" s="263" t="s">
        <v>432</v>
      </c>
      <c r="B19" s="26">
        <v>2021</v>
      </c>
      <c r="C19" s="241">
        <v>0.11</v>
      </c>
      <c r="D19" s="241">
        <v>0.23799999999999999</v>
      </c>
      <c r="E19" s="241">
        <v>0.10100000000000001</v>
      </c>
      <c r="F19" s="241">
        <v>0.14799999999999999</v>
      </c>
      <c r="G19" s="242">
        <v>2.2200000000000002</v>
      </c>
      <c r="H19" s="242">
        <v>0.16</v>
      </c>
      <c r="I19" s="242">
        <v>11.4</v>
      </c>
      <c r="J19" s="247">
        <v>0.62</v>
      </c>
    </row>
    <row r="20" spans="1:10" x14ac:dyDescent="0.3">
      <c r="A20" s="263" t="s">
        <v>432</v>
      </c>
      <c r="B20" s="26">
        <v>2022</v>
      </c>
      <c r="C20" s="241">
        <v>0.159</v>
      </c>
      <c r="D20" s="241">
        <v>0.249</v>
      </c>
      <c r="E20" s="241">
        <v>0.11799999999999999</v>
      </c>
      <c r="F20" s="241">
        <v>0.16600000000000001</v>
      </c>
      <c r="G20" s="242">
        <v>2.38</v>
      </c>
      <c r="H20" s="242">
        <v>0.12</v>
      </c>
      <c r="I20" s="242">
        <v>14.2</v>
      </c>
      <c r="J20" s="247">
        <v>0.65</v>
      </c>
    </row>
    <row r="21" spans="1:10" x14ac:dyDescent="0.3">
      <c r="A21" s="263" t="s">
        <v>432</v>
      </c>
      <c r="B21" s="26">
        <v>2023</v>
      </c>
      <c r="C21" s="241">
        <v>0.126</v>
      </c>
      <c r="D21" s="241">
        <v>0.26100000000000001</v>
      </c>
      <c r="E21" s="241">
        <v>0.14799999999999999</v>
      </c>
      <c r="F21" s="241">
        <v>0.19500000000000001</v>
      </c>
      <c r="G21" s="242">
        <v>2.44</v>
      </c>
      <c r="H21" s="242">
        <v>0.08</v>
      </c>
      <c r="I21" s="242">
        <v>18.5</v>
      </c>
      <c r="J21" s="247">
        <v>0.7</v>
      </c>
    </row>
    <row r="22" spans="1:10" x14ac:dyDescent="0.3">
      <c r="A22" s="263" t="s">
        <v>432</v>
      </c>
      <c r="B22" s="26">
        <v>2024</v>
      </c>
      <c r="C22" s="241">
        <v>0.16800000000000001</v>
      </c>
      <c r="D22" s="241">
        <v>0.27100000000000002</v>
      </c>
      <c r="E22" s="241">
        <v>0.17199999999999999</v>
      </c>
      <c r="F22" s="241">
        <v>0.214</v>
      </c>
      <c r="G22" s="242">
        <v>2.52</v>
      </c>
      <c r="H22" s="242">
        <v>0.05</v>
      </c>
      <c r="I22" s="242">
        <v>25.1</v>
      </c>
      <c r="J22" s="247">
        <v>0.74</v>
      </c>
    </row>
    <row r="23" spans="1:10" ht="15" thickBot="1" x14ac:dyDescent="0.35">
      <c r="A23" s="264" t="s">
        <v>432</v>
      </c>
      <c r="B23" s="30">
        <v>2025</v>
      </c>
      <c r="C23" s="248">
        <v>0.12</v>
      </c>
      <c r="D23" s="248">
        <v>0.28199999999999997</v>
      </c>
      <c r="E23" s="248">
        <v>0.188</v>
      </c>
      <c r="F23" s="248">
        <v>0.214</v>
      </c>
      <c r="G23" s="249">
        <v>2.61</v>
      </c>
      <c r="H23" s="249">
        <v>0.04</v>
      </c>
      <c r="I23" s="249">
        <v>31.4</v>
      </c>
      <c r="J23" s="250">
        <v>0.77</v>
      </c>
    </row>
    <row r="24" spans="1:10" x14ac:dyDescent="0.3">
      <c r="A24" s="265" t="s">
        <v>442</v>
      </c>
      <c r="B24" s="24">
        <v>2019</v>
      </c>
      <c r="C24" s="251" t="s">
        <v>198</v>
      </c>
      <c r="D24" s="252">
        <v>0.17399999999999999</v>
      </c>
      <c r="E24" s="252">
        <v>6.9000000000000006E-2</v>
      </c>
      <c r="F24" s="252">
        <v>0.125</v>
      </c>
      <c r="G24" s="253">
        <v>2.02</v>
      </c>
      <c r="H24" s="253">
        <v>0.41</v>
      </c>
      <c r="I24" s="253">
        <v>5.8</v>
      </c>
      <c r="J24" s="254">
        <v>0.57999999999999996</v>
      </c>
    </row>
    <row r="25" spans="1:10" x14ac:dyDescent="0.3">
      <c r="A25" s="266" t="s">
        <v>442</v>
      </c>
      <c r="B25" s="26">
        <v>2020</v>
      </c>
      <c r="C25" s="243">
        <v>4.7E-2</v>
      </c>
      <c r="D25" s="243">
        <v>0.187</v>
      </c>
      <c r="E25" s="243">
        <v>5.1999999999999998E-2</v>
      </c>
      <c r="F25" s="243">
        <v>9.1999999999999998E-2</v>
      </c>
      <c r="G25" s="183">
        <v>1.95</v>
      </c>
      <c r="H25" s="183">
        <v>0.38</v>
      </c>
      <c r="I25" s="183">
        <v>6.2</v>
      </c>
      <c r="J25" s="255">
        <v>0.56999999999999995</v>
      </c>
    </row>
    <row r="26" spans="1:10" x14ac:dyDescent="0.3">
      <c r="A26" s="266" t="s">
        <v>442</v>
      </c>
      <c r="B26" s="26">
        <v>2021</v>
      </c>
      <c r="C26" s="243">
        <v>-9.7000000000000003E-2</v>
      </c>
      <c r="D26" s="243">
        <v>0.192</v>
      </c>
      <c r="E26" s="243">
        <v>4.8000000000000001E-2</v>
      </c>
      <c r="F26" s="243">
        <v>8.5999999999999993E-2</v>
      </c>
      <c r="G26" s="183">
        <v>2.0499999999999998</v>
      </c>
      <c r="H26" s="183">
        <v>0.32</v>
      </c>
      <c r="I26" s="183">
        <v>7.4</v>
      </c>
      <c r="J26" s="255">
        <v>0.52</v>
      </c>
    </row>
    <row r="27" spans="1:10" x14ac:dyDescent="0.3">
      <c r="A27" s="266" t="s">
        <v>442</v>
      </c>
      <c r="B27" s="26">
        <v>2022</v>
      </c>
      <c r="C27" s="243">
        <v>2.5000000000000001E-2</v>
      </c>
      <c r="D27" s="243">
        <v>0.18099999999999999</v>
      </c>
      <c r="E27" s="243">
        <v>5.8000000000000003E-2</v>
      </c>
      <c r="F27" s="243">
        <v>0.10100000000000001</v>
      </c>
      <c r="G27" s="183">
        <v>2.1</v>
      </c>
      <c r="H27" s="183">
        <v>0.26</v>
      </c>
      <c r="I27" s="183">
        <v>8.8000000000000007</v>
      </c>
      <c r="J27" s="255">
        <v>0.55000000000000004</v>
      </c>
    </row>
    <row r="28" spans="1:10" x14ac:dyDescent="0.3">
      <c r="A28" s="266" t="s">
        <v>442</v>
      </c>
      <c r="B28" s="26">
        <v>2023</v>
      </c>
      <c r="C28" s="243">
        <v>0.14399999999999999</v>
      </c>
      <c r="D28" s="243">
        <v>0.19600000000000001</v>
      </c>
      <c r="E28" s="243">
        <v>7.8E-2</v>
      </c>
      <c r="F28" s="243">
        <v>0.13500000000000001</v>
      </c>
      <c r="G28" s="183">
        <v>2.25</v>
      </c>
      <c r="H28" s="183">
        <v>0.18</v>
      </c>
      <c r="I28" s="183">
        <v>12.5</v>
      </c>
      <c r="J28" s="255">
        <v>0.59</v>
      </c>
    </row>
    <row r="29" spans="1:10" x14ac:dyDescent="0.3">
      <c r="A29" s="266" t="s">
        <v>442</v>
      </c>
      <c r="B29" s="26">
        <v>2024</v>
      </c>
      <c r="C29" s="243">
        <v>0.17499999999999999</v>
      </c>
      <c r="D29" s="243">
        <v>0.218</v>
      </c>
      <c r="E29" s="243">
        <v>9.8000000000000004E-2</v>
      </c>
      <c r="F29" s="243">
        <v>0.16800000000000001</v>
      </c>
      <c r="G29" s="183">
        <v>2.38</v>
      </c>
      <c r="H29" s="183">
        <v>0.12</v>
      </c>
      <c r="I29" s="183">
        <v>17.8</v>
      </c>
      <c r="J29" s="255">
        <v>0.64</v>
      </c>
    </row>
    <row r="30" spans="1:10" x14ac:dyDescent="0.3">
      <c r="A30" s="267" t="s">
        <v>442</v>
      </c>
      <c r="B30" s="268">
        <v>2025</v>
      </c>
      <c r="C30" s="269">
        <v>0.13600000000000001</v>
      </c>
      <c r="D30" s="269">
        <v>0.247</v>
      </c>
      <c r="E30" s="269">
        <v>0.13200000000000001</v>
      </c>
      <c r="F30" s="269">
        <v>0.20899999999999999</v>
      </c>
      <c r="G30" s="270">
        <v>2.52</v>
      </c>
      <c r="H30" s="270">
        <v>0.06</v>
      </c>
      <c r="I30" s="270">
        <v>24.3</v>
      </c>
      <c r="J30" s="271">
        <v>0.7</v>
      </c>
    </row>
  </sheetData>
  <mergeCells count="1">
    <mergeCell ref="A1:J1"/>
  </mergeCell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87B6-9B41-45EC-B5C3-A64B6E67D971}">
  <dimension ref="A4:W38"/>
  <sheetViews>
    <sheetView topLeftCell="A13" workbookViewId="0">
      <selection activeCell="H18" sqref="H18"/>
    </sheetView>
  </sheetViews>
  <sheetFormatPr defaultRowHeight="14.4" x14ac:dyDescent="0.3"/>
  <cols>
    <col min="1" max="1" width="24.88671875" bestFit="1" customWidth="1"/>
    <col min="2" max="2" width="15.5546875" bestFit="1" customWidth="1"/>
    <col min="3" max="3" width="12" bestFit="1" customWidth="1"/>
    <col min="4" max="4" width="11.21875" bestFit="1" customWidth="1"/>
    <col min="5" max="6" width="12" bestFit="1" customWidth="1"/>
    <col min="8" max="8" width="20.21875" bestFit="1" customWidth="1"/>
    <col min="9" max="9" width="15.5546875" bestFit="1" customWidth="1"/>
    <col min="10" max="10" width="7" bestFit="1" customWidth="1"/>
    <col min="11" max="11" width="11.21875" bestFit="1" customWidth="1"/>
    <col min="12" max="12" width="7" bestFit="1" customWidth="1"/>
    <col min="13" max="13" width="10.77734375" bestFit="1" customWidth="1"/>
    <col min="18" max="18" width="21.77734375" bestFit="1" customWidth="1"/>
    <col min="19" max="19" width="15.5546875" bestFit="1" customWidth="1"/>
    <col min="20" max="20" width="6" bestFit="1" customWidth="1"/>
    <col min="21" max="21" width="11.21875" bestFit="1" customWidth="1"/>
    <col min="22" max="22" width="6.44140625" bestFit="1" customWidth="1"/>
    <col min="23" max="23" width="10.77734375" bestFit="1" customWidth="1"/>
  </cols>
  <sheetData>
    <row r="4" spans="1:23" x14ac:dyDescent="0.3">
      <c r="A4" s="272" t="s">
        <v>478</v>
      </c>
      <c r="B4" s="272" t="s">
        <v>486</v>
      </c>
      <c r="H4" s="272" t="s">
        <v>479</v>
      </c>
      <c r="I4" s="272" t="s">
        <v>486</v>
      </c>
      <c r="R4" s="272" t="s">
        <v>480</v>
      </c>
      <c r="S4" s="272" t="s">
        <v>486</v>
      </c>
    </row>
    <row r="5" spans="1:23" x14ac:dyDescent="0.3">
      <c r="A5" s="272" t="s">
        <v>476</v>
      </c>
      <c r="B5" t="s">
        <v>432</v>
      </c>
      <c r="C5" t="s">
        <v>442</v>
      </c>
      <c r="D5" t="s">
        <v>430</v>
      </c>
      <c r="E5" t="s">
        <v>431</v>
      </c>
      <c r="F5" t="s">
        <v>477</v>
      </c>
      <c r="H5" s="272" t="s">
        <v>476</v>
      </c>
      <c r="I5" t="s">
        <v>432</v>
      </c>
      <c r="J5" t="s">
        <v>442</v>
      </c>
      <c r="K5" t="s">
        <v>430</v>
      </c>
      <c r="L5" t="s">
        <v>431</v>
      </c>
      <c r="M5" t="s">
        <v>477</v>
      </c>
      <c r="R5" s="272" t="s">
        <v>476</v>
      </c>
      <c r="S5" t="s">
        <v>432</v>
      </c>
      <c r="T5" t="s">
        <v>442</v>
      </c>
      <c r="U5" t="s">
        <v>430</v>
      </c>
      <c r="V5" t="s">
        <v>431</v>
      </c>
      <c r="W5" t="s">
        <v>477</v>
      </c>
    </row>
    <row r="6" spans="1:23" x14ac:dyDescent="0.3">
      <c r="A6" s="273">
        <v>2019</v>
      </c>
      <c r="B6" t="e">
        <v>#DIV/0!</v>
      </c>
      <c r="C6" t="e">
        <v>#DIV/0!</v>
      </c>
      <c r="D6" t="e">
        <v>#DIV/0!</v>
      </c>
      <c r="E6" t="e">
        <v>#DIV/0!</v>
      </c>
      <c r="F6" t="e">
        <v>#DIV/0!</v>
      </c>
      <c r="H6" s="273">
        <v>2019</v>
      </c>
      <c r="I6" s="274">
        <v>0.185</v>
      </c>
      <c r="J6" s="274">
        <v>0.17399999999999999</v>
      </c>
      <c r="K6" s="274">
        <v>0.28000000000000003</v>
      </c>
      <c r="L6" s="274">
        <v>0.21099999999999999</v>
      </c>
      <c r="M6" s="274">
        <v>0.85</v>
      </c>
      <c r="R6" s="273">
        <v>2019</v>
      </c>
      <c r="S6" s="274">
        <v>7.3999999999999996E-2</v>
      </c>
      <c r="T6" s="274">
        <v>6.9000000000000006E-2</v>
      </c>
      <c r="U6" s="274">
        <v>8.5999999999999993E-2</v>
      </c>
      <c r="V6" s="274">
        <v>9.0999999999999998E-2</v>
      </c>
      <c r="W6" s="274">
        <v>0.32</v>
      </c>
    </row>
    <row r="7" spans="1:23" x14ac:dyDescent="0.3">
      <c r="A7" s="273">
        <v>2020</v>
      </c>
      <c r="B7">
        <v>0.151</v>
      </c>
      <c r="C7">
        <v>4.7E-2</v>
      </c>
      <c r="D7">
        <v>9.7000000000000003E-2</v>
      </c>
      <c r="E7">
        <v>7.2999999999999995E-2</v>
      </c>
      <c r="F7">
        <v>9.2000000000000012E-2</v>
      </c>
      <c r="H7" s="273">
        <v>2020</v>
      </c>
      <c r="I7" s="274">
        <v>0.22600000000000001</v>
      </c>
      <c r="J7" s="274">
        <v>0.187</v>
      </c>
      <c r="K7" s="274">
        <v>0.27300000000000002</v>
      </c>
      <c r="L7" s="274">
        <v>0.20200000000000001</v>
      </c>
      <c r="M7" s="274">
        <v>0.88800000000000012</v>
      </c>
      <c r="R7" s="273">
        <v>2020</v>
      </c>
      <c r="S7" s="274">
        <v>8.7999999999999995E-2</v>
      </c>
      <c r="T7" s="274">
        <v>5.1999999999999998E-2</v>
      </c>
      <c r="U7" s="274">
        <v>6.4000000000000001E-2</v>
      </c>
      <c r="V7" s="274">
        <v>8.5999999999999993E-2</v>
      </c>
      <c r="W7" s="274">
        <v>0.28999999999999998</v>
      </c>
    </row>
    <row r="8" spans="1:23" x14ac:dyDescent="0.3">
      <c r="A8" s="273">
        <v>2021</v>
      </c>
      <c r="B8">
        <v>0.11</v>
      </c>
      <c r="C8">
        <v>-9.7000000000000003E-2</v>
      </c>
      <c r="D8">
        <v>2.5000000000000001E-2</v>
      </c>
      <c r="E8">
        <v>1.4E-2</v>
      </c>
      <c r="F8">
        <v>1.2999999999999999E-2</v>
      </c>
      <c r="H8" s="273">
        <v>2021</v>
      </c>
      <c r="I8" s="274">
        <v>0.23799999999999999</v>
      </c>
      <c r="J8" s="274">
        <v>0.192</v>
      </c>
      <c r="K8" s="274">
        <v>0.27</v>
      </c>
      <c r="L8" s="274">
        <v>0.22800000000000001</v>
      </c>
      <c r="M8" s="274">
        <v>0.92799999999999994</v>
      </c>
      <c r="R8" s="273">
        <v>2021</v>
      </c>
      <c r="S8" s="274">
        <v>0.10100000000000001</v>
      </c>
      <c r="T8" s="274">
        <v>4.8000000000000001E-2</v>
      </c>
      <c r="U8" s="274">
        <v>6.9000000000000006E-2</v>
      </c>
      <c r="V8" s="274">
        <v>8.7999999999999995E-2</v>
      </c>
      <c r="W8" s="274">
        <v>0.30600000000000005</v>
      </c>
    </row>
    <row r="9" spans="1:23" x14ac:dyDescent="0.3">
      <c r="A9" s="273">
        <v>2022</v>
      </c>
      <c r="B9">
        <v>0.159</v>
      </c>
      <c r="C9">
        <v>2.5000000000000001E-2</v>
      </c>
      <c r="D9">
        <v>0.16800000000000001</v>
      </c>
      <c r="E9">
        <v>4.8000000000000001E-2</v>
      </c>
      <c r="F9">
        <v>9.9999999999999992E-2</v>
      </c>
      <c r="H9" s="273">
        <v>2022</v>
      </c>
      <c r="I9" s="274">
        <v>0.249</v>
      </c>
      <c r="J9" s="274">
        <v>0.18099999999999999</v>
      </c>
      <c r="K9" s="274">
        <v>0.28100000000000003</v>
      </c>
      <c r="L9" s="274">
        <v>0.221</v>
      </c>
      <c r="M9" s="274">
        <v>0.93200000000000005</v>
      </c>
      <c r="R9" s="273">
        <v>2022</v>
      </c>
      <c r="S9" s="274">
        <v>0.11799999999999999</v>
      </c>
      <c r="T9" s="274">
        <v>5.8000000000000003E-2</v>
      </c>
      <c r="U9" s="274">
        <v>9.1999999999999998E-2</v>
      </c>
      <c r="V9" s="274">
        <v>9.5000000000000001E-2</v>
      </c>
      <c r="W9" s="274">
        <v>0.36299999999999999</v>
      </c>
    </row>
    <row r="10" spans="1:23" x14ac:dyDescent="0.3">
      <c r="A10" s="273">
        <v>2023</v>
      </c>
      <c r="B10">
        <v>0.126</v>
      </c>
      <c r="C10">
        <v>0.14399999999999999</v>
      </c>
      <c r="D10">
        <v>0.11799999999999999</v>
      </c>
      <c r="E10">
        <v>0.17599999999999999</v>
      </c>
      <c r="F10">
        <v>0.14100000000000001</v>
      </c>
      <c r="H10" s="273">
        <v>2023</v>
      </c>
      <c r="I10" s="274">
        <v>0.26100000000000001</v>
      </c>
      <c r="J10" s="274">
        <v>0.19600000000000001</v>
      </c>
      <c r="K10" s="274">
        <v>0.28499999999999998</v>
      </c>
      <c r="L10" s="274">
        <v>0.245</v>
      </c>
      <c r="M10" s="274">
        <v>0.98699999999999999</v>
      </c>
      <c r="R10" s="273">
        <v>2023</v>
      </c>
      <c r="S10" s="274">
        <v>0.14799999999999999</v>
      </c>
      <c r="T10" s="274">
        <v>7.8E-2</v>
      </c>
      <c r="U10" s="274">
        <v>0.107</v>
      </c>
      <c r="V10" s="274">
        <v>0.11799999999999999</v>
      </c>
      <c r="W10" s="274">
        <v>0.45099999999999996</v>
      </c>
    </row>
    <row r="11" spans="1:23" x14ac:dyDescent="0.3">
      <c r="A11" s="273">
        <v>2024</v>
      </c>
      <c r="B11">
        <v>0.16800000000000001</v>
      </c>
      <c r="C11">
        <v>0.17499999999999999</v>
      </c>
      <c r="D11">
        <v>0.13500000000000001</v>
      </c>
      <c r="E11">
        <v>0.193</v>
      </c>
      <c r="F11">
        <v>0.16775000000000001</v>
      </c>
      <c r="H11" s="273">
        <v>2024</v>
      </c>
      <c r="I11" s="274">
        <v>0.27100000000000002</v>
      </c>
      <c r="J11" s="274">
        <v>0.218</v>
      </c>
      <c r="K11" s="274">
        <v>0.29799999999999999</v>
      </c>
      <c r="L11" s="274">
        <v>0.26100000000000001</v>
      </c>
      <c r="M11" s="274">
        <v>1.048</v>
      </c>
      <c r="R11" s="273">
        <v>2024</v>
      </c>
      <c r="S11" s="274">
        <v>0.17199999999999999</v>
      </c>
      <c r="T11" s="274">
        <v>9.8000000000000004E-2</v>
      </c>
      <c r="U11" s="274">
        <v>0.121</v>
      </c>
      <c r="V11" s="274">
        <v>0.14699999999999999</v>
      </c>
      <c r="W11" s="274">
        <v>0.53800000000000003</v>
      </c>
    </row>
    <row r="12" spans="1:23" x14ac:dyDescent="0.3">
      <c r="A12" s="273">
        <v>2025</v>
      </c>
      <c r="B12">
        <v>0.12</v>
      </c>
      <c r="C12">
        <v>0.13600000000000001</v>
      </c>
      <c r="D12">
        <v>0.13200000000000001</v>
      </c>
      <c r="E12">
        <v>0.11799999999999999</v>
      </c>
      <c r="F12">
        <v>0.1265</v>
      </c>
      <c r="H12" s="273">
        <v>2025</v>
      </c>
      <c r="I12" s="274">
        <v>0.28199999999999997</v>
      </c>
      <c r="J12" s="274">
        <v>0.247</v>
      </c>
      <c r="K12" s="274">
        <v>0.309</v>
      </c>
      <c r="L12" s="274">
        <v>0.27500000000000002</v>
      </c>
      <c r="M12" s="274">
        <v>1.113</v>
      </c>
      <c r="R12" s="273">
        <v>2025</v>
      </c>
      <c r="S12" s="274">
        <v>0.188</v>
      </c>
      <c r="T12" s="274">
        <v>0.13200000000000001</v>
      </c>
      <c r="U12" s="274">
        <v>0.128</v>
      </c>
      <c r="V12" s="274">
        <v>0.161</v>
      </c>
      <c r="W12" s="274">
        <v>0.60899999999999999</v>
      </c>
    </row>
    <row r="13" spans="1:23" x14ac:dyDescent="0.3">
      <c r="A13" s="273" t="s">
        <v>477</v>
      </c>
      <c r="B13">
        <v>0.13900000000000001</v>
      </c>
      <c r="C13">
        <v>7.166666666666667E-2</v>
      </c>
      <c r="D13">
        <v>0.1125</v>
      </c>
      <c r="E13">
        <v>0.10366666666666667</v>
      </c>
      <c r="F13">
        <v>0.10670833333333334</v>
      </c>
      <c r="H13" s="273" t="s">
        <v>477</v>
      </c>
      <c r="I13" s="274">
        <v>1.7120000000000002</v>
      </c>
      <c r="J13" s="274">
        <v>1.395</v>
      </c>
      <c r="K13" s="274">
        <v>1.996</v>
      </c>
      <c r="L13" s="274">
        <v>1.6429999999999998</v>
      </c>
      <c r="M13" s="274">
        <v>6.7460000000000004</v>
      </c>
      <c r="R13" s="273" t="s">
        <v>477</v>
      </c>
      <c r="S13" s="274">
        <v>0.88900000000000001</v>
      </c>
      <c r="T13" s="274">
        <v>0.53500000000000003</v>
      </c>
      <c r="U13" s="274">
        <v>0.66699999999999993</v>
      </c>
      <c r="V13" s="274">
        <v>0.78600000000000003</v>
      </c>
      <c r="W13" s="274">
        <v>2.8769999999999998</v>
      </c>
    </row>
    <row r="14" spans="1:23" x14ac:dyDescent="0.3">
      <c r="A14" s="273"/>
      <c r="H14" s="273"/>
      <c r="I14" s="274"/>
      <c r="J14" s="274"/>
      <c r="K14" s="274"/>
      <c r="L14" s="274"/>
      <c r="M14" s="274"/>
      <c r="R14" s="273"/>
      <c r="S14" s="274"/>
      <c r="T14" s="274"/>
      <c r="U14" s="274"/>
      <c r="V14" s="274"/>
      <c r="W14" s="274"/>
    </row>
    <row r="15" spans="1:23" x14ac:dyDescent="0.3">
      <c r="A15" s="273"/>
      <c r="H15" s="273"/>
      <c r="I15" s="274"/>
      <c r="J15" s="274"/>
      <c r="K15" s="274"/>
      <c r="L15" s="274"/>
      <c r="M15" s="274"/>
      <c r="R15" s="273"/>
      <c r="S15" s="274"/>
      <c r="T15" s="274"/>
      <c r="U15" s="274"/>
      <c r="V15" s="274"/>
      <c r="W15" s="274"/>
    </row>
    <row r="16" spans="1:23" x14ac:dyDescent="0.3">
      <c r="A16" s="272" t="s">
        <v>481</v>
      </c>
      <c r="B16" s="272" t="s">
        <v>486</v>
      </c>
      <c r="H16" s="272" t="s">
        <v>482</v>
      </c>
      <c r="I16" s="272" t="s">
        <v>486</v>
      </c>
      <c r="R16" s="272" t="s">
        <v>483</v>
      </c>
      <c r="S16" s="272" t="s">
        <v>486</v>
      </c>
    </row>
    <row r="17" spans="1:23" x14ac:dyDescent="0.3">
      <c r="A17" s="272" t="s">
        <v>476</v>
      </c>
      <c r="B17" t="s">
        <v>432</v>
      </c>
      <c r="C17" t="s">
        <v>442</v>
      </c>
      <c r="D17" t="s">
        <v>430</v>
      </c>
      <c r="E17" t="s">
        <v>431</v>
      </c>
      <c r="F17" t="s">
        <v>477</v>
      </c>
      <c r="H17" s="272" t="s">
        <v>476</v>
      </c>
      <c r="I17" t="s">
        <v>432</v>
      </c>
      <c r="J17" t="s">
        <v>442</v>
      </c>
      <c r="K17" t="s">
        <v>430</v>
      </c>
      <c r="L17" t="s">
        <v>431</v>
      </c>
      <c r="M17" t="s">
        <v>477</v>
      </c>
      <c r="R17" s="272" t="s">
        <v>476</v>
      </c>
      <c r="S17" t="s">
        <v>432</v>
      </c>
      <c r="T17" t="s">
        <v>442</v>
      </c>
      <c r="U17" t="s">
        <v>430</v>
      </c>
      <c r="V17" t="s">
        <v>431</v>
      </c>
      <c r="W17" t="s">
        <v>477</v>
      </c>
    </row>
    <row r="18" spans="1:23" x14ac:dyDescent="0.3">
      <c r="A18" s="273">
        <v>2019</v>
      </c>
      <c r="B18" s="274">
        <v>0.112</v>
      </c>
      <c r="C18" s="274">
        <v>0.125</v>
      </c>
      <c r="D18" s="274">
        <v>9.5000000000000001E-2</v>
      </c>
      <c r="E18" s="274">
        <v>0.14899999999999999</v>
      </c>
      <c r="F18" s="274">
        <v>0.48099999999999998</v>
      </c>
      <c r="H18" s="273">
        <v>2019</v>
      </c>
      <c r="I18" s="122">
        <v>2.08</v>
      </c>
      <c r="J18" s="122">
        <v>2.02</v>
      </c>
      <c r="K18" s="122">
        <v>1.71</v>
      </c>
      <c r="L18" s="122">
        <v>2.1</v>
      </c>
      <c r="M18" s="122">
        <v>7.91</v>
      </c>
      <c r="R18" s="273">
        <v>2019</v>
      </c>
      <c r="S18" s="122">
        <v>0.28000000000000003</v>
      </c>
      <c r="T18" s="122">
        <v>0.41</v>
      </c>
      <c r="U18" s="122">
        <v>0.06</v>
      </c>
      <c r="V18" s="122">
        <v>0.22</v>
      </c>
      <c r="W18" s="122">
        <v>0.97</v>
      </c>
    </row>
    <row r="19" spans="1:23" x14ac:dyDescent="0.3">
      <c r="A19" s="273">
        <v>2020</v>
      </c>
      <c r="B19" s="274">
        <v>0.13200000000000001</v>
      </c>
      <c r="C19" s="274">
        <v>9.1999999999999998E-2</v>
      </c>
      <c r="D19" s="274">
        <v>7.1999999999999995E-2</v>
      </c>
      <c r="E19" s="274">
        <v>0.14000000000000001</v>
      </c>
      <c r="F19" s="274">
        <v>0.436</v>
      </c>
      <c r="H19" s="273">
        <v>2020</v>
      </c>
      <c r="I19" s="122">
        <v>2.15</v>
      </c>
      <c r="J19" s="122">
        <v>1.95</v>
      </c>
      <c r="K19" s="122">
        <v>1.65</v>
      </c>
      <c r="L19" s="122">
        <v>2.0499999999999998</v>
      </c>
      <c r="M19" s="122">
        <v>7.8</v>
      </c>
      <c r="R19" s="273">
        <v>2020</v>
      </c>
      <c r="S19" s="122">
        <v>0.22</v>
      </c>
      <c r="T19" s="122">
        <v>0.38</v>
      </c>
      <c r="U19" s="122">
        <v>0.05</v>
      </c>
      <c r="V19" s="122">
        <v>0.2</v>
      </c>
      <c r="W19" s="122">
        <v>0.85000000000000009</v>
      </c>
    </row>
    <row r="20" spans="1:23" x14ac:dyDescent="0.3">
      <c r="A20" s="273">
        <v>2021</v>
      </c>
      <c r="B20" s="274">
        <v>0.14799999999999999</v>
      </c>
      <c r="C20" s="274">
        <v>8.5999999999999993E-2</v>
      </c>
      <c r="D20" s="274">
        <v>7.8E-2</v>
      </c>
      <c r="E20" s="274">
        <v>0.14000000000000001</v>
      </c>
      <c r="F20" s="274">
        <v>0.45200000000000001</v>
      </c>
      <c r="H20" s="273">
        <v>2021</v>
      </c>
      <c r="I20" s="122">
        <v>2.2200000000000002</v>
      </c>
      <c r="J20" s="122">
        <v>2.0499999999999998</v>
      </c>
      <c r="K20" s="122">
        <v>1.72</v>
      </c>
      <c r="L20" s="122">
        <v>2.1800000000000002</v>
      </c>
      <c r="M20" s="122">
        <v>8.17</v>
      </c>
      <c r="R20" s="273">
        <v>2021</v>
      </c>
      <c r="S20" s="122">
        <v>0.16</v>
      </c>
      <c r="T20" s="122">
        <v>0.32</v>
      </c>
      <c r="U20" s="122">
        <v>0.04</v>
      </c>
      <c r="V20" s="122">
        <v>0.17</v>
      </c>
      <c r="W20" s="122">
        <v>0.69000000000000006</v>
      </c>
    </row>
    <row r="21" spans="1:23" x14ac:dyDescent="0.3">
      <c r="A21" s="273">
        <v>2022</v>
      </c>
      <c r="B21" s="274">
        <v>0.16600000000000001</v>
      </c>
      <c r="C21" s="274">
        <v>0.10100000000000001</v>
      </c>
      <c r="D21" s="274">
        <v>0.104</v>
      </c>
      <c r="E21" s="274">
        <v>0.15</v>
      </c>
      <c r="F21" s="274">
        <v>0.52100000000000002</v>
      </c>
      <c r="H21" s="273">
        <v>2022</v>
      </c>
      <c r="I21" s="122">
        <v>2.38</v>
      </c>
      <c r="J21" s="122">
        <v>2.1</v>
      </c>
      <c r="K21" s="122">
        <v>1.88</v>
      </c>
      <c r="L21" s="122">
        <v>2.2599999999999998</v>
      </c>
      <c r="M21" s="122">
        <v>8.620000000000001</v>
      </c>
      <c r="R21" s="273">
        <v>2022</v>
      </c>
      <c r="S21" s="122">
        <v>0.12</v>
      </c>
      <c r="T21" s="122">
        <v>0.26</v>
      </c>
      <c r="U21" s="122">
        <v>0.03</v>
      </c>
      <c r="V21" s="122">
        <v>0.14000000000000001</v>
      </c>
      <c r="W21" s="122">
        <v>0.55000000000000004</v>
      </c>
    </row>
    <row r="22" spans="1:23" x14ac:dyDescent="0.3">
      <c r="A22" s="273">
        <v>2023</v>
      </c>
      <c r="B22" s="274">
        <v>0.19500000000000001</v>
      </c>
      <c r="C22" s="274">
        <v>0.13500000000000001</v>
      </c>
      <c r="D22" s="274">
        <v>0.11799999999999999</v>
      </c>
      <c r="E22" s="274">
        <v>0.17799999999999999</v>
      </c>
      <c r="F22" s="274">
        <v>0.626</v>
      </c>
      <c r="H22" s="273">
        <v>2023</v>
      </c>
      <c r="I22" s="122">
        <v>2.44</v>
      </c>
      <c r="J22" s="122">
        <v>2.25</v>
      </c>
      <c r="K22" s="122">
        <v>1.96</v>
      </c>
      <c r="L22" s="122">
        <v>2.33</v>
      </c>
      <c r="M22" s="122">
        <v>8.98</v>
      </c>
      <c r="R22" s="273">
        <v>2023</v>
      </c>
      <c r="S22" s="122">
        <v>0.08</v>
      </c>
      <c r="T22" s="122">
        <v>0.18</v>
      </c>
      <c r="U22" s="122">
        <v>0.02</v>
      </c>
      <c r="V22" s="122">
        <v>0.09</v>
      </c>
      <c r="W22" s="122">
        <v>0.37</v>
      </c>
    </row>
    <row r="23" spans="1:23" x14ac:dyDescent="0.3">
      <c r="A23" s="273">
        <v>2024</v>
      </c>
      <c r="B23" s="274">
        <v>0.214</v>
      </c>
      <c r="C23" s="274">
        <v>0.16800000000000001</v>
      </c>
      <c r="D23" s="274">
        <v>0.152</v>
      </c>
      <c r="E23" s="274">
        <v>0.20899999999999999</v>
      </c>
      <c r="F23" s="274">
        <v>0.74299999999999999</v>
      </c>
      <c r="H23" s="273">
        <v>2024</v>
      </c>
      <c r="I23" s="122">
        <v>2.52</v>
      </c>
      <c r="J23" s="122">
        <v>2.38</v>
      </c>
      <c r="K23" s="122">
        <v>2.1</v>
      </c>
      <c r="L23" s="122">
        <v>2.5099999999999998</v>
      </c>
      <c r="M23" s="122">
        <v>9.51</v>
      </c>
      <c r="R23" s="273">
        <v>2024</v>
      </c>
      <c r="S23" s="122">
        <v>0.05</v>
      </c>
      <c r="T23" s="122">
        <v>0.12</v>
      </c>
      <c r="U23" s="122">
        <v>0.01</v>
      </c>
      <c r="V23" s="122">
        <v>0.06</v>
      </c>
      <c r="W23" s="122">
        <v>0.24</v>
      </c>
    </row>
    <row r="24" spans="1:23" x14ac:dyDescent="0.3">
      <c r="A24" s="273">
        <v>2025</v>
      </c>
      <c r="B24" s="274">
        <v>0.214</v>
      </c>
      <c r="C24" s="274">
        <v>0.20899999999999999</v>
      </c>
      <c r="D24" s="274">
        <v>0.152</v>
      </c>
      <c r="E24" s="274">
        <v>0.22500000000000001</v>
      </c>
      <c r="F24" s="274">
        <v>0.79999999999999993</v>
      </c>
      <c r="H24" s="273">
        <v>2025</v>
      </c>
      <c r="I24" s="122">
        <v>2.61</v>
      </c>
      <c r="J24" s="122">
        <v>2.52</v>
      </c>
      <c r="K24" s="122">
        <v>2.1800000000000002</v>
      </c>
      <c r="L24" s="122">
        <v>2.62</v>
      </c>
      <c r="M24" s="122">
        <v>9.93</v>
      </c>
      <c r="R24" s="273">
        <v>2025</v>
      </c>
      <c r="S24" s="122">
        <v>0.04</v>
      </c>
      <c r="T24" s="122">
        <v>0.06</v>
      </c>
      <c r="U24" s="122">
        <v>0</v>
      </c>
      <c r="V24" s="122">
        <v>0.04</v>
      </c>
      <c r="W24" s="122">
        <v>0.14000000000000001</v>
      </c>
    </row>
    <row r="25" spans="1:23" x14ac:dyDescent="0.3">
      <c r="A25" s="273" t="s">
        <v>477</v>
      </c>
      <c r="B25" s="274">
        <v>1.181</v>
      </c>
      <c r="C25" s="274">
        <v>0.91600000000000004</v>
      </c>
      <c r="D25" s="274">
        <v>0.77100000000000002</v>
      </c>
      <c r="E25" s="274">
        <v>1.1910000000000001</v>
      </c>
      <c r="F25" s="274">
        <v>4.0590000000000002</v>
      </c>
      <c r="H25" s="273" t="s">
        <v>477</v>
      </c>
      <c r="I25" s="122">
        <v>16.400000000000002</v>
      </c>
      <c r="J25" s="122">
        <v>15.27</v>
      </c>
      <c r="K25" s="122">
        <v>13.2</v>
      </c>
      <c r="L25" s="122">
        <v>16.05</v>
      </c>
      <c r="M25" s="122">
        <v>60.92</v>
      </c>
      <c r="R25" s="273" t="s">
        <v>477</v>
      </c>
      <c r="S25" s="122">
        <v>0.95000000000000007</v>
      </c>
      <c r="T25" s="122">
        <v>1.73</v>
      </c>
      <c r="U25" s="122">
        <v>0.21</v>
      </c>
      <c r="V25" s="122">
        <v>0.92000000000000015</v>
      </c>
      <c r="W25" s="122">
        <v>3.8100000000000009</v>
      </c>
    </row>
    <row r="26" spans="1:23" x14ac:dyDescent="0.3">
      <c r="A26" s="273"/>
      <c r="B26" s="274"/>
      <c r="C26" s="274"/>
      <c r="D26" s="274"/>
      <c r="E26" s="274"/>
      <c r="F26" s="274"/>
      <c r="H26" s="273"/>
      <c r="I26" s="122"/>
      <c r="J26" s="122"/>
      <c r="K26" s="122"/>
      <c r="L26" s="122"/>
      <c r="M26" s="122"/>
      <c r="R26" s="273"/>
      <c r="S26" s="122"/>
      <c r="T26" s="122"/>
      <c r="U26" s="122"/>
      <c r="V26" s="122"/>
      <c r="W26" s="122"/>
    </row>
    <row r="27" spans="1:23" x14ac:dyDescent="0.3">
      <c r="A27" s="273"/>
      <c r="B27" s="274"/>
      <c r="C27" s="274"/>
      <c r="D27" s="274"/>
      <c r="E27" s="274"/>
      <c r="F27" s="274"/>
      <c r="H27" s="273"/>
      <c r="I27" s="122"/>
      <c r="J27" s="122"/>
      <c r="K27" s="122"/>
      <c r="L27" s="122"/>
      <c r="M27" s="122"/>
      <c r="R27" s="273"/>
      <c r="S27" s="122"/>
      <c r="T27" s="122"/>
      <c r="U27" s="122"/>
      <c r="V27" s="122"/>
      <c r="W27" s="122"/>
    </row>
    <row r="28" spans="1:23" x14ac:dyDescent="0.3">
      <c r="A28" s="272" t="s">
        <v>484</v>
      </c>
      <c r="B28" s="272" t="s">
        <v>486</v>
      </c>
    </row>
    <row r="29" spans="1:23" x14ac:dyDescent="0.3">
      <c r="A29" s="272" t="s">
        <v>476</v>
      </c>
      <c r="B29" t="s">
        <v>432</v>
      </c>
      <c r="C29" t="s">
        <v>442</v>
      </c>
      <c r="D29" t="s">
        <v>430</v>
      </c>
      <c r="E29" t="s">
        <v>431</v>
      </c>
      <c r="F29" t="s">
        <v>477</v>
      </c>
      <c r="H29" s="272" t="s">
        <v>485</v>
      </c>
      <c r="I29" s="272" t="s">
        <v>486</v>
      </c>
    </row>
    <row r="30" spans="1:23" x14ac:dyDescent="0.3">
      <c r="A30" s="273">
        <v>2019</v>
      </c>
      <c r="B30" s="122">
        <v>7.8</v>
      </c>
      <c r="C30" s="122">
        <v>5.8</v>
      </c>
      <c r="D30" s="122">
        <v>10.1</v>
      </c>
      <c r="E30" s="122">
        <v>8.4</v>
      </c>
      <c r="F30" s="122">
        <v>32.1</v>
      </c>
      <c r="H30" s="272" t="s">
        <v>476</v>
      </c>
      <c r="I30" t="s">
        <v>432</v>
      </c>
      <c r="J30" t="s">
        <v>442</v>
      </c>
      <c r="K30" t="s">
        <v>430</v>
      </c>
      <c r="L30" t="s">
        <v>431</v>
      </c>
      <c r="M30" t="s">
        <v>477</v>
      </c>
    </row>
    <row r="31" spans="1:23" x14ac:dyDescent="0.3">
      <c r="A31" s="273">
        <v>2020</v>
      </c>
      <c r="B31" s="122">
        <v>9.6</v>
      </c>
      <c r="C31" s="122">
        <v>6.2</v>
      </c>
      <c r="D31" s="122">
        <v>11.4</v>
      </c>
      <c r="E31" s="122">
        <v>9.1</v>
      </c>
      <c r="F31" s="122">
        <v>36.300000000000004</v>
      </c>
      <c r="H31" s="273">
        <v>2019</v>
      </c>
      <c r="I31" s="122">
        <v>0.56000000000000005</v>
      </c>
      <c r="J31" s="122">
        <v>0.57999999999999996</v>
      </c>
      <c r="K31" s="122">
        <v>0.38</v>
      </c>
      <c r="L31" s="122">
        <v>0.68</v>
      </c>
      <c r="M31" s="122">
        <v>2.2000000000000002</v>
      </c>
    </row>
    <row r="32" spans="1:23" x14ac:dyDescent="0.3">
      <c r="A32" s="273">
        <v>2021</v>
      </c>
      <c r="B32" s="122">
        <v>11.4</v>
      </c>
      <c r="C32" s="122">
        <v>7.4</v>
      </c>
      <c r="D32" s="122">
        <v>12.8</v>
      </c>
      <c r="E32" s="122">
        <v>10.199999999999999</v>
      </c>
      <c r="F32" s="122">
        <v>41.8</v>
      </c>
      <c r="H32" s="273">
        <v>2020</v>
      </c>
      <c r="I32" s="122">
        <v>0.6</v>
      </c>
      <c r="J32" s="122">
        <v>0.56999999999999995</v>
      </c>
      <c r="K32" s="122">
        <v>0.4</v>
      </c>
      <c r="L32" s="122">
        <v>0.65</v>
      </c>
      <c r="M32" s="122">
        <v>2.2199999999999998</v>
      </c>
    </row>
    <row r="33" spans="1:13" x14ac:dyDescent="0.3">
      <c r="A33" s="273">
        <v>2022</v>
      </c>
      <c r="B33" s="122">
        <v>14.2</v>
      </c>
      <c r="C33" s="122">
        <v>8.8000000000000007</v>
      </c>
      <c r="D33" s="122">
        <v>16.2</v>
      </c>
      <c r="E33" s="122">
        <v>12.5</v>
      </c>
      <c r="F33" s="122">
        <v>51.7</v>
      </c>
      <c r="H33" s="273">
        <v>2021</v>
      </c>
      <c r="I33" s="122">
        <v>0.62</v>
      </c>
      <c r="J33" s="122">
        <v>0.52</v>
      </c>
      <c r="K33" s="122">
        <v>0.38</v>
      </c>
      <c r="L33" s="122">
        <v>0.62</v>
      </c>
      <c r="M33" s="122">
        <v>2.14</v>
      </c>
    </row>
    <row r="34" spans="1:13" x14ac:dyDescent="0.3">
      <c r="A34" s="273">
        <v>2023</v>
      </c>
      <c r="B34" s="122">
        <v>18.5</v>
      </c>
      <c r="C34" s="122">
        <v>12.5</v>
      </c>
      <c r="D34" s="122">
        <v>21.3</v>
      </c>
      <c r="E34" s="122">
        <v>17.8</v>
      </c>
      <c r="F34" s="122">
        <v>70.099999999999994</v>
      </c>
      <c r="H34" s="273">
        <v>2022</v>
      </c>
      <c r="I34" s="122">
        <v>0.65</v>
      </c>
      <c r="J34" s="122">
        <v>0.55000000000000004</v>
      </c>
      <c r="K34" s="122">
        <v>0.42</v>
      </c>
      <c r="L34" s="122">
        <v>0.64</v>
      </c>
      <c r="M34" s="122">
        <v>2.2600000000000002</v>
      </c>
    </row>
    <row r="35" spans="1:13" x14ac:dyDescent="0.3">
      <c r="A35" s="273">
        <v>2024</v>
      </c>
      <c r="B35" s="122">
        <v>25.1</v>
      </c>
      <c r="C35" s="122">
        <v>17.8</v>
      </c>
      <c r="D35" s="122">
        <v>28.4</v>
      </c>
      <c r="E35" s="122">
        <v>22.4</v>
      </c>
      <c r="F35" s="122">
        <v>93.700000000000017</v>
      </c>
      <c r="H35" s="273">
        <v>2023</v>
      </c>
      <c r="I35" s="122">
        <v>0.7</v>
      </c>
      <c r="J35" s="122">
        <v>0.59</v>
      </c>
      <c r="K35" s="122">
        <v>0.44</v>
      </c>
      <c r="L35" s="122">
        <v>0.72</v>
      </c>
      <c r="M35" s="122">
        <v>2.4500000000000002</v>
      </c>
    </row>
    <row r="36" spans="1:13" x14ac:dyDescent="0.3">
      <c r="A36" s="273">
        <v>2025</v>
      </c>
      <c r="B36" s="122">
        <v>31.4</v>
      </c>
      <c r="C36" s="122">
        <v>24.3</v>
      </c>
      <c r="D36" s="122">
        <v>35.1</v>
      </c>
      <c r="E36" s="122">
        <v>28.6</v>
      </c>
      <c r="F36" s="122">
        <v>119.4</v>
      </c>
      <c r="H36" s="273">
        <v>2024</v>
      </c>
      <c r="I36" s="122">
        <v>0.74</v>
      </c>
      <c r="J36" s="122">
        <v>0.64</v>
      </c>
      <c r="K36" s="122">
        <v>0.46</v>
      </c>
      <c r="L36" s="122">
        <v>0.78</v>
      </c>
      <c r="M36" s="122">
        <v>2.62</v>
      </c>
    </row>
    <row r="37" spans="1:13" x14ac:dyDescent="0.3">
      <c r="A37" s="273" t="s">
        <v>477</v>
      </c>
      <c r="B37" s="122">
        <v>118</v>
      </c>
      <c r="C37" s="122">
        <v>82.8</v>
      </c>
      <c r="D37" s="122">
        <v>135.29999999999998</v>
      </c>
      <c r="E37" s="122">
        <v>109</v>
      </c>
      <c r="F37" s="122">
        <v>445.1</v>
      </c>
      <c r="H37" s="273">
        <v>2025</v>
      </c>
      <c r="I37" s="122">
        <v>0.77</v>
      </c>
      <c r="J37" s="122">
        <v>0.7</v>
      </c>
      <c r="K37" s="122">
        <v>0.48</v>
      </c>
      <c r="L37" s="122">
        <v>0.82</v>
      </c>
      <c r="M37" s="122">
        <v>2.77</v>
      </c>
    </row>
    <row r="38" spans="1:13" x14ac:dyDescent="0.3">
      <c r="H38" s="273" t="s">
        <v>477</v>
      </c>
      <c r="I38" s="122">
        <v>4.6400000000000006</v>
      </c>
      <c r="J38" s="122">
        <v>4.1499999999999995</v>
      </c>
      <c r="K38" s="122">
        <v>2.96</v>
      </c>
      <c r="L38" s="122">
        <v>4.910000000000001</v>
      </c>
      <c r="M38" s="122">
        <v>16.66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64BD5-3FF8-450C-A2E0-B55EBCD5DA65}">
  <dimension ref="A1:AA2"/>
  <sheetViews>
    <sheetView tabSelected="1" zoomScale="80" zoomScaleNormal="80" workbookViewId="0">
      <selection activeCell="I32" sqref="I32"/>
    </sheetView>
  </sheetViews>
  <sheetFormatPr defaultRowHeight="14.4" x14ac:dyDescent="0.3"/>
  <sheetData>
    <row r="1" spans="1:27" ht="14.4" customHeight="1" x14ac:dyDescent="0.3">
      <c r="A1" s="406" t="s">
        <v>487</v>
      </c>
      <c r="B1" s="406"/>
      <c r="C1" s="406"/>
      <c r="D1" s="406"/>
      <c r="E1" s="406"/>
      <c r="F1" s="406"/>
      <c r="G1" s="406"/>
      <c r="H1" s="406"/>
      <c r="I1" s="406"/>
      <c r="J1" s="406"/>
      <c r="K1" s="406"/>
      <c r="L1" s="406"/>
      <c r="M1" s="406"/>
      <c r="N1" s="406"/>
      <c r="O1" s="406"/>
      <c r="P1" s="406"/>
      <c r="Q1" s="406"/>
      <c r="R1" s="406"/>
      <c r="S1" s="406"/>
      <c r="T1" s="406"/>
      <c r="U1" s="406"/>
      <c r="V1" s="406"/>
      <c r="W1" s="406"/>
      <c r="X1" s="406"/>
      <c r="Y1" s="406"/>
      <c r="Z1" s="406"/>
      <c r="AA1" s="406"/>
    </row>
    <row r="2" spans="1:27" ht="14.4" customHeight="1" x14ac:dyDescent="0.3">
      <c r="A2" s="406"/>
      <c r="B2" s="406"/>
      <c r="C2" s="406"/>
      <c r="D2" s="406"/>
      <c r="E2" s="406"/>
      <c r="F2" s="406"/>
      <c r="G2" s="406"/>
      <c r="H2" s="406"/>
      <c r="I2" s="406"/>
      <c r="J2" s="406"/>
      <c r="K2" s="406"/>
      <c r="L2" s="406"/>
      <c r="M2" s="406"/>
      <c r="N2" s="406"/>
      <c r="O2" s="406"/>
      <c r="P2" s="406"/>
      <c r="Q2" s="406"/>
      <c r="R2" s="406"/>
      <c r="S2" s="406"/>
      <c r="T2" s="406"/>
      <c r="U2" s="406"/>
      <c r="V2" s="406"/>
      <c r="W2" s="406"/>
      <c r="X2" s="406"/>
      <c r="Y2" s="406"/>
      <c r="Z2" s="406"/>
      <c r="AA2" s="406"/>
    </row>
  </sheetData>
  <mergeCells count="1">
    <mergeCell ref="A1:AA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Sources</vt:lpstr>
      <vt:lpstr>Company Overview</vt:lpstr>
      <vt:lpstr>Industry Overview</vt:lpstr>
      <vt:lpstr>Raw Data</vt:lpstr>
      <vt:lpstr>CF Assumptions</vt:lpstr>
      <vt:lpstr>IS ,BS Assumptions</vt:lpstr>
      <vt:lpstr>Financial Statements</vt:lpstr>
      <vt:lpstr>PPE Schedule</vt:lpstr>
      <vt:lpstr>Beta</vt:lpstr>
      <vt:lpstr>WACC</vt:lpstr>
      <vt:lpstr>EVA</vt:lpstr>
      <vt:lpstr>DCF Valuation</vt:lpstr>
      <vt:lpstr>Relative Valuation</vt:lpstr>
      <vt:lpstr>All Ratios Forecast</vt:lpstr>
      <vt:lpstr>Key Ratios Forecast</vt:lpstr>
      <vt:lpstr>Peer master data</vt:lpstr>
      <vt:lpstr>Dashboard Peer Comparison</vt:lpstr>
      <vt:lpstr>DashBoard Peer Company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Aditi Singla</cp:lastModifiedBy>
  <cp:revision>0</cp:revision>
  <dcterms:created xsi:type="dcterms:W3CDTF">2026-04-03T06:19:29Z</dcterms:created>
  <dcterms:modified xsi:type="dcterms:W3CDTF">2026-04-04T16:32:04Z</dcterms:modified>
  <dc:language>en-US</dc:language>
</cp:coreProperties>
</file>